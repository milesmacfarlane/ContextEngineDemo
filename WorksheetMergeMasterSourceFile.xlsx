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1" sheetId="1" r:id="rId5"/>
    <sheet state="visible" name="ReadMe" sheetId="2" r:id="rId6"/>
    <sheet state="visible" name="179Products" sheetId="3" r:id="rId7"/>
    <sheet state="visible" name="Names" sheetId="4" r:id="rId8"/>
    <sheet state="visible" name="AssetServiceCosts" sheetId="5" r:id="rId9"/>
    <sheet state="visible" name="ObjectUserCosts" sheetId="6" r:id="rId10"/>
    <sheet state="visible" name="RateScenarios" sheetId="7" r:id="rId11"/>
    <sheet state="visible" name="Municipalities" sheetId="8" r:id="rId12"/>
    <sheet state="visible" name="Vehicles" sheetId="9" r:id="rId13"/>
    <sheet state="visible" name="Theaters" sheetId="10" r:id="rId14"/>
    <sheet state="visible" name="Courses" sheetId="11" r:id="rId15"/>
    <sheet state="visible" name="SummerJobs" sheetId="12" r:id="rId16"/>
    <sheet state="visible" name="Currency" sheetId="13" r:id="rId17"/>
    <sheet state="visible" name="PlacesCDN" sheetId="14" r:id="rId18"/>
    <sheet state="visible" name="PlacesGLOBAL" sheetId="15" r:id="rId19"/>
    <sheet state="visible" name="Sandwiches" sheetId="16" r:id="rId20"/>
    <sheet state="visible" name="ImprovementLevies" sheetId="17" r:id="rId21"/>
    <sheet state="visible" name="MultipleChoiceTemplate" sheetId="18" r:id="rId22"/>
    <sheet state="visible" name="Businesses" sheetId="19" r:id="rId23"/>
  </sheets>
  <definedNames>
    <definedName localSheetId="0" name="ExternalData_1">Query1!$A$1:$B$14</definedName>
    <definedName localSheetId="12" name="ExternalData_1">Currency!$B$1:$D$52</definedName>
  </definedNames>
  <calcPr/>
</workbook>
</file>

<file path=xl/sharedStrings.xml><?xml version="1.0" encoding="utf-8"?>
<sst xmlns="http://schemas.openxmlformats.org/spreadsheetml/2006/main" count="12486" uniqueCount="7179">
  <si>
    <t>Name</t>
  </si>
  <si>
    <t>RowCount</t>
  </si>
  <si>
    <t>TableIndex</t>
  </si>
  <si>
    <t>tBusinesses</t>
  </si>
  <si>
    <t>tCDNPlaces</t>
  </si>
  <si>
    <t>tCourses</t>
  </si>
  <si>
    <t>tCurrency</t>
  </si>
  <si>
    <t>tGlobalPlaces</t>
  </si>
  <si>
    <t>tImprovementLevy</t>
  </si>
  <si>
    <t>tNames</t>
  </si>
  <si>
    <t>tObjectUserCosts</t>
  </si>
  <si>
    <t>tSandwiches</t>
  </si>
  <si>
    <t>tSummerJobs</t>
  </si>
  <si>
    <t>tTheaters</t>
  </si>
  <si>
    <t>tVehicles</t>
  </si>
  <si>
    <t>Insert a Name</t>
  </si>
  <si>
    <t>INDEX(WorksheetMergeMasterSourceFile.xlsx!tNames[#Data], RANDBETWEEN(1, ROWS(WorksheetMergeMasterSourceFile.xlsx!tNames[#Data])), 4)</t>
  </si>
  <si>
    <t>Code</t>
  </si>
  <si>
    <t>Gender</t>
  </si>
  <si>
    <t>FullName</t>
  </si>
  <si>
    <t>FirstName</t>
  </si>
  <si>
    <t>LastName</t>
  </si>
  <si>
    <t>Title</t>
  </si>
  <si>
    <t>SheHeThey</t>
  </si>
  <si>
    <t>HerHimThem</t>
  </si>
  <si>
    <t>HerHisTheir</t>
  </si>
  <si>
    <t>M</t>
  </si>
  <si>
    <t>Evan Lee</t>
  </si>
  <si>
    <t>Evan</t>
  </si>
  <si>
    <t>Lee</t>
  </si>
  <si>
    <t>Benjamin Hennessy</t>
  </si>
  <si>
    <t>Benjamin</t>
  </si>
  <si>
    <t>Hennessy</t>
  </si>
  <si>
    <t>Zander Barry</t>
  </si>
  <si>
    <t>Zander</t>
  </si>
  <si>
    <t>Barry</t>
  </si>
  <si>
    <t>Mateo Stephenson</t>
  </si>
  <si>
    <t>Mateo</t>
  </si>
  <si>
    <t>Stephenson</t>
  </si>
  <si>
    <t>Nathaniel Snow</t>
  </si>
  <si>
    <t>Nathaniel</t>
  </si>
  <si>
    <t>Snow</t>
  </si>
  <si>
    <t>Ethan Eaton</t>
  </si>
  <si>
    <t>Ethan</t>
  </si>
  <si>
    <t>Eaton</t>
  </si>
  <si>
    <t>Ryker Macdonald</t>
  </si>
  <si>
    <t>Ryker</t>
  </si>
  <si>
    <t>Macdonald</t>
  </si>
  <si>
    <t>N</t>
  </si>
  <si>
    <t>Soren Beech</t>
  </si>
  <si>
    <t>Soren</t>
  </si>
  <si>
    <t>Beech</t>
  </si>
  <si>
    <t>Lane Arbour</t>
  </si>
  <si>
    <t>Lane</t>
  </si>
  <si>
    <t>Arbour</t>
  </si>
  <si>
    <t>Jordan George</t>
  </si>
  <si>
    <t>Jordan</t>
  </si>
  <si>
    <t>George</t>
  </si>
  <si>
    <t>Atlas Kane</t>
  </si>
  <si>
    <t>Atlas</t>
  </si>
  <si>
    <t>Kane</t>
  </si>
  <si>
    <t>Evan Daniel</t>
  </si>
  <si>
    <t>Daniel</t>
  </si>
  <si>
    <t>John Woodward</t>
  </si>
  <si>
    <t>John</t>
  </si>
  <si>
    <t>Woodward</t>
  </si>
  <si>
    <t>Finn Ewart</t>
  </si>
  <si>
    <t>Finn</t>
  </si>
  <si>
    <t>Ewart</t>
  </si>
  <si>
    <t>Quinn Irvin</t>
  </si>
  <si>
    <t>Quinn</t>
  </si>
  <si>
    <t>Irvin</t>
  </si>
  <si>
    <t>Adam Lehmann</t>
  </si>
  <si>
    <t>Adam</t>
  </si>
  <si>
    <t>Lehmann</t>
  </si>
  <si>
    <t>Maxwell Cohen</t>
  </si>
  <si>
    <t>Maxwell</t>
  </si>
  <si>
    <t>Cohen</t>
  </si>
  <si>
    <t>Kade Point</t>
  </si>
  <si>
    <t>Kade</t>
  </si>
  <si>
    <t>Point</t>
  </si>
  <si>
    <t>Arlo Roth</t>
  </si>
  <si>
    <t>Arlo</t>
  </si>
  <si>
    <t>Roth</t>
  </si>
  <si>
    <t>Sebastian Piers</t>
  </si>
  <si>
    <t>Sebastian</t>
  </si>
  <si>
    <t>Piers</t>
  </si>
  <si>
    <t>Gavin Hawley</t>
  </si>
  <si>
    <t>Gavin</t>
  </si>
  <si>
    <t>Hawley</t>
  </si>
  <si>
    <t>Kyle Thompson</t>
  </si>
  <si>
    <t>Kyle</t>
  </si>
  <si>
    <t>Thompson</t>
  </si>
  <si>
    <t>Easton Wood</t>
  </si>
  <si>
    <t>Easton</t>
  </si>
  <si>
    <t>Wood</t>
  </si>
  <si>
    <t>Caleb Tillsley</t>
  </si>
  <si>
    <t>Caleb</t>
  </si>
  <si>
    <t>Tillsley</t>
  </si>
  <si>
    <t>Kai Ward</t>
  </si>
  <si>
    <t>Kai</t>
  </si>
  <si>
    <t>Ward</t>
  </si>
  <si>
    <t>Daxton Marcus</t>
  </si>
  <si>
    <t>Daxton</t>
  </si>
  <si>
    <t>Marcus</t>
  </si>
  <si>
    <t>Walter Wilson</t>
  </si>
  <si>
    <t>Walter</t>
  </si>
  <si>
    <t>Wilson</t>
  </si>
  <si>
    <t>Quinn Snow</t>
  </si>
  <si>
    <t>Kane Grant</t>
  </si>
  <si>
    <t>Grant</t>
  </si>
  <si>
    <t>Daxton Gill</t>
  </si>
  <si>
    <t>Gill</t>
  </si>
  <si>
    <t>Nicolas Rose</t>
  </si>
  <si>
    <t>Nicolas</t>
  </si>
  <si>
    <t>Rose</t>
  </si>
  <si>
    <t>Kade Barber</t>
  </si>
  <si>
    <t>Barber</t>
  </si>
  <si>
    <t>Chase Allan</t>
  </si>
  <si>
    <t>Chase</t>
  </si>
  <si>
    <t>Allan</t>
  </si>
  <si>
    <t>Benjamin Bondar</t>
  </si>
  <si>
    <t>Bondar</t>
  </si>
  <si>
    <t>Winston Thompson</t>
  </si>
  <si>
    <t>Winston</t>
  </si>
  <si>
    <t>Cameron Point</t>
  </si>
  <si>
    <t>Cameron</t>
  </si>
  <si>
    <t>Hugo Macdonald</t>
  </si>
  <si>
    <t>Hugo</t>
  </si>
  <si>
    <t>Jake Preston</t>
  </si>
  <si>
    <t>Jake</t>
  </si>
  <si>
    <t>Preston</t>
  </si>
  <si>
    <t>Colton Paull</t>
  </si>
  <si>
    <t>Colton</t>
  </si>
  <si>
    <t>Paull</t>
  </si>
  <si>
    <t>Milo Byrne</t>
  </si>
  <si>
    <t>Milo</t>
  </si>
  <si>
    <t>Byrne</t>
  </si>
  <si>
    <t>Lucas Bain</t>
  </si>
  <si>
    <t>Lucas</t>
  </si>
  <si>
    <t>Bain</t>
  </si>
  <si>
    <t>Beau Clark</t>
  </si>
  <si>
    <t>Beau</t>
  </si>
  <si>
    <t>Clark</t>
  </si>
  <si>
    <t>Gavin Rogers</t>
  </si>
  <si>
    <t>Rogers</t>
  </si>
  <si>
    <t>Evan Doyle</t>
  </si>
  <si>
    <t>Doyle</t>
  </si>
  <si>
    <t>Arlo Gale</t>
  </si>
  <si>
    <t>Gale</t>
  </si>
  <si>
    <t>Derek Beech</t>
  </si>
  <si>
    <t>Derek</t>
  </si>
  <si>
    <t>Christopher Norris</t>
  </si>
  <si>
    <t>Christopher</t>
  </si>
  <si>
    <t>Norris</t>
  </si>
  <si>
    <t>Justin Ross</t>
  </si>
  <si>
    <t>Justin</t>
  </si>
  <si>
    <t>Ross</t>
  </si>
  <si>
    <t>Hart</t>
  </si>
  <si>
    <t>Aidan</t>
  </si>
  <si>
    <t>Lewis</t>
  </si>
  <si>
    <t>Isaac</t>
  </si>
  <si>
    <t>Jackson</t>
  </si>
  <si>
    <t>Allen</t>
  </si>
  <si>
    <t>Oliver</t>
  </si>
  <si>
    <t>Simpson</t>
  </si>
  <si>
    <t>Brycen</t>
  </si>
  <si>
    <t>Ingram</t>
  </si>
  <si>
    <t>Ibrahim</t>
  </si>
  <si>
    <t>Berg</t>
  </si>
  <si>
    <t>Uriel</t>
  </si>
  <si>
    <t>Kirk</t>
  </si>
  <si>
    <t>Bronson</t>
  </si>
  <si>
    <t>Marsh</t>
  </si>
  <si>
    <t>Juelz</t>
  </si>
  <si>
    <t>Gibbs</t>
  </si>
  <si>
    <t>Bobby</t>
  </si>
  <si>
    <t>Harvey</t>
  </si>
  <si>
    <t>Henry</t>
  </si>
  <si>
    <t>Matthews</t>
  </si>
  <si>
    <t>Scott</t>
  </si>
  <si>
    <t>Sutton</t>
  </si>
  <si>
    <t>Marshall</t>
  </si>
  <si>
    <t>Rhys</t>
  </si>
  <si>
    <t>Kolton</t>
  </si>
  <si>
    <t>Molina</t>
  </si>
  <si>
    <t>Jason</t>
  </si>
  <si>
    <t>Clemons</t>
  </si>
  <si>
    <t>Valentin</t>
  </si>
  <si>
    <t>Nicholson</t>
  </si>
  <si>
    <t>Curtis</t>
  </si>
  <si>
    <t>Sears</t>
  </si>
  <si>
    <t>Teagan</t>
  </si>
  <si>
    <t>Coleman</t>
  </si>
  <si>
    <t>Andrew</t>
  </si>
  <si>
    <t>White</t>
  </si>
  <si>
    <t>Jude</t>
  </si>
  <si>
    <t>Moss</t>
  </si>
  <si>
    <t>Ewan</t>
  </si>
  <si>
    <t>Wells</t>
  </si>
  <si>
    <t>Louie</t>
  </si>
  <si>
    <t>Cox</t>
  </si>
  <si>
    <t>Aiden</t>
  </si>
  <si>
    <t>Mason</t>
  </si>
  <si>
    <t>O'neal</t>
  </si>
  <si>
    <t>Vincent</t>
  </si>
  <si>
    <t>Morton</t>
  </si>
  <si>
    <t>Rayan</t>
  </si>
  <si>
    <t>Rosales</t>
  </si>
  <si>
    <t>Kolten</t>
  </si>
  <si>
    <t>Gay</t>
  </si>
  <si>
    <t>Braden</t>
  </si>
  <si>
    <t>Moran</t>
  </si>
  <si>
    <t>Ntumba</t>
  </si>
  <si>
    <t>Mbappè</t>
  </si>
  <si>
    <t>Tanzetanau</t>
  </si>
  <si>
    <t>Ndongo</t>
  </si>
  <si>
    <t>Nji</t>
  </si>
  <si>
    <t>Kabeya</t>
  </si>
  <si>
    <t>Fua</t>
  </si>
  <si>
    <t>Ramazani</t>
  </si>
  <si>
    <t>Gana</t>
  </si>
  <si>
    <t>Ngoma</t>
  </si>
  <si>
    <t>François</t>
  </si>
  <si>
    <t>Mupwale</t>
  </si>
  <si>
    <t>Songè</t>
  </si>
  <si>
    <t>Benoît</t>
  </si>
  <si>
    <t>Mbuyi</t>
  </si>
  <si>
    <t>Igor</t>
  </si>
  <si>
    <t>Pelami</t>
  </si>
  <si>
    <t>Connor</t>
  </si>
  <si>
    <t>Békélia</t>
  </si>
  <si>
    <t>Chydi</t>
  </si>
  <si>
    <t>Onyekachukwu</t>
  </si>
  <si>
    <t>Akuchi</t>
  </si>
  <si>
    <t>Nkechi</t>
  </si>
  <si>
    <t>Uchea</t>
  </si>
  <si>
    <t>Ebele</t>
  </si>
  <si>
    <t>Odion</t>
  </si>
  <si>
    <t>Chidey</t>
  </si>
  <si>
    <t>Chika</t>
  </si>
  <si>
    <t>Chino</t>
  </si>
  <si>
    <t>Jelaney</t>
  </si>
  <si>
    <t>Chidike</t>
  </si>
  <si>
    <t>Onuchukwu</t>
  </si>
  <si>
    <t>Yobachukwu</t>
  </si>
  <si>
    <t>Chimaijem</t>
  </si>
  <si>
    <t>Ekene</t>
  </si>
  <si>
    <t>Chydee</t>
  </si>
  <si>
    <t>Chidy</t>
  </si>
  <si>
    <t>Jelanea</t>
  </si>
  <si>
    <t>Agu</t>
  </si>
  <si>
    <t>Zhou</t>
  </si>
  <si>
    <t>Xuefeng</t>
  </si>
  <si>
    <t>Zeng</t>
  </si>
  <si>
    <t>Yimu</t>
  </si>
  <si>
    <t>He</t>
  </si>
  <si>
    <t>Jie</t>
  </si>
  <si>
    <t>Qiao</t>
  </si>
  <si>
    <t>Yin</t>
  </si>
  <si>
    <t>Lin</t>
  </si>
  <si>
    <t>Xun</t>
  </si>
  <si>
    <t>Peng</t>
  </si>
  <si>
    <t>Tian</t>
  </si>
  <si>
    <t>Wuhan</t>
  </si>
  <si>
    <t>Xu</t>
  </si>
  <si>
    <t>Xiang</t>
  </si>
  <si>
    <t>Yan</t>
  </si>
  <si>
    <t>Shuren</t>
  </si>
  <si>
    <t>Geng</t>
  </si>
  <si>
    <t>ZhenKang</t>
  </si>
  <si>
    <t>LucJosias</t>
  </si>
  <si>
    <t>Villaromán</t>
  </si>
  <si>
    <t>Hermosa</t>
  </si>
  <si>
    <t>Natividad</t>
  </si>
  <si>
    <t>Emmanuel</t>
  </si>
  <si>
    <t>Macalintal</t>
  </si>
  <si>
    <t>Abulog</t>
  </si>
  <si>
    <t>Eliseo</t>
  </si>
  <si>
    <t>Alba</t>
  </si>
  <si>
    <t>Lorenzo</t>
  </si>
  <si>
    <t>Agustín</t>
  </si>
  <si>
    <t>Triston</t>
  </si>
  <si>
    <t>Sarmiento</t>
  </si>
  <si>
    <t>Ezequiel</t>
  </si>
  <si>
    <t>Inárez</t>
  </si>
  <si>
    <t>Iliana</t>
  </si>
  <si>
    <t>Abella</t>
  </si>
  <si>
    <t>Kenneth</t>
  </si>
  <si>
    <t>Cachuela</t>
  </si>
  <si>
    <t>Babaljeet</t>
  </si>
  <si>
    <t>Bhandal</t>
  </si>
  <si>
    <t>Samsher</t>
  </si>
  <si>
    <t>Gora</t>
  </si>
  <si>
    <t>Uttampad</t>
  </si>
  <si>
    <t>Gauria</t>
  </si>
  <si>
    <t>Vijaypreet</t>
  </si>
  <si>
    <t>Shahalia</t>
  </si>
  <si>
    <t>Yashvant</t>
  </si>
  <si>
    <t>Khirwar</t>
  </si>
  <si>
    <t>Purantek</t>
  </si>
  <si>
    <t>Tanwar</t>
  </si>
  <si>
    <t>Akal-Ustat</t>
  </si>
  <si>
    <t>Babal</t>
  </si>
  <si>
    <t>Mansirat</t>
  </si>
  <si>
    <t>Agre</t>
  </si>
  <si>
    <t>Satwant</t>
  </si>
  <si>
    <t>Hasija</t>
  </si>
  <si>
    <t>Nischaijeet</t>
  </si>
  <si>
    <t>Kisana</t>
  </si>
  <si>
    <t>Mawen</t>
  </si>
  <si>
    <t>Qalat</t>
  </si>
  <si>
    <t>Wasif</t>
  </si>
  <si>
    <t>Zaman</t>
  </si>
  <si>
    <t>Arif</t>
  </si>
  <si>
    <t>Razavi</t>
  </si>
  <si>
    <t>Labeb</t>
  </si>
  <si>
    <t>Usmani</t>
  </si>
  <si>
    <t>Afsah</t>
  </si>
  <si>
    <t>Naeem</t>
  </si>
  <si>
    <t>Safi</t>
  </si>
  <si>
    <t>Hussaini</t>
  </si>
  <si>
    <t>Saim</t>
  </si>
  <si>
    <t>Abbasi</t>
  </si>
  <si>
    <t>Baseerat</t>
  </si>
  <si>
    <t>Loharani</t>
  </si>
  <si>
    <t>Zatmer</t>
  </si>
  <si>
    <t>Rahmanzai</t>
  </si>
  <si>
    <t>Tabist</t>
  </si>
  <si>
    <t>Faqir</t>
  </si>
  <si>
    <t>Huỳnh</t>
  </si>
  <si>
    <t>Huy Phong</t>
  </si>
  <si>
    <t>Võ</t>
  </si>
  <si>
    <t>Việt Chính</t>
  </si>
  <si>
    <t>Trần</t>
  </si>
  <si>
    <t>Thiện Minh</t>
  </si>
  <si>
    <t>Chử</t>
  </si>
  <si>
    <t>Thanh Long</t>
  </si>
  <si>
    <t>Vĩnh</t>
  </si>
  <si>
    <t>Trung Chính</t>
  </si>
  <si>
    <t>Quách</t>
  </si>
  <si>
    <t>Hữu Từ</t>
  </si>
  <si>
    <t>Hoàng</t>
  </si>
  <si>
    <t>Minh Dân</t>
  </si>
  <si>
    <t>Đoàn</t>
  </si>
  <si>
    <t>Huy Việt</t>
  </si>
  <si>
    <t>Quyền</t>
  </si>
  <si>
    <t>Xuân An</t>
  </si>
  <si>
    <t>Lương</t>
  </si>
  <si>
    <t>Thành Châu</t>
  </si>
  <si>
    <t>Chula</t>
  </si>
  <si>
    <t>Choosak</t>
  </si>
  <si>
    <t>Karom</t>
  </si>
  <si>
    <t>Somwan</t>
  </si>
  <si>
    <t>Thanetpol</t>
  </si>
  <si>
    <t>Nitpattanasai</t>
  </si>
  <si>
    <t>Keerati</t>
  </si>
  <si>
    <t>Wattanapanit</t>
  </si>
  <si>
    <t>Hanuman</t>
  </si>
  <si>
    <t>Inchareon</t>
  </si>
  <si>
    <t>Napatthorn</t>
  </si>
  <si>
    <t>Kukrit</t>
  </si>
  <si>
    <t>Paron</t>
  </si>
  <si>
    <t>Sudham</t>
  </si>
  <si>
    <t>Theeratham</t>
  </si>
  <si>
    <t>Gason</t>
  </si>
  <si>
    <t>Nipitpon</t>
  </si>
  <si>
    <t>Lekcharuthas</t>
  </si>
  <si>
    <t>Wasan</t>
  </si>
  <si>
    <t>Sirisopa</t>
  </si>
  <si>
    <t>Abdul</t>
  </si>
  <si>
    <t>Khaliq al-Abdo</t>
  </si>
  <si>
    <t>Uthmaa</t>
  </si>
  <si>
    <t>N al-Firman</t>
  </si>
  <si>
    <t>Badruddeen</t>
  </si>
  <si>
    <t>al-Abdo</t>
  </si>
  <si>
    <t>Marwaan</t>
  </si>
  <si>
    <t>al-Wahba</t>
  </si>
  <si>
    <t>Ihaab</t>
  </si>
  <si>
    <t>el-Dallal</t>
  </si>
  <si>
    <t>Faaid</t>
  </si>
  <si>
    <t>al-Jafri</t>
  </si>
  <si>
    <t>Faarooq</t>
  </si>
  <si>
    <t>el-Saladin</t>
  </si>
  <si>
    <t>Waleed</t>
  </si>
  <si>
    <t>el-Sader</t>
  </si>
  <si>
    <t>Muzammil</t>
  </si>
  <si>
    <t>al-Emami</t>
  </si>
  <si>
    <t>Fawwaaz</t>
  </si>
  <si>
    <t>al-Zaman</t>
  </si>
  <si>
    <t>Alon Liebermann</t>
  </si>
  <si>
    <t>Alon</t>
  </si>
  <si>
    <t>Liebermann</t>
  </si>
  <si>
    <t>Jamian Montefiore</t>
  </si>
  <si>
    <t>Jamian</t>
  </si>
  <si>
    <t>Montefiore</t>
  </si>
  <si>
    <t>Che Rubin</t>
  </si>
  <si>
    <t>Che</t>
  </si>
  <si>
    <t>Rubin</t>
  </si>
  <si>
    <t>Judah Schalit</t>
  </si>
  <si>
    <t>Judah</t>
  </si>
  <si>
    <t>Schalit</t>
  </si>
  <si>
    <t>Paz Levin</t>
  </si>
  <si>
    <t>Paz</t>
  </si>
  <si>
    <t>Levin</t>
  </si>
  <si>
    <t>Avidan Wakstok</t>
  </si>
  <si>
    <t>Avidan</t>
  </si>
  <si>
    <t>Wakstok</t>
  </si>
  <si>
    <t>Pessach Liss</t>
  </si>
  <si>
    <t>Pessach</t>
  </si>
  <si>
    <t>Liss</t>
  </si>
  <si>
    <t>Yehuda Horowitz</t>
  </si>
  <si>
    <t>Yehuda</t>
  </si>
  <si>
    <t>Horowitz</t>
  </si>
  <si>
    <t>Zimra Mazar</t>
  </si>
  <si>
    <t>Zimra</t>
  </si>
  <si>
    <t>Mazar</t>
  </si>
  <si>
    <t>Lavan Frankau</t>
  </si>
  <si>
    <t>Lavan</t>
  </si>
  <si>
    <t>Frankau</t>
  </si>
  <si>
    <t>Amasa Kalish</t>
  </si>
  <si>
    <t>Amasa</t>
  </si>
  <si>
    <t>Kalish</t>
  </si>
  <si>
    <t>Oris Aidallbery</t>
  </si>
  <si>
    <t>Oris</t>
  </si>
  <si>
    <t>Aidallbery</t>
  </si>
  <si>
    <t>Job Salbstein</t>
  </si>
  <si>
    <t>Job</t>
  </si>
  <si>
    <t>Salbstein</t>
  </si>
  <si>
    <t>Ezra Grajek</t>
  </si>
  <si>
    <t>Ezra</t>
  </si>
  <si>
    <t>Grajek</t>
  </si>
  <si>
    <t>Gershom Persky</t>
  </si>
  <si>
    <t>Gershom</t>
  </si>
  <si>
    <t>Persky</t>
  </si>
  <si>
    <t>Tohy Lehmann</t>
  </si>
  <si>
    <t>Tohy</t>
  </si>
  <si>
    <t>Isaac Barak</t>
  </si>
  <si>
    <t>Barak</t>
  </si>
  <si>
    <t>Jamin Einhorn</t>
  </si>
  <si>
    <t>Jamin</t>
  </si>
  <si>
    <t>Einhorn</t>
  </si>
  <si>
    <t>Lemuel Goulston</t>
  </si>
  <si>
    <t>Lemuel</t>
  </si>
  <si>
    <t>Goulston</t>
  </si>
  <si>
    <t>Hod Kalish</t>
  </si>
  <si>
    <t>Hod</t>
  </si>
  <si>
    <t>F</t>
  </si>
  <si>
    <t>Esther Watterman</t>
  </si>
  <si>
    <t>Esther</t>
  </si>
  <si>
    <t>Watterman</t>
  </si>
  <si>
    <t>Osnat Hurwitz</t>
  </si>
  <si>
    <t>Osnat</t>
  </si>
  <si>
    <t>Hurwitz</t>
  </si>
  <si>
    <t>Lee Worms</t>
  </si>
  <si>
    <t>Worms</t>
  </si>
  <si>
    <t>Dvorah Mohilewer</t>
  </si>
  <si>
    <t>Dvorah</t>
  </si>
  <si>
    <t>Mohilewer</t>
  </si>
  <si>
    <t>Aviel Isaaman</t>
  </si>
  <si>
    <t>Aviel</t>
  </si>
  <si>
    <t>Isaaman</t>
  </si>
  <si>
    <t>Nicol Mohilewer</t>
  </si>
  <si>
    <t>Nicol</t>
  </si>
  <si>
    <t>Maya Litvinov</t>
  </si>
  <si>
    <t>Maya</t>
  </si>
  <si>
    <t>Litvinov</t>
  </si>
  <si>
    <t>Alonit Kabotinsky</t>
  </si>
  <si>
    <t>Alonit</t>
  </si>
  <si>
    <t>Kabotinsky</t>
  </si>
  <si>
    <t>Batya Breuer</t>
  </si>
  <si>
    <t>Batya</t>
  </si>
  <si>
    <t>Breuer</t>
  </si>
  <si>
    <t>Sigalit Matz</t>
  </si>
  <si>
    <t>Sigalit</t>
  </si>
  <si>
    <t>Matz</t>
  </si>
  <si>
    <t>Pazit Baum</t>
  </si>
  <si>
    <t>Pazit</t>
  </si>
  <si>
    <t>Baum</t>
  </si>
  <si>
    <t>Aviel Samuel</t>
  </si>
  <si>
    <t>Samuel</t>
  </si>
  <si>
    <t>Adva Ascher</t>
  </si>
  <si>
    <t>Adva</t>
  </si>
  <si>
    <t>Ascher</t>
  </si>
  <si>
    <t>Sonia Greenberg</t>
  </si>
  <si>
    <t>Sonia</t>
  </si>
  <si>
    <t>Greenberg</t>
  </si>
  <si>
    <t>Avior Demsky</t>
  </si>
  <si>
    <t>Avior</t>
  </si>
  <si>
    <t>Demsky</t>
  </si>
  <si>
    <t>Noya Herzl</t>
  </si>
  <si>
    <t>Noya</t>
  </si>
  <si>
    <t>Herzl</t>
  </si>
  <si>
    <t>Eva Mendelson</t>
  </si>
  <si>
    <t>Eva</t>
  </si>
  <si>
    <t>Mendelson</t>
  </si>
  <si>
    <t>Chofit Gestetner</t>
  </si>
  <si>
    <t>Chofit</t>
  </si>
  <si>
    <t>Gestetner</t>
  </si>
  <si>
    <t>Daniela Stiebel</t>
  </si>
  <si>
    <t>Daniela</t>
  </si>
  <si>
    <t>Stiebel</t>
  </si>
  <si>
    <t>Katie Glen</t>
  </si>
  <si>
    <t>Katie</t>
  </si>
  <si>
    <t>Glen</t>
  </si>
  <si>
    <t>Charlie McLaughlin</t>
  </si>
  <si>
    <t>Charlie</t>
  </si>
  <si>
    <t>McLaughlin</t>
  </si>
  <si>
    <t>Trinity Ewart</t>
  </si>
  <si>
    <t>Trinity</t>
  </si>
  <si>
    <t>Claire Barry</t>
  </si>
  <si>
    <t>Claire</t>
  </si>
  <si>
    <t>Emery Brockhouse</t>
  </si>
  <si>
    <t>Emery</t>
  </si>
  <si>
    <t>Brockhouse</t>
  </si>
  <si>
    <t>Madelyn Brown</t>
  </si>
  <si>
    <t>Madelyn</t>
  </si>
  <si>
    <t>Brown</t>
  </si>
  <si>
    <t>Emilia Byrne</t>
  </si>
  <si>
    <t>Emilia</t>
  </si>
  <si>
    <t>Sawyer Doyle</t>
  </si>
  <si>
    <t>Sawyer</t>
  </si>
  <si>
    <t>Danielle Oliver</t>
  </si>
  <si>
    <t>Danielle</t>
  </si>
  <si>
    <t>Serena Asper</t>
  </si>
  <si>
    <t>Serena</t>
  </si>
  <si>
    <t>Asper</t>
  </si>
  <si>
    <t>Chelsea Clark</t>
  </si>
  <si>
    <t>Chelsea</t>
  </si>
  <si>
    <t>Annabelle Preston</t>
  </si>
  <si>
    <t>Annabelle</t>
  </si>
  <si>
    <t>Maggie Symons</t>
  </si>
  <si>
    <t>Maggie</t>
  </si>
  <si>
    <t>Symons</t>
  </si>
  <si>
    <t>Evelyn Timbrell</t>
  </si>
  <si>
    <t>Evelyn</t>
  </si>
  <si>
    <t>Timbrell</t>
  </si>
  <si>
    <t>Lily Bailey</t>
  </si>
  <si>
    <t>Lily</t>
  </si>
  <si>
    <t>Bailey</t>
  </si>
  <si>
    <t>Norah Brock</t>
  </si>
  <si>
    <t>Norah</t>
  </si>
  <si>
    <t>Brock</t>
  </si>
  <si>
    <t>Emery Cairns</t>
  </si>
  <si>
    <t>Cairns</t>
  </si>
  <si>
    <t>Blakely Simmons</t>
  </si>
  <si>
    <t>Blakely</t>
  </si>
  <si>
    <t>Simmons</t>
  </si>
  <si>
    <t>Sadie Wheeler</t>
  </si>
  <si>
    <t>Sadie</t>
  </si>
  <si>
    <t>Wheeler</t>
  </si>
  <si>
    <t>Chelsea Lewis</t>
  </si>
  <si>
    <t>Faith Markle</t>
  </si>
  <si>
    <t>Faith</t>
  </si>
  <si>
    <t>Markle</t>
  </si>
  <si>
    <t>Jocelyn Jacks</t>
  </si>
  <si>
    <t>Jocelyn</t>
  </si>
  <si>
    <t>Jacks</t>
  </si>
  <si>
    <t>Kali Day</t>
  </si>
  <si>
    <t>Kali</t>
  </si>
  <si>
    <t>Day</t>
  </si>
  <si>
    <t>Aleena Fletcher</t>
  </si>
  <si>
    <t>Aleena</t>
  </si>
  <si>
    <t>Fletcher</t>
  </si>
  <si>
    <t>Audrey Brook</t>
  </si>
  <si>
    <t>Audrey</t>
  </si>
  <si>
    <t>Brook</t>
  </si>
  <si>
    <t>Emerson Oak</t>
  </si>
  <si>
    <t>Emerson</t>
  </si>
  <si>
    <t>Oak</t>
  </si>
  <si>
    <t>Isabel Dawson</t>
  </si>
  <si>
    <t>Isabel</t>
  </si>
  <si>
    <t>Dawson</t>
  </si>
  <si>
    <t>Eve Irving</t>
  </si>
  <si>
    <t>Eve</t>
  </si>
  <si>
    <t>Irving</t>
  </si>
  <si>
    <t>Isabel Hoffman</t>
  </si>
  <si>
    <t>Hoffman</t>
  </si>
  <si>
    <t>Natalie Logan</t>
  </si>
  <si>
    <t>Natalie</t>
  </si>
  <si>
    <t>Logan</t>
  </si>
  <si>
    <t>Maeve Baker</t>
  </si>
  <si>
    <t>Maeve</t>
  </si>
  <si>
    <t>Baker</t>
  </si>
  <si>
    <t>Aspen Mercer</t>
  </si>
  <si>
    <t>Aspen</t>
  </si>
  <si>
    <t>Mercer</t>
  </si>
  <si>
    <t>Alice Bishop</t>
  </si>
  <si>
    <t>Alice</t>
  </si>
  <si>
    <t>Bishop</t>
  </si>
  <si>
    <t>Amy McCoy</t>
  </si>
  <si>
    <t>Amy</t>
  </si>
  <si>
    <t>McCoy</t>
  </si>
  <si>
    <t>Alicia Murray</t>
  </si>
  <si>
    <t>Alicia</t>
  </si>
  <si>
    <t>Murray</t>
  </si>
  <si>
    <t>Adalyn Dawson</t>
  </si>
  <si>
    <t>Adalyn</t>
  </si>
  <si>
    <t>Mila Lehmann</t>
  </si>
  <si>
    <t>Mila</t>
  </si>
  <si>
    <t>Poppy Evans</t>
  </si>
  <si>
    <t>Poppy</t>
  </si>
  <si>
    <t>Evans</t>
  </si>
  <si>
    <t>Natalia Wheeler</t>
  </si>
  <si>
    <t>Natalia</t>
  </si>
  <si>
    <t>Rebecca Daniel</t>
  </si>
  <si>
    <t>Rebecca</t>
  </si>
  <si>
    <t>Blake Reeves</t>
  </si>
  <si>
    <t>Blake</t>
  </si>
  <si>
    <t>Reeves</t>
  </si>
  <si>
    <t>Myra Gosling</t>
  </si>
  <si>
    <t>Myra</t>
  </si>
  <si>
    <t>Gosling</t>
  </si>
  <si>
    <t>Hana Peterson</t>
  </si>
  <si>
    <t>Hana</t>
  </si>
  <si>
    <t>Peterson</t>
  </si>
  <si>
    <t>Erin Bell</t>
  </si>
  <si>
    <t>Erin</t>
  </si>
  <si>
    <t>Bell</t>
  </si>
  <si>
    <t>Emily Nelson</t>
  </si>
  <si>
    <t>Emily</t>
  </si>
  <si>
    <t>Nelson</t>
  </si>
  <si>
    <t>Annie Thomson</t>
  </si>
  <si>
    <t>Annie</t>
  </si>
  <si>
    <t>Thomson</t>
  </si>
  <si>
    <t>Scarlett</t>
  </si>
  <si>
    <t>Duncan</t>
  </si>
  <si>
    <t>Madeleine</t>
  </si>
  <si>
    <t>Hunt</t>
  </si>
  <si>
    <t>Eloise</t>
  </si>
  <si>
    <t>Burke</t>
  </si>
  <si>
    <t>Tilly</t>
  </si>
  <si>
    <t>Hudson</t>
  </si>
  <si>
    <t>Charlotte</t>
  </si>
  <si>
    <t>Hunter</t>
  </si>
  <si>
    <t>Flynn</t>
  </si>
  <si>
    <t>Harrell</t>
  </si>
  <si>
    <t>Kennedy</t>
  </si>
  <si>
    <t>Flowers</t>
  </si>
  <si>
    <t>Haylee</t>
  </si>
  <si>
    <t>Barnett</t>
  </si>
  <si>
    <t>Linda</t>
  </si>
  <si>
    <t>Stanley</t>
  </si>
  <si>
    <t>Natasha</t>
  </si>
  <si>
    <t>Libby</t>
  </si>
  <si>
    <t>Andrews</t>
  </si>
  <si>
    <t>Caitlin</t>
  </si>
  <si>
    <t>Burton</t>
  </si>
  <si>
    <t>Ayana</t>
  </si>
  <si>
    <t>Mercedes</t>
  </si>
  <si>
    <t>Maldonado</t>
  </si>
  <si>
    <t>Zuri</t>
  </si>
  <si>
    <t>Winters</t>
  </si>
  <si>
    <t>Azariah</t>
  </si>
  <si>
    <t>Clements</t>
  </si>
  <si>
    <t>Macie</t>
  </si>
  <si>
    <t>Anderson</t>
  </si>
  <si>
    <t>Imogen</t>
  </si>
  <si>
    <t>Reynolds</t>
  </si>
  <si>
    <t>Shaw</t>
  </si>
  <si>
    <t>Melissa</t>
  </si>
  <si>
    <t>Owen</t>
  </si>
  <si>
    <t>Lucy</t>
  </si>
  <si>
    <t>Martin</t>
  </si>
  <si>
    <t>Raina</t>
  </si>
  <si>
    <t>Terry</t>
  </si>
  <si>
    <t>Battle</t>
  </si>
  <si>
    <t>Lilly</t>
  </si>
  <si>
    <t>Decker</t>
  </si>
  <si>
    <t>Gianna</t>
  </si>
  <si>
    <t>Guthrie</t>
  </si>
  <si>
    <t>Kelsey</t>
  </si>
  <si>
    <t>Barton</t>
  </si>
  <si>
    <t>Mbong</t>
  </si>
  <si>
    <t>Bapetel</t>
  </si>
  <si>
    <t>Bih</t>
  </si>
  <si>
    <t>Limba</t>
  </si>
  <si>
    <t>Malun</t>
  </si>
  <si>
    <t>Mekongo</t>
  </si>
  <si>
    <t>Naghen</t>
  </si>
  <si>
    <t>Menosha</t>
  </si>
  <si>
    <t>Rougayatou</t>
  </si>
  <si>
    <t>Obalambo</t>
  </si>
  <si>
    <t>Jennifer</t>
  </si>
  <si>
    <t>Kwasi</t>
  </si>
  <si>
    <t>Christelle</t>
  </si>
  <si>
    <t>Lihuli</t>
  </si>
  <si>
    <t>Isabella</t>
  </si>
  <si>
    <t>Pongo</t>
  </si>
  <si>
    <t>Tia</t>
  </si>
  <si>
    <t>Duala</t>
  </si>
  <si>
    <t>Cyrille</t>
  </si>
  <si>
    <t>Miandabu</t>
  </si>
  <si>
    <t>Nkemdilim</t>
  </si>
  <si>
    <t>Chyke</t>
  </si>
  <si>
    <t>Adaeze</t>
  </si>
  <si>
    <t>Adaora</t>
  </si>
  <si>
    <t>Orji</t>
  </si>
  <si>
    <t>Chideah</t>
  </si>
  <si>
    <t>Uchechey</t>
  </si>
  <si>
    <t>Iweobiegbulam</t>
  </si>
  <si>
    <t>Okafo</t>
  </si>
  <si>
    <t>Amachy</t>
  </si>
  <si>
    <t>Orjea</t>
  </si>
  <si>
    <t>Onyeka</t>
  </si>
  <si>
    <t>Chinuah</t>
  </si>
  <si>
    <t>Chinasa</t>
  </si>
  <si>
    <t>Akachi</t>
  </si>
  <si>
    <t>Uchennah</t>
  </si>
  <si>
    <t>Chukwuemeka</t>
  </si>
  <si>
    <t>Cheng</t>
  </si>
  <si>
    <t>Ruogang</t>
  </si>
  <si>
    <t>Jin</t>
  </si>
  <si>
    <t>Xiao</t>
  </si>
  <si>
    <t>Chen</t>
  </si>
  <si>
    <t>Wang</t>
  </si>
  <si>
    <t>My</t>
  </si>
  <si>
    <t>Hou</t>
  </si>
  <si>
    <t>Yao</t>
  </si>
  <si>
    <t>Jia</t>
  </si>
  <si>
    <t>Shen</t>
  </si>
  <si>
    <t>Ling</t>
  </si>
  <si>
    <t>Sun</t>
  </si>
  <si>
    <t>Chao</t>
  </si>
  <si>
    <t>Han</t>
  </si>
  <si>
    <t>Fen</t>
  </si>
  <si>
    <t>Angelina</t>
  </si>
  <si>
    <t>Macalinao</t>
  </si>
  <si>
    <t>Sydnie</t>
  </si>
  <si>
    <t>Infanta</t>
  </si>
  <si>
    <t>Janisa</t>
  </si>
  <si>
    <t>Guerra</t>
  </si>
  <si>
    <t>Ashlyn</t>
  </si>
  <si>
    <t>Belloso</t>
  </si>
  <si>
    <t>Carli</t>
  </si>
  <si>
    <t>Orante</t>
  </si>
  <si>
    <t>Estelita</t>
  </si>
  <si>
    <t>Pamplona</t>
  </si>
  <si>
    <t>Justice</t>
  </si>
  <si>
    <t>Bataller</t>
  </si>
  <si>
    <t>Cindy</t>
  </si>
  <si>
    <t>Niévez</t>
  </si>
  <si>
    <t>Baylosis</t>
  </si>
  <si>
    <t>Lolita</t>
  </si>
  <si>
    <t>Mañalac</t>
  </si>
  <si>
    <t>Komaljot</t>
  </si>
  <si>
    <t>Chhabra</t>
  </si>
  <si>
    <t>Uttamliv</t>
  </si>
  <si>
    <t>Bhardwaj</t>
  </si>
  <si>
    <t>Pranjita</t>
  </si>
  <si>
    <t>Binar</t>
  </si>
  <si>
    <t>Kanwaljot</t>
  </si>
  <si>
    <t>Jolly</t>
  </si>
  <si>
    <t>Harneez</t>
  </si>
  <si>
    <t>Grover</t>
  </si>
  <si>
    <t>Lakhshmi</t>
  </si>
  <si>
    <t>Badesha</t>
  </si>
  <si>
    <t>Jasjeet</t>
  </si>
  <si>
    <t>Sansanwal</t>
  </si>
  <si>
    <t>Vadiaya</t>
  </si>
  <si>
    <t>Sejwal</t>
  </si>
  <si>
    <t>Namjas</t>
  </si>
  <si>
    <t>Rasoda</t>
  </si>
  <si>
    <t>Lakhminder</t>
  </si>
  <si>
    <t>Bogan</t>
  </si>
  <si>
    <t>Zama</t>
  </si>
  <si>
    <t>Baqri</t>
  </si>
  <si>
    <t>Nasreen</t>
  </si>
  <si>
    <t>Alam</t>
  </si>
  <si>
    <t>Hadiqa</t>
  </si>
  <si>
    <t>Pirzada</t>
  </si>
  <si>
    <t>Almaz</t>
  </si>
  <si>
    <t>Shafiq</t>
  </si>
  <si>
    <t>Atira</t>
  </si>
  <si>
    <t>Chutani</t>
  </si>
  <si>
    <t>Sabeen</t>
  </si>
  <si>
    <t>Sadozai</t>
  </si>
  <si>
    <t>Mazia</t>
  </si>
  <si>
    <t>Ashkani</t>
  </si>
  <si>
    <t>Naeema</t>
  </si>
  <si>
    <t>Rahija</t>
  </si>
  <si>
    <t>Hamaira</t>
  </si>
  <si>
    <t>Zaheer</t>
  </si>
  <si>
    <t>Atiya</t>
  </si>
  <si>
    <t>Rathore</t>
  </si>
  <si>
    <t>Phạm</t>
  </si>
  <si>
    <t>Bảo Uyên</t>
  </si>
  <si>
    <t>Trịnh</t>
  </si>
  <si>
    <t>Thảo Uyên</t>
  </si>
  <si>
    <t>Tô</t>
  </si>
  <si>
    <t>Quỳnh Dao</t>
  </si>
  <si>
    <t>Nguyễn</t>
  </si>
  <si>
    <t>Minh Tuệ</t>
  </si>
  <si>
    <t>Ân</t>
  </si>
  <si>
    <t>Cẩm Thúy</t>
  </si>
  <si>
    <t>Thùy Nhi</t>
  </si>
  <si>
    <t>Ngọc Loan</t>
  </si>
  <si>
    <t>Hồng Mai</t>
  </si>
  <si>
    <t>Phan</t>
  </si>
  <si>
    <t>Trúc Lam</t>
  </si>
  <si>
    <t>Nopjira</t>
  </si>
  <si>
    <t>Kongsangchai</t>
  </si>
  <si>
    <t>Kulap</t>
  </si>
  <si>
    <t>Nut</t>
  </si>
  <si>
    <t>Mekhla</t>
  </si>
  <si>
    <t>Pramoj</t>
  </si>
  <si>
    <t>Chaveevan</t>
  </si>
  <si>
    <t>Kurusatienkit</t>
  </si>
  <si>
    <t>Mathawee</t>
  </si>
  <si>
    <t>Amornchantanakorn</t>
  </si>
  <si>
    <t>Phloi</t>
  </si>
  <si>
    <t>Kriangsak</t>
  </si>
  <si>
    <t>Noi</t>
  </si>
  <si>
    <t>Pibul</t>
  </si>
  <si>
    <t>Utumporn</t>
  </si>
  <si>
    <t>Khuntilanont</t>
  </si>
  <si>
    <t>Ung</t>
  </si>
  <si>
    <t>Panomyaong</t>
  </si>
  <si>
    <t>Chomechai</t>
  </si>
  <si>
    <t>Tharwa</t>
  </si>
  <si>
    <t>al-Rehman</t>
  </si>
  <si>
    <t>Aqeela</t>
  </si>
  <si>
    <t>al-Hariri</t>
  </si>
  <si>
    <t>Sumayya</t>
  </si>
  <si>
    <t>al-Sawaya</t>
  </si>
  <si>
    <t>Munisa</t>
  </si>
  <si>
    <t>al-Aydin</t>
  </si>
  <si>
    <t>Kameela</t>
  </si>
  <si>
    <t>el-Guler</t>
  </si>
  <si>
    <t>Layaali</t>
  </si>
  <si>
    <t>el-Farra</t>
  </si>
  <si>
    <t>Wafaaa</t>
  </si>
  <si>
    <t>el-Dawood</t>
  </si>
  <si>
    <t>Rayyana</t>
  </si>
  <si>
    <t>al-Greiss</t>
  </si>
  <si>
    <t>Sawada</t>
  </si>
  <si>
    <t>al-Naderi</t>
  </si>
  <si>
    <t>Atheer</t>
  </si>
  <si>
    <t>el-Abdelnour</t>
  </si>
  <si>
    <t>Cohen Wheeler</t>
  </si>
  <si>
    <t>Samuel White</t>
  </si>
  <si>
    <t>Wren Cardinal</t>
  </si>
  <si>
    <t>Wren</t>
  </si>
  <si>
    <t>Cardinal</t>
  </si>
  <si>
    <t>Skye Harper</t>
  </si>
  <si>
    <t>Skye</t>
  </si>
  <si>
    <t>Harper</t>
  </si>
  <si>
    <t>Willow Campbell</t>
  </si>
  <si>
    <t>Willow</t>
  </si>
  <si>
    <t>Campbell</t>
  </si>
  <si>
    <t>Livia Moore</t>
  </si>
  <si>
    <t>Livia</t>
  </si>
  <si>
    <t>Moore</t>
  </si>
  <si>
    <t>Kit</t>
  </si>
  <si>
    <t>Cole</t>
  </si>
  <si>
    <t>Alex</t>
  </si>
  <si>
    <t>Tanner</t>
  </si>
  <si>
    <t>Clem</t>
  </si>
  <si>
    <t>Armstrong</t>
  </si>
  <si>
    <t>Rene</t>
  </si>
  <si>
    <t>Parker</t>
  </si>
  <si>
    <t>Carmen</t>
  </si>
  <si>
    <t>Boone</t>
  </si>
  <si>
    <t>Brynn</t>
  </si>
  <si>
    <t>Padilla</t>
  </si>
  <si>
    <t>Raylee</t>
  </si>
  <si>
    <t>Hammond</t>
  </si>
  <si>
    <t>Robin</t>
  </si>
  <si>
    <t>Lara</t>
  </si>
  <si>
    <t>Ashley</t>
  </si>
  <si>
    <t>Byrd</t>
  </si>
  <si>
    <t>Larissa Mazar</t>
  </si>
  <si>
    <t>Larissa</t>
  </si>
  <si>
    <t>Giovante Washington</t>
  </si>
  <si>
    <t>Giovante</t>
  </si>
  <si>
    <t>Washington</t>
  </si>
  <si>
    <t>Jirani Lawson</t>
  </si>
  <si>
    <t>Jirani</t>
  </si>
  <si>
    <t>Lawson</t>
  </si>
  <si>
    <t>Labron Hodges</t>
  </si>
  <si>
    <t>Labron</t>
  </si>
  <si>
    <t>Hodges</t>
  </si>
  <si>
    <t>Finton Terrell</t>
  </si>
  <si>
    <t>Finton</t>
  </si>
  <si>
    <t>Terrell</t>
  </si>
  <si>
    <t>Xaevan Thomas</t>
  </si>
  <si>
    <t>Xaevan</t>
  </si>
  <si>
    <t>Thomas</t>
  </si>
  <si>
    <t>Ornell Fletcher</t>
  </si>
  <si>
    <t>Ornell</t>
  </si>
  <si>
    <t>Everson Patterson</t>
  </si>
  <si>
    <t>Everson</t>
  </si>
  <si>
    <t>Patterson</t>
  </si>
  <si>
    <t>Kunal Watkins</t>
  </si>
  <si>
    <t>Kunal</t>
  </si>
  <si>
    <t>Watkins</t>
  </si>
  <si>
    <t>Tamonte Terry</t>
  </si>
  <si>
    <t>Tamonte</t>
  </si>
  <si>
    <t>DeAnté Polk</t>
  </si>
  <si>
    <t>DeAnté</t>
  </si>
  <si>
    <t>Polk</t>
  </si>
  <si>
    <t>Dharia Knight</t>
  </si>
  <si>
    <t>Dharia</t>
  </si>
  <si>
    <t>Knight</t>
  </si>
  <si>
    <t>Yaashika Sims</t>
  </si>
  <si>
    <t>Yaashika</t>
  </si>
  <si>
    <t>Sims</t>
  </si>
  <si>
    <t>Diauna Starks</t>
  </si>
  <si>
    <t>Diauna</t>
  </si>
  <si>
    <t>Starks</t>
  </si>
  <si>
    <t>Tasheka Gilmore</t>
  </si>
  <si>
    <t>Tasheka</t>
  </si>
  <si>
    <t>Gilmore</t>
  </si>
  <si>
    <t>Shakenya West</t>
  </si>
  <si>
    <t>Shakenya</t>
  </si>
  <si>
    <t>West</t>
  </si>
  <si>
    <t>Adlynn Burns</t>
  </si>
  <si>
    <t>Adlynn</t>
  </si>
  <si>
    <t>Burns</t>
  </si>
  <si>
    <t>Nykee Hairston</t>
  </si>
  <si>
    <t>Nykee</t>
  </si>
  <si>
    <t>Hairston</t>
  </si>
  <si>
    <t>Zarela Carroll</t>
  </si>
  <si>
    <t>Zarela</t>
  </si>
  <si>
    <t>Carroll</t>
  </si>
  <si>
    <t>Mierra Hinton</t>
  </si>
  <si>
    <t>Mierra</t>
  </si>
  <si>
    <t>Hinton</t>
  </si>
  <si>
    <t>Kyron Ware</t>
  </si>
  <si>
    <t>Kyron</t>
  </si>
  <si>
    <t>Ware</t>
  </si>
  <si>
    <t>Fikri el-Yacoub</t>
  </si>
  <si>
    <t>Fikri</t>
  </si>
  <si>
    <t>el-Yacoub</t>
  </si>
  <si>
    <t>Marzooq el-Sahli</t>
  </si>
  <si>
    <t>Marzooq</t>
  </si>
  <si>
    <t>el-Sahli</t>
  </si>
  <si>
    <t>Bassaam al-Husain</t>
  </si>
  <si>
    <t>Bassaam</t>
  </si>
  <si>
    <t>al-Husain</t>
  </si>
  <si>
    <t>Tawheed al-Taha</t>
  </si>
  <si>
    <t>Tawheed</t>
  </si>
  <si>
    <t>al-Taha</t>
  </si>
  <si>
    <t>Azhaar al-Miah</t>
  </si>
  <si>
    <t>Azhaar</t>
  </si>
  <si>
    <t>al-Miah</t>
  </si>
  <si>
    <t>Ahmed al-Sheikh</t>
  </si>
  <si>
    <t>Ahmed</t>
  </si>
  <si>
    <t>al-Sheikh</t>
  </si>
  <si>
    <t>Zaaid el-Naderi</t>
  </si>
  <si>
    <t>Zaaid</t>
  </si>
  <si>
    <t>el-Naderi</t>
  </si>
  <si>
    <t>Saadiq el-Omer</t>
  </si>
  <si>
    <t>Saadiq</t>
  </si>
  <si>
    <t>el-Omer</t>
  </si>
  <si>
    <t>Noori el-Neman</t>
  </si>
  <si>
    <t>Noori</t>
  </si>
  <si>
    <t>el-Neman</t>
  </si>
  <si>
    <t>Awad el-Mahmood</t>
  </si>
  <si>
    <t>Awad</t>
  </si>
  <si>
    <t>el-Mahmood</t>
  </si>
  <si>
    <t>Ghaaliya el-Darwish</t>
  </si>
  <si>
    <t>Ghaaliya</t>
  </si>
  <si>
    <t>el-Darwish</t>
  </si>
  <si>
    <t>Jawhara el-Abdou</t>
  </si>
  <si>
    <t>Jawhara</t>
  </si>
  <si>
    <t>el-Abdou</t>
  </si>
  <si>
    <t>Zuhra el-Atallah</t>
  </si>
  <si>
    <t>Zuhra</t>
  </si>
  <si>
    <t>el-Atallah</t>
  </si>
  <si>
    <t>Kaazima al-Abdi</t>
  </si>
  <si>
    <t>Kaazima</t>
  </si>
  <si>
    <t>al-Abdi</t>
  </si>
  <si>
    <t>Suhaad el-Mostafa</t>
  </si>
  <si>
    <t>Suhaad</t>
  </si>
  <si>
    <t>el-Mostafa</t>
  </si>
  <si>
    <t>Tameema el-Idris</t>
  </si>
  <si>
    <t>Tameema</t>
  </si>
  <si>
    <t>el-Idris</t>
  </si>
  <si>
    <t>Israa al-Haidar</t>
  </si>
  <si>
    <t>Israa</t>
  </si>
  <si>
    <t>al-Haidar</t>
  </si>
  <si>
    <t>Wasmaaa al-Moustafa</t>
  </si>
  <si>
    <t>Wasmaaa</t>
  </si>
  <si>
    <t>al-Moustafa</t>
  </si>
  <si>
    <t>Waseema al-Basha</t>
  </si>
  <si>
    <t>Waseema</t>
  </si>
  <si>
    <t>al-Basha</t>
  </si>
  <si>
    <t>Ummu Kulthoom al-Hosein</t>
  </si>
  <si>
    <t>Ummu</t>
  </si>
  <si>
    <t>Kulthoom al-Hosein</t>
  </si>
  <si>
    <t>Chioma Akubundu</t>
  </si>
  <si>
    <t>Chioma</t>
  </si>
  <si>
    <t>Akubundu</t>
  </si>
  <si>
    <t>Orjy Chibueze</t>
  </si>
  <si>
    <t>Orjy</t>
  </si>
  <si>
    <t>Chibueze</t>
  </si>
  <si>
    <t>Yobachukwu Jelanea</t>
  </si>
  <si>
    <t>Odion Ekene</t>
  </si>
  <si>
    <t>Uzochukwu Dike</t>
  </si>
  <si>
    <t>Uzochukwu</t>
  </si>
  <si>
    <t>Dike</t>
  </si>
  <si>
    <t>Chydea Okparro</t>
  </si>
  <si>
    <t>Chydea</t>
  </si>
  <si>
    <t>Okparro</t>
  </si>
  <si>
    <t>Ikenna Chinou</t>
  </si>
  <si>
    <t>Ikenna</t>
  </si>
  <si>
    <t>Chinou</t>
  </si>
  <si>
    <t>Ekwueme Jelanee</t>
  </si>
  <si>
    <t>Ekwueme</t>
  </si>
  <si>
    <t>Jelanee</t>
  </si>
  <si>
    <t>Obyke Jelanie</t>
  </si>
  <si>
    <t>Obyke</t>
  </si>
  <si>
    <t>Jelanie</t>
  </si>
  <si>
    <t>Oby Obee</t>
  </si>
  <si>
    <t>Oby</t>
  </si>
  <si>
    <t>Obee</t>
  </si>
  <si>
    <t>Uchennah Agu</t>
  </si>
  <si>
    <t>Chikanso Jamuike</t>
  </si>
  <si>
    <t>Chikanso</t>
  </si>
  <si>
    <t>Jamuike</t>
  </si>
  <si>
    <t>Ogechi Akabueze</t>
  </si>
  <si>
    <t>Ogechi</t>
  </si>
  <si>
    <t>Akabueze</t>
  </si>
  <si>
    <t>Chibueze Koofrey</t>
  </si>
  <si>
    <t>Koofrey</t>
  </si>
  <si>
    <t>Nnenne Uchechey</t>
  </si>
  <si>
    <t>Nnenne</t>
  </si>
  <si>
    <t>Nkiruka Ikem</t>
  </si>
  <si>
    <t>Nkiruka</t>
  </si>
  <si>
    <t>Ikem</t>
  </si>
  <si>
    <t>Amarachi Nwankwo</t>
  </si>
  <si>
    <t>Amarachi</t>
  </si>
  <si>
    <t>Nwankwo</t>
  </si>
  <si>
    <t>Amara Ozoemena</t>
  </si>
  <si>
    <t>Amara</t>
  </si>
  <si>
    <t>Ozoemena</t>
  </si>
  <si>
    <t>Amachea Madukwe</t>
  </si>
  <si>
    <t>Amachea</t>
  </si>
  <si>
    <t>Madukwe</t>
  </si>
  <si>
    <t>Nneka Yobachukwu</t>
  </si>
  <si>
    <t>Nneka</t>
  </si>
  <si>
    <t>Berechiah Schrock</t>
  </si>
  <si>
    <t>Berechiah</t>
  </si>
  <si>
    <t>Schrock</t>
  </si>
  <si>
    <t>Ephraim Hooley</t>
  </si>
  <si>
    <t>Ephraim</t>
  </si>
  <si>
    <t>Hooley</t>
  </si>
  <si>
    <t>Azaliah Raber</t>
  </si>
  <si>
    <t>Azaliah</t>
  </si>
  <si>
    <t>Raber</t>
  </si>
  <si>
    <t>Stephen Sommer</t>
  </si>
  <si>
    <t>Stephen</t>
  </si>
  <si>
    <t>Sommer</t>
  </si>
  <si>
    <t>Matthias Nissley</t>
  </si>
  <si>
    <t>Matthias</t>
  </si>
  <si>
    <t>Nissley</t>
  </si>
  <si>
    <t>Arad Oyer</t>
  </si>
  <si>
    <t>Arad</t>
  </si>
  <si>
    <t>Oyer</t>
  </si>
  <si>
    <t>Berachiah Springer</t>
  </si>
  <si>
    <t>Berachiah</t>
  </si>
  <si>
    <t>Springer</t>
  </si>
  <si>
    <t>Joshua Plank</t>
  </si>
  <si>
    <t>Joshua</t>
  </si>
  <si>
    <t>Plank</t>
  </si>
  <si>
    <t>Javan Esch</t>
  </si>
  <si>
    <t>Javan</t>
  </si>
  <si>
    <t>Esch</t>
  </si>
  <si>
    <t>Amittai Gunden</t>
  </si>
  <si>
    <t>Amittai</t>
  </si>
  <si>
    <t>Gunden</t>
  </si>
  <si>
    <t>Mathea Gunden</t>
  </si>
  <si>
    <t>Mathea</t>
  </si>
  <si>
    <t>Shiza Rupp</t>
  </si>
  <si>
    <t>Shiza</t>
  </si>
  <si>
    <t>Rupp</t>
  </si>
  <si>
    <t>Sharon Berkey</t>
  </si>
  <si>
    <t>Sharon</t>
  </si>
  <si>
    <t>Berkey</t>
  </si>
  <si>
    <t>Amanah Blough</t>
  </si>
  <si>
    <t>Amanah</t>
  </si>
  <si>
    <t>Blough</t>
  </si>
  <si>
    <t>Lucinda Zook</t>
  </si>
  <si>
    <t>Lucinda</t>
  </si>
  <si>
    <t>Zook</t>
  </si>
  <si>
    <t>Judith Rediger</t>
  </si>
  <si>
    <t>Judith</t>
  </si>
  <si>
    <t>Rediger</t>
  </si>
  <si>
    <t>Zion Eaash</t>
  </si>
  <si>
    <t>Zion</t>
  </si>
  <si>
    <t>Eaash</t>
  </si>
  <si>
    <t>Euodia Stutzman</t>
  </si>
  <si>
    <t>Euodia</t>
  </si>
  <si>
    <t>Stutzman</t>
  </si>
  <si>
    <t>Casiphia Lapp</t>
  </si>
  <si>
    <t>Casiphia</t>
  </si>
  <si>
    <t>Lapp</t>
  </si>
  <si>
    <t>Kore Eicher</t>
  </si>
  <si>
    <t>Kore</t>
  </si>
  <si>
    <t>Eicher</t>
  </si>
  <si>
    <t>Jameson Castle</t>
  </si>
  <si>
    <t>Jameson</t>
  </si>
  <si>
    <t>Castle</t>
  </si>
  <si>
    <t>Timothy McDonald</t>
  </si>
  <si>
    <t>Timothy</t>
  </si>
  <si>
    <t>McDonald</t>
  </si>
  <si>
    <t>Justin Lane</t>
  </si>
  <si>
    <t>Daniel Lake</t>
  </si>
  <si>
    <t>Lake</t>
  </si>
  <si>
    <t>Peter Harper</t>
  </si>
  <si>
    <t>Peter</t>
  </si>
  <si>
    <t>Brooks White</t>
  </si>
  <si>
    <t>Brooks</t>
  </si>
  <si>
    <t>Barrett Fraser</t>
  </si>
  <si>
    <t>Barrett</t>
  </si>
  <si>
    <t>Fraser</t>
  </si>
  <si>
    <t>Leonardo Snow</t>
  </si>
  <si>
    <t>Leonardo</t>
  </si>
  <si>
    <t>Finn Grant</t>
  </si>
  <si>
    <t>Harvey Bailey</t>
  </si>
  <si>
    <t>Payton Campbell</t>
  </si>
  <si>
    <t>Payton</t>
  </si>
  <si>
    <t>Octavia Brook</t>
  </si>
  <si>
    <t>Octavia</t>
  </si>
  <si>
    <t>Kinley Menton</t>
  </si>
  <si>
    <t>Kinley</t>
  </si>
  <si>
    <t>Menton</t>
  </si>
  <si>
    <t>Alexandra Bond</t>
  </si>
  <si>
    <t>Alexandra</t>
  </si>
  <si>
    <t>Bond</t>
  </si>
  <si>
    <t>Mira McDonald</t>
  </si>
  <si>
    <t>Mira</t>
  </si>
  <si>
    <t>Lennon Robins</t>
  </si>
  <si>
    <t>Lennon</t>
  </si>
  <si>
    <t>Robins</t>
  </si>
  <si>
    <t>Fiona Wilkinson</t>
  </si>
  <si>
    <t>Fiona</t>
  </si>
  <si>
    <t>Wilkinson</t>
  </si>
  <si>
    <t>Mary Aceron</t>
  </si>
  <si>
    <t>Mary</t>
  </si>
  <si>
    <t>Aceron</t>
  </si>
  <si>
    <t>Brinley Oliver</t>
  </si>
  <si>
    <t>Brinley</t>
  </si>
  <si>
    <t>Paige Reynolds</t>
  </si>
  <si>
    <t>Paige</t>
  </si>
  <si>
    <t>Jacob Marsh</t>
  </si>
  <si>
    <t>Jacob</t>
  </si>
  <si>
    <t>Ethan Morgan</t>
  </si>
  <si>
    <t>Morgan</t>
  </si>
  <si>
    <t>Landon Mccarthy</t>
  </si>
  <si>
    <t>Landon</t>
  </si>
  <si>
    <t>Mccarthy</t>
  </si>
  <si>
    <t>Christopher Jackson</t>
  </si>
  <si>
    <t>Archie Hunter</t>
  </si>
  <si>
    <t>Archie</t>
  </si>
  <si>
    <t>Brayden Shepherd</t>
  </si>
  <si>
    <t>Brayden</t>
  </si>
  <si>
    <t>Shepherd</t>
  </si>
  <si>
    <t>Lance Curtis</t>
  </si>
  <si>
    <t>Lance</t>
  </si>
  <si>
    <t>Leo Phelps</t>
  </si>
  <si>
    <t>Leo</t>
  </si>
  <si>
    <t>Phelps</t>
  </si>
  <si>
    <t>David Sellers</t>
  </si>
  <si>
    <t>David</t>
  </si>
  <si>
    <t>Sellers</t>
  </si>
  <si>
    <t>Avery Ashley</t>
  </si>
  <si>
    <t>Avery</t>
  </si>
  <si>
    <t>Phoebe Chapman</t>
  </si>
  <si>
    <t>Phoebe</t>
  </si>
  <si>
    <t>Chapman</t>
  </si>
  <si>
    <t>Faith Fletcher</t>
  </si>
  <si>
    <t>Daisy Ball</t>
  </si>
  <si>
    <t>Daisy</t>
  </si>
  <si>
    <t>Ball</t>
  </si>
  <si>
    <t>Ella Chambers</t>
  </si>
  <si>
    <t>Ella</t>
  </si>
  <si>
    <t>Chambers</t>
  </si>
  <si>
    <t>Emilia Davidson</t>
  </si>
  <si>
    <t>Davidson</t>
  </si>
  <si>
    <t>Lucia Johns</t>
  </si>
  <si>
    <t>Lucia</t>
  </si>
  <si>
    <t>Johns</t>
  </si>
  <si>
    <t>Isabela Vazquez</t>
  </si>
  <si>
    <t>Isabela</t>
  </si>
  <si>
    <t>Vazquez</t>
  </si>
  <si>
    <t>Molly Crosby</t>
  </si>
  <si>
    <t>Molly</t>
  </si>
  <si>
    <t>Crosby</t>
  </si>
  <si>
    <t>Emery Chang</t>
  </si>
  <si>
    <t>Chang</t>
  </si>
  <si>
    <t>Stella Stafford</t>
  </si>
  <si>
    <t>Stella</t>
  </si>
  <si>
    <t>Stafford</t>
  </si>
  <si>
    <t>Jaime Morterero</t>
  </si>
  <si>
    <t>Jaime</t>
  </si>
  <si>
    <t>Morterero</t>
  </si>
  <si>
    <t>Israel Sáenz</t>
  </si>
  <si>
    <t>Israel</t>
  </si>
  <si>
    <t>Sáenz</t>
  </si>
  <si>
    <t>Luciano Pliego</t>
  </si>
  <si>
    <t>Luciano</t>
  </si>
  <si>
    <t>Pliego</t>
  </si>
  <si>
    <t>Sebastián Gálvez</t>
  </si>
  <si>
    <t>Sebastián</t>
  </si>
  <si>
    <t>Gálvez</t>
  </si>
  <si>
    <t>Javier Carita</t>
  </si>
  <si>
    <t>Javier</t>
  </si>
  <si>
    <t>Carita</t>
  </si>
  <si>
    <t>Alonzo Piñón</t>
  </si>
  <si>
    <t>Alonzo</t>
  </si>
  <si>
    <t>Piñón</t>
  </si>
  <si>
    <t>Oscar Collazo</t>
  </si>
  <si>
    <t>Oscar</t>
  </si>
  <si>
    <t>Collazo</t>
  </si>
  <si>
    <t>Carmelo Murillo</t>
  </si>
  <si>
    <t>Carmelo</t>
  </si>
  <si>
    <t>Murillo</t>
  </si>
  <si>
    <t>Zacarías Andino</t>
  </si>
  <si>
    <t>Zacarías</t>
  </si>
  <si>
    <t>Andino</t>
  </si>
  <si>
    <t>Juan Dávalos</t>
  </si>
  <si>
    <t>Juan</t>
  </si>
  <si>
    <t>Dávalos</t>
  </si>
  <si>
    <t>Carmen Arnal</t>
  </si>
  <si>
    <t>Arnal</t>
  </si>
  <si>
    <t>Tristiella Rasgado</t>
  </si>
  <si>
    <t>Tristiella</t>
  </si>
  <si>
    <t>Rasgado</t>
  </si>
  <si>
    <t>Mariana Abasto</t>
  </si>
  <si>
    <t>Mariana</t>
  </si>
  <si>
    <t>Abasto</t>
  </si>
  <si>
    <t>Montserrat Cadaval</t>
  </si>
  <si>
    <t>Montserrat</t>
  </si>
  <si>
    <t>Cadaval</t>
  </si>
  <si>
    <t>Alexa Pardo</t>
  </si>
  <si>
    <t>Alexa</t>
  </si>
  <si>
    <t>Pardo</t>
  </si>
  <si>
    <t>María Galán</t>
  </si>
  <si>
    <t>María</t>
  </si>
  <si>
    <t>Galán</t>
  </si>
  <si>
    <t>Sophie Franco</t>
  </si>
  <si>
    <t>Sophie</t>
  </si>
  <si>
    <t>Franco</t>
  </si>
  <si>
    <t>Graciela Fraga</t>
  </si>
  <si>
    <t>Graciela</t>
  </si>
  <si>
    <t>Fraga</t>
  </si>
  <si>
    <t>Alicia Abasto</t>
  </si>
  <si>
    <t>Verónica Aparicio</t>
  </si>
  <si>
    <t>Verónica</t>
  </si>
  <si>
    <t>Aparicio</t>
  </si>
  <si>
    <t>Xavier Reid</t>
  </si>
  <si>
    <t>Xavier</t>
  </si>
  <si>
    <t>Reid</t>
  </si>
  <si>
    <t>Cedrick Pageau</t>
  </si>
  <si>
    <t>Cedrick</t>
  </si>
  <si>
    <t>Pageau</t>
  </si>
  <si>
    <t>Jackson Richer</t>
  </si>
  <si>
    <t>Richer</t>
  </si>
  <si>
    <t>Sam Turbide</t>
  </si>
  <si>
    <t>Sam</t>
  </si>
  <si>
    <t>Turbide</t>
  </si>
  <si>
    <t>Elliot Pitre</t>
  </si>
  <si>
    <t>Elliot</t>
  </si>
  <si>
    <t>Pitre</t>
  </si>
  <si>
    <t>Alphédius Rochon</t>
  </si>
  <si>
    <t>Alphédius</t>
  </si>
  <si>
    <t>Rochon</t>
  </si>
  <si>
    <t>Barthelmi Therrien</t>
  </si>
  <si>
    <t>Barthelmi</t>
  </si>
  <si>
    <t>Therrien</t>
  </si>
  <si>
    <t>Doliva Piché</t>
  </si>
  <si>
    <t>Doliva</t>
  </si>
  <si>
    <t>Piché</t>
  </si>
  <si>
    <t>Flament Collard</t>
  </si>
  <si>
    <t>Flament</t>
  </si>
  <si>
    <t>Collard</t>
  </si>
  <si>
    <t>Jephte Ste-Marie</t>
  </si>
  <si>
    <t>Jephte</t>
  </si>
  <si>
    <t>Ste-Marie</t>
  </si>
  <si>
    <t>Emmy Kelly</t>
  </si>
  <si>
    <t>Emmy</t>
  </si>
  <si>
    <t>Kelly</t>
  </si>
  <si>
    <t>Ava Claveau</t>
  </si>
  <si>
    <t>Ava</t>
  </si>
  <si>
    <t>Claveau</t>
  </si>
  <si>
    <t>Maelle Jobin</t>
  </si>
  <si>
    <t>Maelle</t>
  </si>
  <si>
    <t>Jobin</t>
  </si>
  <si>
    <t>Arielle Tardif</t>
  </si>
  <si>
    <t>Arielle</t>
  </si>
  <si>
    <t>Tardif</t>
  </si>
  <si>
    <t>Alina Couillard</t>
  </si>
  <si>
    <t>Alina</t>
  </si>
  <si>
    <t>Couillard</t>
  </si>
  <si>
    <t>Rosilienne Verville</t>
  </si>
  <si>
    <t>Rosilienne</t>
  </si>
  <si>
    <t>Verville</t>
  </si>
  <si>
    <t>Auzilise Mireault</t>
  </si>
  <si>
    <t>Auzilise</t>
  </si>
  <si>
    <t>Mireault</t>
  </si>
  <si>
    <t>Séphorée Legaré</t>
  </si>
  <si>
    <t>Séphorée</t>
  </si>
  <si>
    <t>Legaré</t>
  </si>
  <si>
    <t>Dilia Guilbault</t>
  </si>
  <si>
    <t>Dilia</t>
  </si>
  <si>
    <t>Guilbault</t>
  </si>
  <si>
    <t>Mérilée Martineau</t>
  </si>
  <si>
    <t>Mérilée</t>
  </si>
  <si>
    <t>Martineau</t>
  </si>
  <si>
    <t>Wan Zhenya</t>
  </si>
  <si>
    <t>Wan</t>
  </si>
  <si>
    <t>Zhenya</t>
  </si>
  <si>
    <t>Xun Lei</t>
  </si>
  <si>
    <t>Lei</t>
  </si>
  <si>
    <t>Lin Yi</t>
  </si>
  <si>
    <t>Yi</t>
  </si>
  <si>
    <t>Li Zhihao</t>
  </si>
  <si>
    <t>Li</t>
  </si>
  <si>
    <t>Zhihao</t>
  </si>
  <si>
    <t>Fang Hua</t>
  </si>
  <si>
    <t>Fang</t>
  </si>
  <si>
    <t>Hua</t>
  </si>
  <si>
    <t>Jiang Huan</t>
  </si>
  <si>
    <t>Jiang</t>
  </si>
  <si>
    <t>Huan</t>
  </si>
  <si>
    <t>Zhu Cheng</t>
  </si>
  <si>
    <t>Zhu</t>
  </si>
  <si>
    <t>Chen Zhong</t>
  </si>
  <si>
    <t>Zhong</t>
  </si>
  <si>
    <t>Lian Jianhong</t>
  </si>
  <si>
    <t>Lian</t>
  </si>
  <si>
    <t>Jianhong</t>
  </si>
  <si>
    <t>Yi Zhi</t>
  </si>
  <si>
    <t>Zhi</t>
  </si>
  <si>
    <t>Liao Guanyu</t>
  </si>
  <si>
    <t>Liao</t>
  </si>
  <si>
    <t>Guanyu</t>
  </si>
  <si>
    <t>Hu Hong</t>
  </si>
  <si>
    <t>Hu</t>
  </si>
  <si>
    <t>Hong</t>
  </si>
  <si>
    <t>Du Fen</t>
  </si>
  <si>
    <t>Du</t>
  </si>
  <si>
    <t>Long Li</t>
  </si>
  <si>
    <t>Long</t>
  </si>
  <si>
    <t>Feng Zexi</t>
  </si>
  <si>
    <t>Feng</t>
  </si>
  <si>
    <t>Zexi</t>
  </si>
  <si>
    <t>Huang Hai</t>
  </si>
  <si>
    <t>Huang</t>
  </si>
  <si>
    <t>Hai</t>
  </si>
  <si>
    <t>Lang Na</t>
  </si>
  <si>
    <t>Lang</t>
  </si>
  <si>
    <t>Na</t>
  </si>
  <si>
    <t>Shi Guo</t>
  </si>
  <si>
    <t>Shi</t>
  </si>
  <si>
    <t>Guo</t>
  </si>
  <si>
    <t>Pan Yong</t>
  </si>
  <si>
    <t>Pan</t>
  </si>
  <si>
    <t>Yong</t>
  </si>
  <si>
    <t>Lei Chin</t>
  </si>
  <si>
    <t>Chin</t>
  </si>
  <si>
    <t>Abhinabhas Thakur</t>
  </si>
  <si>
    <t>Abhinabhas</t>
  </si>
  <si>
    <t>Thakur</t>
  </si>
  <si>
    <t>Prasad Tumbahangphe</t>
  </si>
  <si>
    <t>Prasad</t>
  </si>
  <si>
    <t>Tumbahangphe</t>
  </si>
  <si>
    <t>Dhananjay Yadav</t>
  </si>
  <si>
    <t>Dhananjay</t>
  </si>
  <si>
    <t>Yadav</t>
  </si>
  <si>
    <t>Ekalavya Salike</t>
  </si>
  <si>
    <t>Ekalavya</t>
  </si>
  <si>
    <t>Salike</t>
  </si>
  <si>
    <t>Bhakti Rumba</t>
  </si>
  <si>
    <t>Bhakti</t>
  </si>
  <si>
    <t>Rumba</t>
  </si>
  <si>
    <t>Madhur Benjankar</t>
  </si>
  <si>
    <t>Madhur</t>
  </si>
  <si>
    <t>Benjankar</t>
  </si>
  <si>
    <t>Shaan Bhetwal</t>
  </si>
  <si>
    <t>Shaan</t>
  </si>
  <si>
    <t>Bhetwal</t>
  </si>
  <si>
    <t>Lalit Pant</t>
  </si>
  <si>
    <t>Lalit</t>
  </si>
  <si>
    <t>Pant</t>
  </si>
  <si>
    <t>Gurudutt Chataut</t>
  </si>
  <si>
    <t>Gurudutt</t>
  </si>
  <si>
    <t>Chataut</t>
  </si>
  <si>
    <t>Kavi Shukla</t>
  </si>
  <si>
    <t>Kavi</t>
  </si>
  <si>
    <t>Shukla</t>
  </si>
  <si>
    <t>Suneela Ghorasaini</t>
  </si>
  <si>
    <t>Suneela</t>
  </si>
  <si>
    <t>Ghorasaini</t>
  </si>
  <si>
    <t>Falguni Dangi</t>
  </si>
  <si>
    <t>Falguni</t>
  </si>
  <si>
    <t>Dangi</t>
  </si>
  <si>
    <t>Sujaya Bamrel</t>
  </si>
  <si>
    <t>Sujaya</t>
  </si>
  <si>
    <t>Bamrel</t>
  </si>
  <si>
    <t>Amiri Ranjit</t>
  </si>
  <si>
    <t>Amiri</t>
  </si>
  <si>
    <t>Ranjit</t>
  </si>
  <si>
    <t>Saru Pudel</t>
  </si>
  <si>
    <t>Saru</t>
  </si>
  <si>
    <t>Pudel</t>
  </si>
  <si>
    <t>Adesha Badal</t>
  </si>
  <si>
    <t>Adesha</t>
  </si>
  <si>
    <t>Badal</t>
  </si>
  <si>
    <t>Ankita Niyogi</t>
  </si>
  <si>
    <t>Ankita</t>
  </si>
  <si>
    <t>Niyogi</t>
  </si>
  <si>
    <t>Nandani Rizal</t>
  </si>
  <si>
    <t>Nandani</t>
  </si>
  <si>
    <t>Rizal</t>
  </si>
  <si>
    <t>Bijaya Salike</t>
  </si>
  <si>
    <t>Bijaya</t>
  </si>
  <si>
    <t>Nihal Kandel</t>
  </si>
  <si>
    <t>Nihal</t>
  </si>
  <si>
    <t>Kandel</t>
  </si>
  <si>
    <t>François Bonnel</t>
  </si>
  <si>
    <t>Bonnel</t>
  </si>
  <si>
    <t>Frank Adnet</t>
  </si>
  <si>
    <t>Frank</t>
  </si>
  <si>
    <t>Adnet</t>
  </si>
  <si>
    <t>Jean-Charles Chappuis</t>
  </si>
  <si>
    <t>Jean-Charles</t>
  </si>
  <si>
    <t>Chappuis</t>
  </si>
  <si>
    <t>Théo Devereaux</t>
  </si>
  <si>
    <t>Théo</t>
  </si>
  <si>
    <t>Devereaux</t>
  </si>
  <si>
    <t>Nathan Lecocq</t>
  </si>
  <si>
    <t>Nathan</t>
  </si>
  <si>
    <t>Lecocq</t>
  </si>
  <si>
    <t>Abelin Laurent</t>
  </si>
  <si>
    <t>Abelin</t>
  </si>
  <si>
    <t>Laurent</t>
  </si>
  <si>
    <t>Bertrand Hector</t>
  </si>
  <si>
    <t>Bertrand</t>
  </si>
  <si>
    <t>Hector</t>
  </si>
  <si>
    <t>Maurice Gérald</t>
  </si>
  <si>
    <t>Maurice</t>
  </si>
  <si>
    <t>Gérald</t>
  </si>
  <si>
    <t>Guillaume Renou</t>
  </si>
  <si>
    <t>Guillaume</t>
  </si>
  <si>
    <t>Renou</t>
  </si>
  <si>
    <t>Victor Thiers</t>
  </si>
  <si>
    <t>Victor</t>
  </si>
  <si>
    <t>Thiers</t>
  </si>
  <si>
    <t>Edwige Bocuse</t>
  </si>
  <si>
    <t>Edwige</t>
  </si>
  <si>
    <t>Bocuse</t>
  </si>
  <si>
    <t>Coralie Mallet</t>
  </si>
  <si>
    <t>Coralie</t>
  </si>
  <si>
    <t>Mallet</t>
  </si>
  <si>
    <t>Lisette Hauet</t>
  </si>
  <si>
    <t>Lisette</t>
  </si>
  <si>
    <t>Hauet</t>
  </si>
  <si>
    <t>Tania Allard</t>
  </si>
  <si>
    <t>Tania</t>
  </si>
  <si>
    <t>Allard</t>
  </si>
  <si>
    <t>Natacha Gouin</t>
  </si>
  <si>
    <t>Natacha</t>
  </si>
  <si>
    <t>Gouin</t>
  </si>
  <si>
    <t>Sigolène Renou</t>
  </si>
  <si>
    <t>Sigolène</t>
  </si>
  <si>
    <t>Dominique Bachelot</t>
  </si>
  <si>
    <t>Dominique</t>
  </si>
  <si>
    <t>Bachelot</t>
  </si>
  <si>
    <t>Rachelle Beaumanoir</t>
  </si>
  <si>
    <t>Rachelle</t>
  </si>
  <si>
    <t>Beaumanoir</t>
  </si>
  <si>
    <t>Lucie Boudier</t>
  </si>
  <si>
    <t>Lucie</t>
  </si>
  <si>
    <t>Boudier</t>
  </si>
  <si>
    <t>Ghoost Leavitt</t>
  </si>
  <si>
    <t>Ghoost</t>
  </si>
  <si>
    <t>Leavitt</t>
  </si>
  <si>
    <t>Cees van Steijn</t>
  </si>
  <si>
    <t>Cees</t>
  </si>
  <si>
    <t>van Steijn</t>
  </si>
  <si>
    <t>Chiel Golts</t>
  </si>
  <si>
    <t>Chiel</t>
  </si>
  <si>
    <t>Golts</t>
  </si>
  <si>
    <t>Rikkert te Hove</t>
  </si>
  <si>
    <t>Rikkert</t>
  </si>
  <si>
    <t>te Hove</t>
  </si>
  <si>
    <t>Daan Hannink</t>
  </si>
  <si>
    <t>Daan</t>
  </si>
  <si>
    <t>Hannink</t>
  </si>
  <si>
    <t>Naud Stolmeijer</t>
  </si>
  <si>
    <t>Naud</t>
  </si>
  <si>
    <t>Stolmeijer</t>
  </si>
  <si>
    <t>Albert-Jan Hoendermans</t>
  </si>
  <si>
    <t>Albert-Jan</t>
  </si>
  <si>
    <t>Hoendermans</t>
  </si>
  <si>
    <t>Jeroen Bannink</t>
  </si>
  <si>
    <t>Jeroen</t>
  </si>
  <si>
    <t>Bannink</t>
  </si>
  <si>
    <t>Michiel Vlogtman</t>
  </si>
  <si>
    <t>Michiel</t>
  </si>
  <si>
    <t>Vlogtman</t>
  </si>
  <si>
    <t>Arend Ruurknick</t>
  </si>
  <si>
    <t>Arend</t>
  </si>
  <si>
    <t>Ruurknick</t>
  </si>
  <si>
    <t>Lars Reurkink</t>
  </si>
  <si>
    <t>Lars</t>
  </si>
  <si>
    <t>Reurkink</t>
  </si>
  <si>
    <t>Marjolijn Blikmans</t>
  </si>
  <si>
    <t>Marjolijn</t>
  </si>
  <si>
    <t>Blikmans</t>
  </si>
  <si>
    <t>Anne-Marije Haase</t>
  </si>
  <si>
    <t>Anne-Marije</t>
  </si>
  <si>
    <t>Haase</t>
  </si>
  <si>
    <t>Suusje Tuink</t>
  </si>
  <si>
    <t>Suusje</t>
  </si>
  <si>
    <t>Tuink</t>
  </si>
  <si>
    <t>Sofie Geerlink</t>
  </si>
  <si>
    <t>Sofie</t>
  </si>
  <si>
    <t>Geerlink</t>
  </si>
  <si>
    <t>Lieke Agter Eekte</t>
  </si>
  <si>
    <t>Lieke</t>
  </si>
  <si>
    <t>Agter Eekte</t>
  </si>
  <si>
    <t>Anneloes van Schelven</t>
  </si>
  <si>
    <t>Anneloes</t>
  </si>
  <si>
    <t>van Schelven</t>
  </si>
  <si>
    <t>Paulien Prinsen</t>
  </si>
  <si>
    <t>Paulien</t>
  </si>
  <si>
    <t>Prinsen</t>
  </si>
  <si>
    <t>Eliza Zennipman</t>
  </si>
  <si>
    <t>Eliza</t>
  </si>
  <si>
    <t>Zennipman</t>
  </si>
  <si>
    <t>Ineke de Beuze</t>
  </si>
  <si>
    <t>Ineke</t>
  </si>
  <si>
    <t>de Beuze</t>
  </si>
  <si>
    <t>Elsanne Broekkotte</t>
  </si>
  <si>
    <t>Elsanne</t>
  </si>
  <si>
    <t>Broekkotte</t>
  </si>
  <si>
    <t>Joseph Gabriele</t>
  </si>
  <si>
    <t>Joseph</t>
  </si>
  <si>
    <t>Gabriele</t>
  </si>
  <si>
    <t>Nunzio Deguara</t>
  </si>
  <si>
    <t>Nunzio</t>
  </si>
  <si>
    <t>Deguara</t>
  </si>
  <si>
    <t>Alessandru Petralita</t>
  </si>
  <si>
    <t>Alessandru</t>
  </si>
  <si>
    <t>Petralita</t>
  </si>
  <si>
    <t>Spiru Odoart</t>
  </si>
  <si>
    <t>Spiru</t>
  </si>
  <si>
    <t>Odoart</t>
  </si>
  <si>
    <t>Karmnu Triganza</t>
  </si>
  <si>
    <t>Karmnu</t>
  </si>
  <si>
    <t>Triganza</t>
  </si>
  <si>
    <t>Marċell Cachia</t>
  </si>
  <si>
    <t>Marċell</t>
  </si>
  <si>
    <t>Cachia</t>
  </si>
  <si>
    <t>Jake Alden</t>
  </si>
  <si>
    <t>Alden</t>
  </si>
  <si>
    <t>Julien Demarco</t>
  </si>
  <si>
    <t>Julien</t>
  </si>
  <si>
    <t>Demarco</t>
  </si>
  <si>
    <t>Kaiden Mariani</t>
  </si>
  <si>
    <t>Kaiden</t>
  </si>
  <si>
    <t>Mariani</t>
  </si>
  <si>
    <t>Vestru Nuner</t>
  </si>
  <si>
    <t>Vestru</t>
  </si>
  <si>
    <t>Nuner</t>
  </si>
  <si>
    <t>Makaila Audibert</t>
  </si>
  <si>
    <t>Makaila</t>
  </si>
  <si>
    <t>Audibert</t>
  </si>
  <si>
    <t>Ġuża Tiroll</t>
  </si>
  <si>
    <t>Ġuża</t>
  </si>
  <si>
    <t>Tiroll</t>
  </si>
  <si>
    <t>Nina Decesare</t>
  </si>
  <si>
    <t>Nina</t>
  </si>
  <si>
    <t>Decesare</t>
  </si>
  <si>
    <t>Giuseppina Francalanza</t>
  </si>
  <si>
    <t>Giuseppina</t>
  </si>
  <si>
    <t>Francalanza</t>
  </si>
  <si>
    <t>Catherine Dingli</t>
  </si>
  <si>
    <t>Catherine</t>
  </si>
  <si>
    <t>Dingli</t>
  </si>
  <si>
    <t>Raquel Travisano</t>
  </si>
  <si>
    <t>Raquel</t>
  </si>
  <si>
    <t>Travisano</t>
  </si>
  <si>
    <t>Ylenia De Micoli</t>
  </si>
  <si>
    <t>Ylenia</t>
  </si>
  <si>
    <t>De Micoli</t>
  </si>
  <si>
    <t>Hailee Battaglia</t>
  </si>
  <si>
    <t>Hailee</t>
  </si>
  <si>
    <t>Battaglia</t>
  </si>
  <si>
    <t>Guza Bugelli</t>
  </si>
  <si>
    <t>Guza</t>
  </si>
  <si>
    <t>Bugelli</t>
  </si>
  <si>
    <t>Pina Palma</t>
  </si>
  <si>
    <t>Pina</t>
  </si>
  <si>
    <t>Palma</t>
  </si>
  <si>
    <t>Trokhym Oleksyuk</t>
  </si>
  <si>
    <t>Trokhym</t>
  </si>
  <si>
    <t>Oleksyuk</t>
  </si>
  <si>
    <t>Vasyl Honcharov</t>
  </si>
  <si>
    <t>Vasyl</t>
  </si>
  <si>
    <t>Honcharov</t>
  </si>
  <si>
    <t>Henadij Kohut</t>
  </si>
  <si>
    <t>Henadij</t>
  </si>
  <si>
    <t>Kohut</t>
  </si>
  <si>
    <t>Vitalij Kolisnyk</t>
  </si>
  <si>
    <t>Vitalij</t>
  </si>
  <si>
    <t>Kolisnyk</t>
  </si>
  <si>
    <t>Yurij Burlaka</t>
  </si>
  <si>
    <t>Yurij</t>
  </si>
  <si>
    <t>Burlaka</t>
  </si>
  <si>
    <t>Roman Zozulya</t>
  </si>
  <si>
    <t>Roman</t>
  </si>
  <si>
    <t>Zozulya</t>
  </si>
  <si>
    <t>Viktor Semenov</t>
  </si>
  <si>
    <t>Viktor</t>
  </si>
  <si>
    <t>Semenov</t>
  </si>
  <si>
    <t>Vyacheslav Mykytyuk</t>
  </si>
  <si>
    <t>Vyacheslav</t>
  </si>
  <si>
    <t>Mykytyuk</t>
  </si>
  <si>
    <t>Ivan Avramenko</t>
  </si>
  <si>
    <t>Ivan</t>
  </si>
  <si>
    <t>Avramenko</t>
  </si>
  <si>
    <t>Illya Melnychuk</t>
  </si>
  <si>
    <t>Illya</t>
  </si>
  <si>
    <t>Melnychuk</t>
  </si>
  <si>
    <t>Valentyna Petrenko</t>
  </si>
  <si>
    <t>Valentyna</t>
  </si>
  <si>
    <t>Petrenko</t>
  </si>
  <si>
    <t>Zhanna Stetsyuk</t>
  </si>
  <si>
    <t>Zhanna</t>
  </si>
  <si>
    <t>Stetsyuk</t>
  </si>
  <si>
    <t>Bronislava Nikolenko</t>
  </si>
  <si>
    <t>Bronislava</t>
  </si>
  <si>
    <t>Nikolenko</t>
  </si>
  <si>
    <t>Oksana Symonenko</t>
  </si>
  <si>
    <t>Oksana</t>
  </si>
  <si>
    <t>Symonenko</t>
  </si>
  <si>
    <t>Polina Havrysh</t>
  </si>
  <si>
    <t>Polina</t>
  </si>
  <si>
    <t>Havrysh</t>
  </si>
  <si>
    <t>Vladyslava Didyk</t>
  </si>
  <si>
    <t>Vladyslava</t>
  </si>
  <si>
    <t>Didyk</t>
  </si>
  <si>
    <t>Orysya Dovhan</t>
  </si>
  <si>
    <t>Orysya</t>
  </si>
  <si>
    <t>Dovhan</t>
  </si>
  <si>
    <t>Rayisa Denysyuk</t>
  </si>
  <si>
    <t>Rayisa</t>
  </si>
  <si>
    <t>Denysyuk</t>
  </si>
  <si>
    <t>Lina Burlaka</t>
  </si>
  <si>
    <t>Lina</t>
  </si>
  <si>
    <t>Hanna Barabash</t>
  </si>
  <si>
    <t>Hanna</t>
  </si>
  <si>
    <t>Barabash</t>
  </si>
  <si>
    <t>Rafal Wakstok</t>
  </si>
  <si>
    <t>Rafal</t>
  </si>
  <si>
    <t>Jannes Spiro</t>
  </si>
  <si>
    <t>Jannes</t>
  </si>
  <si>
    <t>Spiro</t>
  </si>
  <si>
    <t>Yitzchok Zlato</t>
  </si>
  <si>
    <t>Yitzchok</t>
  </si>
  <si>
    <t>Zlato</t>
  </si>
  <si>
    <t>Joachim Watterman</t>
  </si>
  <si>
    <t>Joachim</t>
  </si>
  <si>
    <t>Avimelech Sarlin</t>
  </si>
  <si>
    <t>Avimelech</t>
  </si>
  <si>
    <t>Sarlin</t>
  </si>
  <si>
    <t>Gil Duchan</t>
  </si>
  <si>
    <t>Gil</t>
  </si>
  <si>
    <t>Duchan</t>
  </si>
  <si>
    <t>Noach Abraham</t>
  </si>
  <si>
    <t>Noach</t>
  </si>
  <si>
    <t>Abraham</t>
  </si>
  <si>
    <t>Samuel Kershen</t>
  </si>
  <si>
    <t>Kershen</t>
  </si>
  <si>
    <t>Evelyn Frankel</t>
  </si>
  <si>
    <t>Frankel</t>
  </si>
  <si>
    <t>Elazar Prais</t>
  </si>
  <si>
    <t>Elazar</t>
  </si>
  <si>
    <t>Prais</t>
  </si>
  <si>
    <t>Yana Pazy</t>
  </si>
  <si>
    <t>Yana</t>
  </si>
  <si>
    <t>Pazy</t>
  </si>
  <si>
    <t>Sigalit Goulston</t>
  </si>
  <si>
    <t>Aliza Homa</t>
  </si>
  <si>
    <t>Aliza</t>
  </si>
  <si>
    <t>Homa</t>
  </si>
  <si>
    <t>Eva Mendel</t>
  </si>
  <si>
    <t>Mendel</t>
  </si>
  <si>
    <t>Sara Goldberg</t>
  </si>
  <si>
    <t>Sara</t>
  </si>
  <si>
    <t>Goldberg</t>
  </si>
  <si>
    <t>Karmit Kempinski</t>
  </si>
  <si>
    <t>Karmit</t>
  </si>
  <si>
    <t>Kempinski</t>
  </si>
  <si>
    <t>Lilit Baskin</t>
  </si>
  <si>
    <t>Lilit</t>
  </si>
  <si>
    <t>Baskin</t>
  </si>
  <si>
    <t>Pazit Alter</t>
  </si>
  <si>
    <t>Alter</t>
  </si>
  <si>
    <t>Shira Frankau</t>
  </si>
  <si>
    <t>Shira</t>
  </si>
  <si>
    <t>Pnina Lahrheim</t>
  </si>
  <si>
    <t>Pnina</t>
  </si>
  <si>
    <t>Lahrheim</t>
  </si>
  <si>
    <t>Aaron Wynter</t>
  </si>
  <si>
    <t>Aaron</t>
  </si>
  <si>
    <t>Wynter</t>
  </si>
  <si>
    <t>Anthony Webb</t>
  </si>
  <si>
    <t>Anthony</t>
  </si>
  <si>
    <t>Webb</t>
  </si>
  <si>
    <t>Jack Lawson</t>
  </si>
  <si>
    <t>Jack</t>
  </si>
  <si>
    <t>Mitchell Fielding</t>
  </si>
  <si>
    <t>Mitchell</t>
  </si>
  <si>
    <t>Fielding</t>
  </si>
  <si>
    <t>George McNeil</t>
  </si>
  <si>
    <t>McNeil</t>
  </si>
  <si>
    <t>Theodore Tanner</t>
  </si>
  <si>
    <t>Theodore</t>
  </si>
  <si>
    <t>Sebastian Hamblin</t>
  </si>
  <si>
    <t>Hamblin</t>
  </si>
  <si>
    <t>Lucas Sacks</t>
  </si>
  <si>
    <t>Sacks</t>
  </si>
  <si>
    <t>Carter Thomson</t>
  </si>
  <si>
    <t>Carter</t>
  </si>
  <si>
    <t>Elijah Mills</t>
  </si>
  <si>
    <t>Elijah</t>
  </si>
  <si>
    <t>Mills</t>
  </si>
  <si>
    <t>Abbey Rogers</t>
  </si>
  <si>
    <t>Abbey</t>
  </si>
  <si>
    <t>Caitlin Monk</t>
  </si>
  <si>
    <t>Monk</t>
  </si>
  <si>
    <t>Lauren Glenn</t>
  </si>
  <si>
    <t>Lauren</t>
  </si>
  <si>
    <t>Glenn</t>
  </si>
  <si>
    <t>Eleanor Gill</t>
  </si>
  <si>
    <t>Eleanor</t>
  </si>
  <si>
    <t>Elsie Monson</t>
  </si>
  <si>
    <t>Elsie</t>
  </si>
  <si>
    <t>Monson</t>
  </si>
  <si>
    <t>Lillian Bishop</t>
  </si>
  <si>
    <t>Lillian</t>
  </si>
  <si>
    <t>Gemma Harman</t>
  </si>
  <si>
    <t>Gemma</t>
  </si>
  <si>
    <t>Harman</t>
  </si>
  <si>
    <t>Sadie McLean</t>
  </si>
  <si>
    <t>McLean</t>
  </si>
  <si>
    <t>Alice Black</t>
  </si>
  <si>
    <t>Black</t>
  </si>
  <si>
    <t>Claudia Hamblin</t>
  </si>
  <si>
    <t>Claudia</t>
  </si>
  <si>
    <t>Tana Tipene</t>
  </si>
  <si>
    <t>Tana</t>
  </si>
  <si>
    <t>Tipene</t>
  </si>
  <si>
    <t>Paipa Raharuhi</t>
  </si>
  <si>
    <t>Paipa</t>
  </si>
  <si>
    <t>Raharuhi</t>
  </si>
  <si>
    <t>Pakanga Pihopa</t>
  </si>
  <si>
    <t>Pakanga</t>
  </si>
  <si>
    <t>Pihopa</t>
  </si>
  <si>
    <t>Raione Rehipeti</t>
  </si>
  <si>
    <t>Raione</t>
  </si>
  <si>
    <t>Rehipeti</t>
  </si>
  <si>
    <t>Kiri Wirihana</t>
  </si>
  <si>
    <t>Kiri</t>
  </si>
  <si>
    <t>Wirihana</t>
  </si>
  <si>
    <t>Ahuru Kerehoma</t>
  </si>
  <si>
    <t>Ahuru</t>
  </si>
  <si>
    <t>Kerehoma</t>
  </si>
  <si>
    <t>Urepa Taimona</t>
  </si>
  <si>
    <t>Urepa</t>
  </si>
  <si>
    <t>Taimona</t>
  </si>
  <si>
    <t>Ruki Rata</t>
  </si>
  <si>
    <t>Ruki</t>
  </si>
  <si>
    <t>Rata</t>
  </si>
  <si>
    <t>Paau Wati</t>
  </si>
  <si>
    <t>Paau</t>
  </si>
  <si>
    <t>Wati</t>
  </si>
  <si>
    <t>Rua Pekama</t>
  </si>
  <si>
    <t>Rua</t>
  </si>
  <si>
    <t>Pekama</t>
  </si>
  <si>
    <t>LaMiria Matene</t>
  </si>
  <si>
    <t>LaMiria</t>
  </si>
  <si>
    <t>Matene</t>
  </si>
  <si>
    <t>Tarangi Eketone</t>
  </si>
  <si>
    <t>Tarangi</t>
  </si>
  <si>
    <t>Eketone</t>
  </si>
  <si>
    <t>Waewai Kerehoma</t>
  </si>
  <si>
    <t>Waewai</t>
  </si>
  <si>
    <t>Taimana Watihana</t>
  </si>
  <si>
    <t>Taimana</t>
  </si>
  <si>
    <t>Watihana</t>
  </si>
  <si>
    <t>Amiria Munu</t>
  </si>
  <si>
    <t>Amiria</t>
  </si>
  <si>
    <t>Munu</t>
  </si>
  <si>
    <t>Tahupotiki Hariwana</t>
  </si>
  <si>
    <t>Tahupotiki</t>
  </si>
  <si>
    <t>Hariwana</t>
  </si>
  <si>
    <t>Arona Waaka</t>
  </si>
  <si>
    <t>Arona</t>
  </si>
  <si>
    <t>Waaka</t>
  </si>
  <si>
    <t>Heeni Raharuhi</t>
  </si>
  <si>
    <t>Heeni</t>
  </si>
  <si>
    <t>TePura Kerehoma</t>
  </si>
  <si>
    <t>TePura</t>
  </si>
  <si>
    <t>Ihanga Mete</t>
  </si>
  <si>
    <t>Ihanga</t>
  </si>
  <si>
    <t>Mete</t>
  </si>
  <si>
    <t>Item</t>
  </si>
  <si>
    <t>Low</t>
  </si>
  <si>
    <t>High</t>
  </si>
  <si>
    <t>FLow</t>
  </si>
  <si>
    <t>FHigh</t>
  </si>
  <si>
    <t>Column1</t>
  </si>
  <si>
    <t>ASSET/SERVICE</t>
  </si>
  <si>
    <t>Student loan</t>
  </si>
  <si>
    <t>SERVICE</t>
  </si>
  <si>
    <t>Business loan</t>
  </si>
  <si>
    <t>Home renovation</t>
  </si>
  <si>
    <t>Debt consolidation</t>
  </si>
  <si>
    <t>Medical expense</t>
  </si>
  <si>
    <t>Wedding</t>
  </si>
  <si>
    <t>Vacation</t>
  </si>
  <si>
    <t>New kitchen appliance</t>
  </si>
  <si>
    <t>ASSET</t>
  </si>
  <si>
    <t>Camper</t>
  </si>
  <si>
    <t>Pet's surgery</t>
  </si>
  <si>
    <t>Computer</t>
  </si>
  <si>
    <t>Smart phone</t>
  </si>
  <si>
    <t>Professional certification</t>
  </si>
  <si>
    <t>Home security upgrade</t>
  </si>
  <si>
    <t>Hot water heater</t>
  </si>
  <si>
    <t>Stereo system</t>
  </si>
  <si>
    <t>Roof repair</t>
  </si>
  <si>
    <t>Jetski</t>
  </si>
  <si>
    <t>Electrical redundancy system</t>
  </si>
  <si>
    <t>Emergency dental visit</t>
  </si>
  <si>
    <t>Childcare program</t>
  </si>
  <si>
    <t xml:space="preserve">Funeral </t>
  </si>
  <si>
    <t>Home insulation upgrade</t>
  </si>
  <si>
    <t>Vehicle repair</t>
  </si>
  <si>
    <t>Solar panel installation</t>
  </si>
  <si>
    <t>Mobility aid (e.g., wheelchair, lift)</t>
  </si>
  <si>
    <t>Small business startup</t>
  </si>
  <si>
    <t>Business registration fee</t>
  </si>
  <si>
    <t>Household furniture set</t>
  </si>
  <si>
    <t>Home office setup</t>
  </si>
  <si>
    <t>Solar home heating system</t>
  </si>
  <si>
    <t>Hybrid vehicle down payment</t>
  </si>
  <si>
    <t>Replacement refrigerator</t>
  </si>
  <si>
    <t>Plumbing repair tool</t>
  </si>
  <si>
    <t>Dental alignment appliance</t>
  </si>
  <si>
    <t>Cultural celebration (e.g., wedding, quinceañera)</t>
  </si>
  <si>
    <t>Home theater projector</t>
  </si>
  <si>
    <t>Surround sound system</t>
  </si>
  <si>
    <t>Family holiday</t>
  </si>
  <si>
    <t>Legal dispute (e.g., divorce, custody)</t>
  </si>
  <si>
    <t>Rainwater harvesting system</t>
  </si>
  <si>
    <t>Sun room addition</t>
  </si>
  <si>
    <t>Major holiday</t>
  </si>
  <si>
    <t>Repair after a natural disaster</t>
  </si>
  <si>
    <t>Riding lawnmower</t>
  </si>
  <si>
    <t>Water filtration system</t>
  </si>
  <si>
    <t>Object</t>
  </si>
  <si>
    <t>QtyinPack</t>
  </si>
  <si>
    <t>UnitLow</t>
  </si>
  <si>
    <t>UnitHigh</t>
  </si>
  <si>
    <t>PersonUses</t>
  </si>
  <si>
    <t>Category</t>
  </si>
  <si>
    <t>UnitSINGULAR</t>
  </si>
  <si>
    <t>UnitPLURAL</t>
  </si>
  <si>
    <t>ProfessionArticle</t>
  </si>
  <si>
    <t>ObjectSingular</t>
  </si>
  <si>
    <t>hand-held calculators</t>
  </si>
  <si>
    <t>accountant</t>
  </si>
  <si>
    <t>Discrete Asset</t>
  </si>
  <si>
    <t>calculator</t>
  </si>
  <si>
    <t>calculators</t>
  </si>
  <si>
    <t>an</t>
  </si>
  <si>
    <t>rolls of electrical tape</t>
  </si>
  <si>
    <t>appliance repairer</t>
  </si>
  <si>
    <t>Ambiguous</t>
  </si>
  <si>
    <t>roll</t>
  </si>
  <si>
    <t>rolls</t>
  </si>
  <si>
    <t>tape</t>
  </si>
  <si>
    <t>small hand trowels</t>
  </si>
  <si>
    <t>archaeologist</t>
  </si>
  <si>
    <t>trowel</t>
  </si>
  <si>
    <t>trowels</t>
  </si>
  <si>
    <t>filing folders</t>
  </si>
  <si>
    <t>archivist</t>
  </si>
  <si>
    <t>folder</t>
  </si>
  <si>
    <t>folders</t>
  </si>
  <si>
    <t>small paintbrushes</t>
  </si>
  <si>
    <t>artist</t>
  </si>
  <si>
    <t>paintbrush</t>
  </si>
  <si>
    <t>paintbrushes</t>
  </si>
  <si>
    <t>sets of allen wrenches</t>
  </si>
  <si>
    <t>assembler</t>
  </si>
  <si>
    <t>set</t>
  </si>
  <si>
    <t>sets</t>
  </si>
  <si>
    <t>wrenches</t>
  </si>
  <si>
    <t>loaves of sourdough bread</t>
  </si>
  <si>
    <t>baker</t>
  </si>
  <si>
    <t>Measurable/Consumable</t>
  </si>
  <si>
    <t>loaf</t>
  </si>
  <si>
    <t>loaves</t>
  </si>
  <si>
    <t>a</t>
  </si>
  <si>
    <t>bread</t>
  </si>
  <si>
    <t>cans of shaving cream</t>
  </si>
  <si>
    <t>barber</t>
  </si>
  <si>
    <t>can</t>
  </si>
  <si>
    <t>cans</t>
  </si>
  <si>
    <t>shaving cream</t>
  </si>
  <si>
    <t>pounds of coffee beans</t>
  </si>
  <si>
    <t>barista</t>
  </si>
  <si>
    <t>pound</t>
  </si>
  <si>
    <t>pounds</t>
  </si>
  <si>
    <t>coffee beans</t>
  </si>
  <si>
    <t>kilograms of coffee beans</t>
  </si>
  <si>
    <t>kilogram</t>
  </si>
  <si>
    <t>kilograms</t>
  </si>
  <si>
    <t>small cans of wd-40</t>
  </si>
  <si>
    <t>bicycle repairperson</t>
  </si>
  <si>
    <t>wd-40</t>
  </si>
  <si>
    <t>8 foot pine 2x4 planks</t>
  </si>
  <si>
    <t>builder</t>
  </si>
  <si>
    <t>plank</t>
  </si>
  <si>
    <t>planks</t>
  </si>
  <si>
    <t>pounds of ground beef</t>
  </si>
  <si>
    <t>butcher</t>
  </si>
  <si>
    <t>beef</t>
  </si>
  <si>
    <t>sheets of plywood</t>
  </si>
  <si>
    <t>cabinet maker</t>
  </si>
  <si>
    <t>sheet</t>
  </si>
  <si>
    <t>sheets</t>
  </si>
  <si>
    <t>plywood</t>
  </si>
  <si>
    <t>golf balls</t>
  </si>
  <si>
    <t>caddy</t>
  </si>
  <si>
    <t>ball</t>
  </si>
  <si>
    <t>balls</t>
  </si>
  <si>
    <t>headsets with microphone</t>
  </si>
  <si>
    <t>call center manager</t>
  </si>
  <si>
    <t>headset</t>
  </si>
  <si>
    <t>headsets</t>
  </si>
  <si>
    <t>bundles of firewood</t>
  </si>
  <si>
    <t>camp counselor</t>
  </si>
  <si>
    <t>bundle</t>
  </si>
  <si>
    <t>bundles</t>
  </si>
  <si>
    <t>firewood</t>
  </si>
  <si>
    <t>rolls of tinfoil</t>
  </si>
  <si>
    <t>caterer</t>
  </si>
  <si>
    <t>tinfoil</t>
  </si>
  <si>
    <t>grapefruits</t>
  </si>
  <si>
    <t>chef</t>
  </si>
  <si>
    <t>grapefruit</t>
  </si>
  <si>
    <t>bags of lemons</t>
  </si>
  <si>
    <t>bag</t>
  </si>
  <si>
    <t>bags</t>
  </si>
  <si>
    <t>lemons</t>
  </si>
  <si>
    <t>safety goggles</t>
  </si>
  <si>
    <t>chemist</t>
  </si>
  <si>
    <t>pair</t>
  </si>
  <si>
    <t>pairs</t>
  </si>
  <si>
    <t>goggles</t>
  </si>
  <si>
    <t>water bottles</t>
  </si>
  <si>
    <t>coach</t>
  </si>
  <si>
    <t>bottle</t>
  </si>
  <si>
    <t>bottles</t>
  </si>
  <si>
    <t>usb flash drives</t>
  </si>
  <si>
    <t>computer technician</t>
  </si>
  <si>
    <t>drive</t>
  </si>
  <si>
    <t>drives</t>
  </si>
  <si>
    <t>flash drives</t>
  </si>
  <si>
    <t>small bottles of food coloring</t>
  </si>
  <si>
    <t>confectioner</t>
  </si>
  <si>
    <t>food coloring</t>
  </si>
  <si>
    <t>safety vests</t>
  </si>
  <si>
    <t>construction worker</t>
  </si>
  <si>
    <t>vest</t>
  </si>
  <si>
    <t>vests</t>
  </si>
  <si>
    <t>disposable razors</t>
  </si>
  <si>
    <t>cosmetologist</t>
  </si>
  <si>
    <t>package</t>
  </si>
  <si>
    <t>packages</t>
  </si>
  <si>
    <t>razors</t>
  </si>
  <si>
    <t>blocks of styrofoam</t>
  </si>
  <si>
    <t>crafter</t>
  </si>
  <si>
    <t>block</t>
  </si>
  <si>
    <t>blocks</t>
  </si>
  <si>
    <t>styrofoam</t>
  </si>
  <si>
    <t>blocks of dry ice</t>
  </si>
  <si>
    <t>cryo-technician</t>
  </si>
  <si>
    <t>dry ice</t>
  </si>
  <si>
    <t>tubes of icing</t>
  </si>
  <si>
    <t>culinary artist</t>
  </si>
  <si>
    <t>tube</t>
  </si>
  <si>
    <t>tubes</t>
  </si>
  <si>
    <t>icing</t>
  </si>
  <si>
    <t>microfiber cloths</t>
  </si>
  <si>
    <t>custodian</t>
  </si>
  <si>
    <t>cloth</t>
  </si>
  <si>
    <t>cloths</t>
  </si>
  <si>
    <t>rolls of wallpaper</t>
  </si>
  <si>
    <t>decorator</t>
  </si>
  <si>
    <t>wallpaper</t>
  </si>
  <si>
    <t>bagels</t>
  </si>
  <si>
    <t>deli clerk</t>
  </si>
  <si>
    <t>bagel</t>
  </si>
  <si>
    <t>batgels</t>
  </si>
  <si>
    <t>tubes of toothpaste</t>
  </si>
  <si>
    <t>dental hygienist</t>
  </si>
  <si>
    <t>toothpaste</t>
  </si>
  <si>
    <t>sponges</t>
  </si>
  <si>
    <t>dishwasher</t>
  </si>
  <si>
    <t>pack</t>
  </si>
  <si>
    <t>packs</t>
  </si>
  <si>
    <t>small rulers</t>
  </si>
  <si>
    <t>drafter</t>
  </si>
  <si>
    <t>ruler</t>
  </si>
  <si>
    <t>rulers</t>
  </si>
  <si>
    <t>drywall screws</t>
  </si>
  <si>
    <t>drywaller</t>
  </si>
  <si>
    <t>box</t>
  </si>
  <si>
    <t>boxes</t>
  </si>
  <si>
    <t>screws</t>
  </si>
  <si>
    <t>bundles of wires</t>
  </si>
  <si>
    <t>electrician</t>
  </si>
  <si>
    <t>wires</t>
  </si>
  <si>
    <t>batteries</t>
  </si>
  <si>
    <t>boxes of business cards</t>
  </si>
  <si>
    <t>entrepreneur</t>
  </si>
  <si>
    <t>cards</t>
  </si>
  <si>
    <t>boxes of paper clips</t>
  </si>
  <si>
    <t>executive assistant</t>
  </si>
  <si>
    <t>paper clips</t>
  </si>
  <si>
    <t>sheets of sandpaper</t>
  </si>
  <si>
    <t>finisher</t>
  </si>
  <si>
    <t>sandpaper</t>
  </si>
  <si>
    <t>cans of tuna</t>
  </si>
  <si>
    <t>food bank volunteer</t>
  </si>
  <si>
    <t>tuna</t>
  </si>
  <si>
    <t>propane</t>
  </si>
  <si>
    <t>food cart vendor</t>
  </si>
  <si>
    <t>tank</t>
  </si>
  <si>
    <t>tanks</t>
  </si>
  <si>
    <t>blocks of cheese</t>
  </si>
  <si>
    <t>fromager</t>
  </si>
  <si>
    <t>cheese</t>
  </si>
  <si>
    <t>wood stain</t>
  </si>
  <si>
    <t>furniture restorer</t>
  </si>
  <si>
    <t>stain</t>
  </si>
  <si>
    <t>bags of soil</t>
  </si>
  <si>
    <t>gardener</t>
  </si>
  <si>
    <t>soil</t>
  </si>
  <si>
    <t>compasses</t>
  </si>
  <si>
    <t>geologist</t>
  </si>
  <si>
    <t>compass</t>
  </si>
  <si>
    <t>spray paint</t>
  </si>
  <si>
    <t>graffiti artist</t>
  </si>
  <si>
    <t>paint</t>
  </si>
  <si>
    <t>colored cardstock</t>
  </si>
  <si>
    <t>graphic designer</t>
  </si>
  <si>
    <t>cardstock</t>
  </si>
  <si>
    <t>4l carton of milk</t>
  </si>
  <si>
    <t>grocer</t>
  </si>
  <si>
    <t>carton</t>
  </si>
  <si>
    <t>cartons</t>
  </si>
  <si>
    <t>milk</t>
  </si>
  <si>
    <t>mulch</t>
  </si>
  <si>
    <t>groundskeeper</t>
  </si>
  <si>
    <t>bottles of shampoo</t>
  </si>
  <si>
    <t>hair stylist</t>
  </si>
  <si>
    <t>shampoo</t>
  </si>
  <si>
    <t>super glue</t>
  </si>
  <si>
    <t>hobbyist</t>
  </si>
  <si>
    <t>glue</t>
  </si>
  <si>
    <t>bags of flour</t>
  </si>
  <si>
    <t>home economist</t>
  </si>
  <si>
    <t>flour</t>
  </si>
  <si>
    <t>fertilizer</t>
  </si>
  <si>
    <t>horticulturist</t>
  </si>
  <si>
    <t>gallons of exterior paint</t>
  </si>
  <si>
    <t>house painter</t>
  </si>
  <si>
    <t>gallon</t>
  </si>
  <si>
    <t>gallons</t>
  </si>
  <si>
    <t>jars of printer ink</t>
  </si>
  <si>
    <t>illustrator</t>
  </si>
  <si>
    <t>jar</t>
  </si>
  <si>
    <t>jars</t>
  </si>
  <si>
    <t>ink</t>
  </si>
  <si>
    <t>insulation</t>
  </si>
  <si>
    <t>insulator</t>
  </si>
  <si>
    <t>bale</t>
  </si>
  <si>
    <t>bales</t>
  </si>
  <si>
    <t>concrete anchors</t>
  </si>
  <si>
    <t>ironworker</t>
  </si>
  <si>
    <t>anchors</t>
  </si>
  <si>
    <t>window cleaner</t>
  </si>
  <si>
    <t>janitor</t>
  </si>
  <si>
    <t>cleaner</t>
  </si>
  <si>
    <t>magnifying glasses</t>
  </si>
  <si>
    <t>jeweler</t>
  </si>
  <si>
    <t>glass</t>
  </si>
  <si>
    <t>glasses</t>
  </si>
  <si>
    <t>gravel bags</t>
  </si>
  <si>
    <t>landscaper</t>
  </si>
  <si>
    <t>gravel</t>
  </si>
  <si>
    <t>first aid kits</t>
  </si>
  <si>
    <t>lifeguard</t>
  </si>
  <si>
    <t>kit</t>
  </si>
  <si>
    <t>kits</t>
  </si>
  <si>
    <t>bags of concrete mix</t>
  </si>
  <si>
    <t>mason</t>
  </si>
  <si>
    <t>concrete</t>
  </si>
  <si>
    <t>pint of engine oil</t>
  </si>
  <si>
    <t>mechanic</t>
  </si>
  <si>
    <t>pint</t>
  </si>
  <si>
    <t>pints</t>
  </si>
  <si>
    <t>oil</t>
  </si>
  <si>
    <t>packs of guitar strings</t>
  </si>
  <si>
    <t>musician</t>
  </si>
  <si>
    <t>strings</t>
  </si>
  <si>
    <t>bundles of newspaper</t>
  </si>
  <si>
    <t>news vendor</t>
  </si>
  <si>
    <t>newspaper</t>
  </si>
  <si>
    <t>boxes of exam gloves</t>
  </si>
  <si>
    <t>nurse</t>
  </si>
  <si>
    <t>gloves</t>
  </si>
  <si>
    <t>staplers</t>
  </si>
  <si>
    <t>office worker</t>
  </si>
  <si>
    <t>stapler</t>
  </si>
  <si>
    <t>plastic storage totes</t>
  </si>
  <si>
    <t>organizer</t>
  </si>
  <si>
    <t>tote</t>
  </si>
  <si>
    <t>totes</t>
  </si>
  <si>
    <t>digital thermometers</t>
  </si>
  <si>
    <t>paramedic</t>
  </si>
  <si>
    <t>thermometer</t>
  </si>
  <si>
    <t>thermometers</t>
  </si>
  <si>
    <t>packs of latex balloons</t>
  </si>
  <si>
    <t>party planner</t>
  </si>
  <si>
    <t>balloons</t>
  </si>
  <si>
    <t>bags of birdseed</t>
  </si>
  <si>
    <t>pet store clerk</t>
  </si>
  <si>
    <t>birdseed</t>
  </si>
  <si>
    <t>photo albums</t>
  </si>
  <si>
    <t>photographer</t>
  </si>
  <si>
    <t>album</t>
  </si>
  <si>
    <t>albums</t>
  </si>
  <si>
    <t>adhesive bandages</t>
  </si>
  <si>
    <t>playground supervisor</t>
  </si>
  <si>
    <t>bandages</t>
  </si>
  <si>
    <t>large rubber stamps</t>
  </si>
  <si>
    <t>postmaster</t>
  </si>
  <si>
    <t>stamp</t>
  </si>
  <si>
    <t>stamps</t>
  </si>
  <si>
    <t>poultry crumble feed</t>
  </si>
  <si>
    <t>poultry farmer</t>
  </si>
  <si>
    <t>feed</t>
  </si>
  <si>
    <t>tins of breath mints</t>
  </si>
  <si>
    <t>preschool educator</t>
  </si>
  <si>
    <t>tin</t>
  </si>
  <si>
    <t>tins</t>
  </si>
  <si>
    <t>mints</t>
  </si>
  <si>
    <t>packages of paper</t>
  </si>
  <si>
    <t>printer</t>
  </si>
  <si>
    <t>paper</t>
  </si>
  <si>
    <t>bottles of hand sanitizer</t>
  </si>
  <si>
    <t>receptionist</t>
  </si>
  <si>
    <t>sanitizer</t>
  </si>
  <si>
    <t>highlighters</t>
  </si>
  <si>
    <t>researcher</t>
  </si>
  <si>
    <t>highlighter</t>
  </si>
  <si>
    <t>rock salt</t>
  </si>
  <si>
    <t>road worker</t>
  </si>
  <si>
    <t>salt</t>
  </si>
  <si>
    <t>boxes of nails</t>
  </si>
  <si>
    <t>roofer</t>
  </si>
  <si>
    <t>nails</t>
  </si>
  <si>
    <t>hand soap</t>
  </si>
  <si>
    <t>sanitation worker</t>
  </si>
  <si>
    <t>soap</t>
  </si>
  <si>
    <t>music stand</t>
  </si>
  <si>
    <t>saxophone player</t>
  </si>
  <si>
    <t>stand</t>
  </si>
  <si>
    <t>stands</t>
  </si>
  <si>
    <t>plaster of paris</t>
  </si>
  <si>
    <t>sculptor</t>
  </si>
  <si>
    <t>plaster</t>
  </si>
  <si>
    <t>flashlights</t>
  </si>
  <si>
    <t>security guard</t>
  </si>
  <si>
    <t>flashlight</t>
  </si>
  <si>
    <t>plastic pitchers</t>
  </si>
  <si>
    <t>server</t>
  </si>
  <si>
    <t>pitcher</t>
  </si>
  <si>
    <t>pitchers</t>
  </si>
  <si>
    <t>sheets of vinyl decal paper</t>
  </si>
  <si>
    <t>sign maker</t>
  </si>
  <si>
    <t>tubes of lip balm</t>
  </si>
  <si>
    <t>ski instructor</t>
  </si>
  <si>
    <t>lip balm</t>
  </si>
  <si>
    <t>ear plugs</t>
  </si>
  <si>
    <t>sound engineer</t>
  </si>
  <si>
    <t>rolls of duct tape</t>
  </si>
  <si>
    <t>stagehand</t>
  </si>
  <si>
    <t>pencils</t>
  </si>
  <si>
    <t>student</t>
  </si>
  <si>
    <t>pencil</t>
  </si>
  <si>
    <t>rolls of reflective tape</t>
  </si>
  <si>
    <t>surveyor</t>
  </si>
  <si>
    <t>reflective tape</t>
  </si>
  <si>
    <t>spools of thread</t>
  </si>
  <si>
    <t>tailor</t>
  </si>
  <si>
    <t>spool</t>
  </si>
  <si>
    <t>spools</t>
  </si>
  <si>
    <t>thread</t>
  </si>
  <si>
    <t>boxes of tea bags</t>
  </si>
  <si>
    <t>tea master</t>
  </si>
  <si>
    <t>tea bags</t>
  </si>
  <si>
    <t>pens</t>
  </si>
  <si>
    <t>teacher</t>
  </si>
  <si>
    <t>pen</t>
  </si>
  <si>
    <t>tubes of adhesive</t>
  </si>
  <si>
    <t>tiler</t>
  </si>
  <si>
    <t>adhesive</t>
  </si>
  <si>
    <t>12-inch ceramic tiles</t>
  </si>
  <si>
    <t>tile</t>
  </si>
  <si>
    <t>tiles</t>
  </si>
  <si>
    <t>road flares</t>
  </si>
  <si>
    <t>tow truck driver</t>
  </si>
  <si>
    <t>flare</t>
  </si>
  <si>
    <t>flares</t>
  </si>
  <si>
    <t>cases of soda</t>
  </si>
  <si>
    <t>vending machine operator</t>
  </si>
  <si>
    <t>case</t>
  </si>
  <si>
    <t>cases</t>
  </si>
  <si>
    <t>soda</t>
  </si>
  <si>
    <t>boxes of safety pins</t>
  </si>
  <si>
    <t>wardrobe stylist</t>
  </si>
  <si>
    <t>pins</t>
  </si>
  <si>
    <t>canisters of propane</t>
  </si>
  <si>
    <t>welder</t>
  </si>
  <si>
    <t>canister</t>
  </si>
  <si>
    <t>canisters</t>
  </si>
  <si>
    <t>verb</t>
  </si>
  <si>
    <t>obj1</t>
  </si>
  <si>
    <t>obj2</t>
  </si>
  <si>
    <t>obj3</t>
  </si>
  <si>
    <t>total_phrase</t>
  </si>
  <si>
    <t>sold</t>
  </si>
  <si>
    <t>cupcakes</t>
  </si>
  <si>
    <t>books</t>
  </si>
  <si>
    <t>tickets</t>
  </si>
  <si>
    <t>earned a total of</t>
  </si>
  <si>
    <t>use: [name] [verb] [random value] [select one of the three objects] and [total_phrase]</t>
  </si>
  <si>
    <t>earned</t>
  </si>
  <si>
    <t>money</t>
  </si>
  <si>
    <t>rewards</t>
  </si>
  <si>
    <t>points</t>
  </si>
  <si>
    <t>choose(randbetween(1,3),obj1,obj2,obj3)</t>
  </si>
  <si>
    <t>drove</t>
  </si>
  <si>
    <t>miles</t>
  </si>
  <si>
    <t>kilometers</t>
  </si>
  <si>
    <t>laps</t>
  </si>
  <si>
    <t>traveled a total of</t>
  </si>
  <si>
    <t>built</t>
  </si>
  <si>
    <t>shelves</t>
  </si>
  <si>
    <t>houses</t>
  </si>
  <si>
    <t>models</t>
  </si>
  <si>
    <t>constructed a total of</t>
  </si>
  <si>
    <t>created</t>
  </si>
  <si>
    <t>videos</t>
  </si>
  <si>
    <t>artworks</t>
  </si>
  <si>
    <t>songs</t>
  </si>
  <si>
    <t>created a total of</t>
  </si>
  <si>
    <t>planted</t>
  </si>
  <si>
    <t>trees</t>
  </si>
  <si>
    <t>flowers</t>
  </si>
  <si>
    <t>vegetables</t>
  </si>
  <si>
    <t>planted a total of</t>
  </si>
  <si>
    <t>completed</t>
  </si>
  <si>
    <t>assignments</t>
  </si>
  <si>
    <t>projects</t>
  </si>
  <si>
    <t>courses</t>
  </si>
  <si>
    <t>completed a total of</t>
  </si>
  <si>
    <t>cooked</t>
  </si>
  <si>
    <t>meals</t>
  </si>
  <si>
    <t>dishes</t>
  </si>
  <si>
    <t>cakes</t>
  </si>
  <si>
    <t>prepared a total of</t>
  </si>
  <si>
    <t>gave</t>
  </si>
  <si>
    <t>gifts</t>
  </si>
  <si>
    <t>donations</t>
  </si>
  <si>
    <t>lessons</t>
  </si>
  <si>
    <t>gave a total of</t>
  </si>
  <si>
    <t>explored</t>
  </si>
  <si>
    <t>caves</t>
  </si>
  <si>
    <t>trails</t>
  </si>
  <si>
    <t>cities</t>
  </si>
  <si>
    <t>explored a total of</t>
  </si>
  <si>
    <t>fed</t>
  </si>
  <si>
    <t>animals</t>
  </si>
  <si>
    <t>birds</t>
  </si>
  <si>
    <t>guests</t>
  </si>
  <si>
    <t>fed a total of</t>
  </si>
  <si>
    <t>made</t>
  </si>
  <si>
    <t>crafts</t>
  </si>
  <si>
    <t>mistakes</t>
  </si>
  <si>
    <t>calls</t>
  </si>
  <si>
    <t>made a total of</t>
  </si>
  <si>
    <t>took</t>
  </si>
  <si>
    <t>photos</t>
  </si>
  <si>
    <t>samples</t>
  </si>
  <si>
    <t>notes</t>
  </si>
  <si>
    <t>took a total of</t>
  </si>
  <si>
    <t>saw</t>
  </si>
  <si>
    <t>movies</t>
  </si>
  <si>
    <t>stars</t>
  </si>
  <si>
    <t>saw a total of</t>
  </si>
  <si>
    <t>called</t>
  </si>
  <si>
    <t>friends</t>
  </si>
  <si>
    <t>clients</t>
  </si>
  <si>
    <t>relatives</t>
  </si>
  <si>
    <t>called a total of</t>
  </si>
  <si>
    <t>started</t>
  </si>
  <si>
    <t>games</t>
  </si>
  <si>
    <t>conversations</t>
  </si>
  <si>
    <t>businesses</t>
  </si>
  <si>
    <t>started a total of</t>
  </si>
  <si>
    <t>played</t>
  </si>
  <si>
    <t>sports</t>
  </si>
  <si>
    <t>played a total of</t>
  </si>
  <si>
    <t>ran</t>
  </si>
  <si>
    <t>races</t>
  </si>
  <si>
    <t>errands</t>
  </si>
  <si>
    <t>ran a total of</t>
  </si>
  <si>
    <t>walked</t>
  </si>
  <si>
    <t>dogs</t>
  </si>
  <si>
    <t>paths</t>
  </si>
  <si>
    <t>walked a total of</t>
  </si>
  <si>
    <t>swam</t>
  </si>
  <si>
    <t>meters</t>
  </si>
  <si>
    <t>swam a total of</t>
  </si>
  <si>
    <t>wrote</t>
  </si>
  <si>
    <t>stories</t>
  </si>
  <si>
    <t>essays</t>
  </si>
  <si>
    <t>letters</t>
  </si>
  <si>
    <t>wrote a total of</t>
  </si>
  <si>
    <t>paid</t>
  </si>
  <si>
    <t>bills</t>
  </si>
  <si>
    <t>fees</t>
  </si>
  <si>
    <t>dues</t>
  </si>
  <si>
    <t>paid a total of</t>
  </si>
  <si>
    <t>changed</t>
  </si>
  <si>
    <t>plans</t>
  </si>
  <si>
    <t>schedules</t>
  </si>
  <si>
    <t>changed a total of</t>
  </si>
  <si>
    <t>watched</t>
  </si>
  <si>
    <t>shows</t>
  </si>
  <si>
    <t>watched a total of</t>
  </si>
  <si>
    <t>sang</t>
  </si>
  <si>
    <t>hymns</t>
  </si>
  <si>
    <t>melodies</t>
  </si>
  <si>
    <t>sang a total of</t>
  </si>
  <si>
    <t>read</t>
  </si>
  <si>
    <t>articles</t>
  </si>
  <si>
    <t>emails</t>
  </si>
  <si>
    <t>read a total of</t>
  </si>
  <si>
    <t>bought</t>
  </si>
  <si>
    <t>groceries</t>
  </si>
  <si>
    <t>toys</t>
  </si>
  <si>
    <t>clothes</t>
  </si>
  <si>
    <t>bought a total of</t>
  </si>
  <si>
    <t>passed</t>
  </si>
  <si>
    <t>exams</t>
  </si>
  <si>
    <t>passed a total of</t>
  </si>
  <si>
    <t>packed</t>
  </si>
  <si>
    <t>suitcases</t>
  </si>
  <si>
    <t>packed a total of</t>
  </si>
  <si>
    <t>painted</t>
  </si>
  <si>
    <t>walls</t>
  </si>
  <si>
    <t>pictures</t>
  </si>
  <si>
    <t>fences</t>
  </si>
  <si>
    <t>painted a total of</t>
  </si>
  <si>
    <t>poured</t>
  </si>
  <si>
    <t>water</t>
  </si>
  <si>
    <t>juice</t>
  </si>
  <si>
    <t>poured a total of</t>
  </si>
  <si>
    <t>received</t>
  </si>
  <si>
    <t>awards</t>
  </si>
  <si>
    <t>received a total of</t>
  </si>
  <si>
    <t>sent</t>
  </si>
  <si>
    <t>invitations</t>
  </si>
  <si>
    <t>sent a total of</t>
  </si>
  <si>
    <t>delivered</t>
  </si>
  <si>
    <t>parcels</t>
  </si>
  <si>
    <t>delivered a total of</t>
  </si>
  <si>
    <t>repaired</t>
  </si>
  <si>
    <t>bikes</t>
  </si>
  <si>
    <t>phones</t>
  </si>
  <si>
    <t>repaired a total of</t>
  </si>
  <si>
    <t>cleaned</t>
  </si>
  <si>
    <t>rooms</t>
  </si>
  <si>
    <t>windows</t>
  </si>
  <si>
    <t>cars</t>
  </si>
  <si>
    <t>cleaned a total of</t>
  </si>
  <si>
    <t>counted</t>
  </si>
  <si>
    <t>coins</t>
  </si>
  <si>
    <t>votes</t>
  </si>
  <si>
    <t>steps</t>
  </si>
  <si>
    <t>counted a total of</t>
  </si>
  <si>
    <t>helped</t>
  </si>
  <si>
    <t>students</t>
  </si>
  <si>
    <t>neighbors</t>
  </si>
  <si>
    <t>customers</t>
  </si>
  <si>
    <t>helped a total of</t>
  </si>
  <si>
    <t>sorted</t>
  </si>
  <si>
    <t>papers</t>
  </si>
  <si>
    <t>files</t>
  </si>
  <si>
    <t>sorted a total of</t>
  </si>
  <si>
    <t>taught</t>
  </si>
  <si>
    <t>classes</t>
  </si>
  <si>
    <t>skills</t>
  </si>
  <si>
    <t>taught a total of</t>
  </si>
  <si>
    <t>typed</t>
  </si>
  <si>
    <t>documents</t>
  </si>
  <si>
    <t>codes</t>
  </si>
  <si>
    <t>typed a total of</t>
  </si>
  <si>
    <t>uploaded</t>
  </si>
  <si>
    <t>images</t>
  </si>
  <si>
    <t>uploaded a total of</t>
  </si>
  <si>
    <t>photographed</t>
  </si>
  <si>
    <t>landscapes</t>
  </si>
  <si>
    <t>people</t>
  </si>
  <si>
    <t>buildings</t>
  </si>
  <si>
    <t>photographed a total of</t>
  </si>
  <si>
    <t>trained</t>
  </si>
  <si>
    <t>athletes</t>
  </si>
  <si>
    <t>employees</t>
  </si>
  <si>
    <t>trained a total of</t>
  </si>
  <si>
    <t>reviewed</t>
  </si>
  <si>
    <t>products</t>
  </si>
  <si>
    <t>reviewed a total of</t>
  </si>
  <si>
    <t>designed</t>
  </si>
  <si>
    <t>websites</t>
  </si>
  <si>
    <t>flyers</t>
  </si>
  <si>
    <t>logos</t>
  </si>
  <si>
    <t>designed a total of</t>
  </si>
  <si>
    <t>organized</t>
  </si>
  <si>
    <t>events</t>
  </si>
  <si>
    <t>meetings</t>
  </si>
  <si>
    <t>organized a total of</t>
  </si>
  <si>
    <t>hosted</t>
  </si>
  <si>
    <t>parties</t>
  </si>
  <si>
    <t>webinars</t>
  </si>
  <si>
    <t>hosted a total of</t>
  </si>
  <si>
    <t>recorded</t>
  </si>
  <si>
    <t>interviews</t>
  </si>
  <si>
    <t>recorded a total of</t>
  </si>
  <si>
    <t>sketched</t>
  </si>
  <si>
    <t>portraits</t>
  </si>
  <si>
    <t>designs</t>
  </si>
  <si>
    <t>sketched a total of</t>
  </si>
  <si>
    <t>MunName</t>
  </si>
  <si>
    <t>Property_Address</t>
  </si>
  <si>
    <t>MunCode</t>
  </si>
  <si>
    <t>Dwelling_Units</t>
  </si>
  <si>
    <t>Frontage(ft)</t>
  </si>
  <si>
    <t>Total_Value</t>
  </si>
  <si>
    <t>R.M. of Redwood Creek</t>
  </si>
  <si>
    <t>306 VALHOP DR</t>
  </si>
  <si>
    <t>City of Twin Harbors</t>
  </si>
  <si>
    <t>118 BRANDT ST</t>
  </si>
  <si>
    <t>Ironwood Bay City</t>
  </si>
  <si>
    <t>241 #5 HWY E</t>
  </si>
  <si>
    <t>30 LAKEVIEW DR</t>
  </si>
  <si>
    <t>66 WATERS EDGE DR</t>
  </si>
  <si>
    <t>76 BRANDT ST</t>
  </si>
  <si>
    <t>16 LAKEVIEW LANE</t>
  </si>
  <si>
    <t>8 LAKEVIEW LANE</t>
  </si>
  <si>
    <t>DESC 1--60216</t>
  </si>
  <si>
    <t>2 LAKEVIEW  LANE</t>
  </si>
  <si>
    <t>Triton Valley Municipality</t>
  </si>
  <si>
    <t>242 LAKE AVE</t>
  </si>
  <si>
    <t>51 ONOFRIECHUK DR</t>
  </si>
  <si>
    <t>R.M. of Willow Creek</t>
  </si>
  <si>
    <t>87 KINGDOM DR</t>
  </si>
  <si>
    <t>344 LAKE AVE</t>
  </si>
  <si>
    <t>66 BRANDT RD</t>
  </si>
  <si>
    <t>210 VALHOP DR</t>
  </si>
  <si>
    <t>42 BRANDT ST</t>
  </si>
  <si>
    <t>City of Port Beacon</t>
  </si>
  <si>
    <t>14 RIVER AVE</t>
  </si>
  <si>
    <t>236 LAKE AVE</t>
  </si>
  <si>
    <t>408 LAKE AVE</t>
  </si>
  <si>
    <t>Kilgrew City</t>
  </si>
  <si>
    <t>193 CEMETERY RD</t>
  </si>
  <si>
    <t>Five Oaks Municipality</t>
  </si>
  <si>
    <t>124119 RAMSAY RD</t>
  </si>
  <si>
    <t>City of Prospect Bay</t>
  </si>
  <si>
    <t>47 SOURIS ST</t>
  </si>
  <si>
    <t>R.M. of Fairview</t>
  </si>
  <si>
    <t>DESC SW2-3-23W</t>
  </si>
  <si>
    <t>107 3RD AVE SW</t>
  </si>
  <si>
    <t>28 BRANDT ST</t>
  </si>
  <si>
    <t>3 SERVICE RD N</t>
  </si>
  <si>
    <t>Town of Three Rivers Junction</t>
  </si>
  <si>
    <t>646 BROADWAY ST</t>
  </si>
  <si>
    <t>61 SUNBURST CRES</t>
  </si>
  <si>
    <t>15 GLENGARIFF ST</t>
  </si>
  <si>
    <t>12--55381</t>
  </si>
  <si>
    <t>77 KINGDOM DR</t>
  </si>
  <si>
    <t>Town of Summerset Grove</t>
  </si>
  <si>
    <t>134 RIDLEY ST</t>
  </si>
  <si>
    <t>36 KINGDOM AVE</t>
  </si>
  <si>
    <t>2--55381</t>
  </si>
  <si>
    <t>8 KINGDOM AVE</t>
  </si>
  <si>
    <t>249 VALHOP DR</t>
  </si>
  <si>
    <t>R.M. of Trinity Peak</t>
  </si>
  <si>
    <t>210 OAK AVE</t>
  </si>
  <si>
    <t>218 LAKE AVE</t>
  </si>
  <si>
    <t>252 CEMETERY RD</t>
  </si>
  <si>
    <t>209 CUSHING AVE</t>
  </si>
  <si>
    <t>230 LAKE AVE</t>
  </si>
  <si>
    <t>390 SOMBRERO DR</t>
  </si>
  <si>
    <t>170 CAMPBELL AVE W</t>
  </si>
  <si>
    <t>88 BRANDT ST</t>
  </si>
  <si>
    <t>248 LAKE AVE</t>
  </si>
  <si>
    <t>R.M. of Double Eight Crossing</t>
  </si>
  <si>
    <t>1--65080</t>
  </si>
  <si>
    <t>28 KINGDOM AVE</t>
  </si>
  <si>
    <t>130 OAK ST</t>
  </si>
  <si>
    <t>202 OBORNE ST</t>
  </si>
  <si>
    <t>386 SOMBRERO DR</t>
  </si>
  <si>
    <t>173 CEMETERY RD</t>
  </si>
  <si>
    <t>Riverbend Municipality</t>
  </si>
  <si>
    <t>502 MAPLE AVE</t>
  </si>
  <si>
    <t>11 KIRKJUBAE RD</t>
  </si>
  <si>
    <t>31 Kirkjubae RD</t>
  </si>
  <si>
    <t>17 SUNBURST CRES</t>
  </si>
  <si>
    <t>254 LAKE AVE</t>
  </si>
  <si>
    <t>77 Duna BAY</t>
  </si>
  <si>
    <t>26 PHILLIP AVE</t>
  </si>
  <si>
    <t>R.M. of Sterling Point</t>
  </si>
  <si>
    <t>2 Vincent RD</t>
  </si>
  <si>
    <t>95 KINGDOM DR</t>
  </si>
  <si>
    <t>27 REED ST</t>
  </si>
  <si>
    <t>R.M. of Seven Pines</t>
  </si>
  <si>
    <t>117 DONALD  AVE</t>
  </si>
  <si>
    <t>18 KINGDOM AVE</t>
  </si>
  <si>
    <t>128 LAKE AVE</t>
  </si>
  <si>
    <t>19 ANTRIM ST</t>
  </si>
  <si>
    <t>Silverton Municipality</t>
  </si>
  <si>
    <t>414 Croteau ST</t>
  </si>
  <si>
    <t>84 BRANDT ST</t>
  </si>
  <si>
    <t>R.M. of Cedar Ridge</t>
  </si>
  <si>
    <t>330 NINTH ST</t>
  </si>
  <si>
    <t>DESC 35/36--7134</t>
  </si>
  <si>
    <t>32 REED ST</t>
  </si>
  <si>
    <t>17 WILLOW DR</t>
  </si>
  <si>
    <t>302 DUNCAN ST</t>
  </si>
  <si>
    <t>36 CHARLES AVE</t>
  </si>
  <si>
    <t>657 WILLIS CRES</t>
  </si>
  <si>
    <t>108 BRANDT ST</t>
  </si>
  <si>
    <t>19137 Road 128 NE</t>
  </si>
  <si>
    <t>R.M. of Point Cypress</t>
  </si>
  <si>
    <t>39 MISS ELLIES DR</t>
  </si>
  <si>
    <t>245 THOMPSON DR</t>
  </si>
  <si>
    <t>452 ST JOSEPH AVE W</t>
  </si>
  <si>
    <t>14 KARA CRT</t>
  </si>
  <si>
    <t>Seaview Municipality</t>
  </si>
  <si>
    <t>139 RAILWAY AVE</t>
  </si>
  <si>
    <t>404 Croteau ST</t>
  </si>
  <si>
    <t>531 GOVERNMENT RD S</t>
  </si>
  <si>
    <t>33 CHARLES AVE</t>
  </si>
  <si>
    <t>80 BRANDT ST</t>
  </si>
  <si>
    <t>Town of Newhope Springs</t>
  </si>
  <si>
    <t>721 RAVEN ST</t>
  </si>
  <si>
    <t>107 LEBEAU AVE</t>
  </si>
  <si>
    <t>230 FIRST ST</t>
  </si>
  <si>
    <t>38 THIRD AVE E</t>
  </si>
  <si>
    <t>411 LAMBERT BAY</t>
  </si>
  <si>
    <t>57 SUNBURST CRES</t>
  </si>
  <si>
    <t>26 Parkview PL</t>
  </si>
  <si>
    <t>247 THIRD ST</t>
  </si>
  <si>
    <t>109 3rd AVE SW</t>
  </si>
  <si>
    <t>159 LEBEAU AVE</t>
  </si>
  <si>
    <t>232 SECOND ST</t>
  </si>
  <si>
    <t>R.M. of Aspen Falls</t>
  </si>
  <si>
    <t>109 CHOKECHERRY CRES</t>
  </si>
  <si>
    <t>124055 Road 22 E</t>
  </si>
  <si>
    <t>3 WILLOWCOVE DR</t>
  </si>
  <si>
    <t>400 MILES ST</t>
  </si>
  <si>
    <t>13 POPLAR ST</t>
  </si>
  <si>
    <t>270 LAKEVIEW DR</t>
  </si>
  <si>
    <t>281 PARK AVE</t>
  </si>
  <si>
    <t>459 ST JOSEPH AVE W</t>
  </si>
  <si>
    <t>124029 Road 22 E</t>
  </si>
  <si>
    <t>Boreal Forest City</t>
  </si>
  <si>
    <t>214 QUEENS RD E</t>
  </si>
  <si>
    <t>21 SUNBURST CRES</t>
  </si>
  <si>
    <t>34 KENNEDY RD</t>
  </si>
  <si>
    <t>302 BROADWAY ST</t>
  </si>
  <si>
    <t>152 MAYFAIR ST</t>
  </si>
  <si>
    <t>20 FIRST AVE SW</t>
  </si>
  <si>
    <t>141 OAK ST</t>
  </si>
  <si>
    <t>138 CHOKECHERRY CRES</t>
  </si>
  <si>
    <t>26 POPLAR ST</t>
  </si>
  <si>
    <t>42 LAKEVIEW DR</t>
  </si>
  <si>
    <t>6 SUNFISH CIRCLE CRES</t>
  </si>
  <si>
    <t>670 RAE ST</t>
  </si>
  <si>
    <t>35 RAILWAY ST</t>
  </si>
  <si>
    <t>111 MAIN ST W</t>
  </si>
  <si>
    <t>1119 FRASER LANE</t>
  </si>
  <si>
    <t>161 Cemetery RD</t>
  </si>
  <si>
    <t>City of Clearwater</t>
  </si>
  <si>
    <t>17 CENTRE ST</t>
  </si>
  <si>
    <t>441 COOK ST</t>
  </si>
  <si>
    <t>246 SECOND ST</t>
  </si>
  <si>
    <t>124067 Road 22 E</t>
  </si>
  <si>
    <t>55147 PR340</t>
  </si>
  <si>
    <t>12 MAIN ST</t>
  </si>
  <si>
    <t>152 CHOKECHERRY CRES</t>
  </si>
  <si>
    <t>336 NINTH ST</t>
  </si>
  <si>
    <t>27 KARA CRT</t>
  </si>
  <si>
    <t>41 DANDENAULT ST</t>
  </si>
  <si>
    <t>436 LAMBERT BAY</t>
  </si>
  <si>
    <t>124015 Road 22 E</t>
  </si>
  <si>
    <t>59 KINGDOM DR</t>
  </si>
  <si>
    <t>149 BARR ST</t>
  </si>
  <si>
    <t>R.M. of Kingston Mills</t>
  </si>
  <si>
    <t>615 ANDERSON ST</t>
  </si>
  <si>
    <t>70 SIXTH AVE NE</t>
  </si>
  <si>
    <t>26 SUNBURST CRES</t>
  </si>
  <si>
    <t>210 GRANGE  ST</t>
  </si>
  <si>
    <t>212 LAKE AVE</t>
  </si>
  <si>
    <t>35 JONASSON DR</t>
  </si>
  <si>
    <t>257 VALHOP DR</t>
  </si>
  <si>
    <t>406 RENTON AVE</t>
  </si>
  <si>
    <t>271 South railway  AVE</t>
  </si>
  <si>
    <t>134 COGHILL BAY</t>
  </si>
  <si>
    <t>2 MAIN ST N</t>
  </si>
  <si>
    <t>37 PHILLIP AVE</t>
  </si>
  <si>
    <t>124 OAK ST</t>
  </si>
  <si>
    <t>38 PHILLIP AVE</t>
  </si>
  <si>
    <t>Port Amber Municipality</t>
  </si>
  <si>
    <t>1 LAURA ST</t>
  </si>
  <si>
    <t>466 ST JOSEPH AVE W</t>
  </si>
  <si>
    <t>210 LAKEVIEW DR</t>
  </si>
  <si>
    <t>290 LAKE AVE</t>
  </si>
  <si>
    <t>32 WOODS AVE</t>
  </si>
  <si>
    <t>209 RAILWAY ST</t>
  </si>
  <si>
    <t>70 CEDAR ST</t>
  </si>
  <si>
    <t>513 MAPLE AVE</t>
  </si>
  <si>
    <t>214 CAMPBELL AVE W</t>
  </si>
  <si>
    <t>9-7134</t>
  </si>
  <si>
    <t>11 DUROC COVE</t>
  </si>
  <si>
    <t>809 6TH AVE</t>
  </si>
  <si>
    <t>310 FOXFORD AVE E</t>
  </si>
  <si>
    <t>60 SUNBURST CRES</t>
  </si>
  <si>
    <t>103 RIDLEY ST</t>
  </si>
  <si>
    <t>108 KILDARE ST</t>
  </si>
  <si>
    <t>420 LAMBERT BAY</t>
  </si>
  <si>
    <t>116 CHOKECHERRY CRES</t>
  </si>
  <si>
    <t>5 COUNTRY CLUB LANE</t>
  </si>
  <si>
    <t>377 SOMBRERO DR</t>
  </si>
  <si>
    <t>14 LAVERGNE ST</t>
  </si>
  <si>
    <t>194 LAKEVIEW DR</t>
  </si>
  <si>
    <t>304 MAIN ST</t>
  </si>
  <si>
    <t>43 SKINNY DIP DR</t>
  </si>
  <si>
    <t>21 POPLAR ST</t>
  </si>
  <si>
    <t>115 LEBEAU AVE</t>
  </si>
  <si>
    <t>42 REED ST</t>
  </si>
  <si>
    <t>118 SOUTH CHESTNUT ST</t>
  </si>
  <si>
    <t>310 Stephen ST</t>
  </si>
  <si>
    <t>134 LAKE AVE</t>
  </si>
  <si>
    <t>31 KARA CRT</t>
  </si>
  <si>
    <t>152-154 4TH AVE SW</t>
  </si>
  <si>
    <t>229 KING ST</t>
  </si>
  <si>
    <t>509 SIXTH ST</t>
  </si>
  <si>
    <t>Seven Springs Municipality</t>
  </si>
  <si>
    <t>130 PARK ST</t>
  </si>
  <si>
    <t>211 FIRST ST</t>
  </si>
  <si>
    <t>31 PHILLIP AVE</t>
  </si>
  <si>
    <t>39 DE DELLEY RD</t>
  </si>
  <si>
    <t>4-1-24809</t>
  </si>
  <si>
    <t>260 GOOSE LAKE DR</t>
  </si>
  <si>
    <t>109 CAVENDISH ST N</t>
  </si>
  <si>
    <t>24 EAST BAY DR</t>
  </si>
  <si>
    <t>116 LAKE AVE</t>
  </si>
  <si>
    <t>31 VALCOURT BAY</t>
  </si>
  <si>
    <t>134 4TH AVE SW</t>
  </si>
  <si>
    <t>206 LAKE AVE</t>
  </si>
  <si>
    <t>55 SUNBURST CRES</t>
  </si>
  <si>
    <t>284 LAKE AVE</t>
  </si>
  <si>
    <t>82 GOODRIDGE RD</t>
  </si>
  <si>
    <t>56 SUNBURST CRES</t>
  </si>
  <si>
    <t>412 LAMBERT BAY</t>
  </si>
  <si>
    <t>31 ASH DR</t>
  </si>
  <si>
    <t>107 Fifth ST NE</t>
  </si>
  <si>
    <t>266 LAKE AVE</t>
  </si>
  <si>
    <t>116 SHILO RD</t>
  </si>
  <si>
    <t>14 BRANDT ST</t>
  </si>
  <si>
    <t>25 MAIN ST</t>
  </si>
  <si>
    <t>219 SASKATOON DR</t>
  </si>
  <si>
    <t>22 EAST BAY DR N</t>
  </si>
  <si>
    <t>104 SIXTH ST</t>
  </si>
  <si>
    <t>59 SUNBURST CRES</t>
  </si>
  <si>
    <t>40 2ND AVE S</t>
  </si>
  <si>
    <t>469 CAREY ST</t>
  </si>
  <si>
    <t>625 EGAN ST</t>
  </si>
  <si>
    <t>306 CHRISTIE ST</t>
  </si>
  <si>
    <t>22 MAIN ST</t>
  </si>
  <si>
    <t>146 OAK ST</t>
  </si>
  <si>
    <t>122 LAKE AVE</t>
  </si>
  <si>
    <t>110 LAKE AVE</t>
  </si>
  <si>
    <t>26 THIRD AVE E</t>
  </si>
  <si>
    <t>442 Croteau ST</t>
  </si>
  <si>
    <t>393 BELANGER AVE</t>
  </si>
  <si>
    <t>102 DENNIS ST W</t>
  </si>
  <si>
    <t>58 LAKEVIEW DR</t>
  </si>
  <si>
    <t>441 COTE AVE</t>
  </si>
  <si>
    <t>435 LAMBERT BAY</t>
  </si>
  <si>
    <t>420 SECOND AVE</t>
  </si>
  <si>
    <t>34090 ROAD 11W</t>
  </si>
  <si>
    <t>9 MONTCALM  BAY</t>
  </si>
  <si>
    <t>205 3RD AVE SW</t>
  </si>
  <si>
    <t>28 7TH ST</t>
  </si>
  <si>
    <t>190 LAKEVIEW DR</t>
  </si>
  <si>
    <t>644 PETERS ST</t>
  </si>
  <si>
    <t>5 CHARLES AVE</t>
  </si>
  <si>
    <t>105 KILDARE ST</t>
  </si>
  <si>
    <t>287 MANIPOGO BEACH RD</t>
  </si>
  <si>
    <t>98 3RD ST NE</t>
  </si>
  <si>
    <t>381 PREFONTAINE AVE</t>
  </si>
  <si>
    <t>137 OAK ST</t>
  </si>
  <si>
    <t>40 CHARLES AVE</t>
  </si>
  <si>
    <t>278 LAKE AVE</t>
  </si>
  <si>
    <t>Nine Valley Municipality</t>
  </si>
  <si>
    <t>7 PARKVIEW DR</t>
  </si>
  <si>
    <t>244 FOURTH AVE W</t>
  </si>
  <si>
    <t>118 KILDARE ST</t>
  </si>
  <si>
    <t>111 RUE MORIN ST</t>
  </si>
  <si>
    <t>27 THIRD AVE E</t>
  </si>
  <si>
    <t>83 KROEKER ST</t>
  </si>
  <si>
    <t>44 7th ST</t>
  </si>
  <si>
    <t>324 CEMETERY RD</t>
  </si>
  <si>
    <t>82 CEDAR ST</t>
  </si>
  <si>
    <t>8-1-45957</t>
  </si>
  <si>
    <t>10 MONTCALM BAY</t>
  </si>
  <si>
    <t>42--7134</t>
  </si>
  <si>
    <t>29 WILLOW ST</t>
  </si>
  <si>
    <t>271 MANIPOGO BEACH RD</t>
  </si>
  <si>
    <t>57 4TH AVE S</t>
  </si>
  <si>
    <t>24 GOODRIDGE RD</t>
  </si>
  <si>
    <t>722 THIRD AVE</t>
  </si>
  <si>
    <t>5 WILLOWCOVE DR</t>
  </si>
  <si>
    <t>419 LAMBERT BAY</t>
  </si>
  <si>
    <t>182 CAMPBELL AVE W</t>
  </si>
  <si>
    <t>56 LOUISE ST</t>
  </si>
  <si>
    <t>206 BARKWELL PL</t>
  </si>
  <si>
    <t>461 LAMBERT BAY</t>
  </si>
  <si>
    <t>15 CARRIERE AVE</t>
  </si>
  <si>
    <t>58 SUNBURST CRES</t>
  </si>
  <si>
    <t>200 8th AVE</t>
  </si>
  <si>
    <t>219 BOYNE ST</t>
  </si>
  <si>
    <t>677 STEPHEN ST</t>
  </si>
  <si>
    <t>23 WILLOW ST</t>
  </si>
  <si>
    <t>34 3RD ST NE</t>
  </si>
  <si>
    <t>78 WOODS AVE</t>
  </si>
  <si>
    <t>DESC 29--6796</t>
  </si>
  <si>
    <t>301 BROADWAY ST</t>
  </si>
  <si>
    <t>98 1ST  AVE S</t>
  </si>
  <si>
    <t>377 LAKE AVE</t>
  </si>
  <si>
    <t>45 MISS ELLIES DR W</t>
  </si>
  <si>
    <t>61 8TH ST SE</t>
  </si>
  <si>
    <t>2-2-15950</t>
  </si>
  <si>
    <t>202 ELM DR</t>
  </si>
  <si>
    <t>297 KELLY ST</t>
  </si>
  <si>
    <t>130 MCKENZIE ST S</t>
  </si>
  <si>
    <t>324 SASKATOON DR</t>
  </si>
  <si>
    <t>19 FIFTH ST N</t>
  </si>
  <si>
    <t>106 THIRD ST N</t>
  </si>
  <si>
    <t>246 ASSINIBOINE AVE</t>
  </si>
  <si>
    <t>298 LAKEVIEW DR</t>
  </si>
  <si>
    <t>428 LAMBERT BAY</t>
  </si>
  <si>
    <t>422 Croteau ST</t>
  </si>
  <si>
    <t>460 Croteau ST</t>
  </si>
  <si>
    <t>15 Vincent RD</t>
  </si>
  <si>
    <t>10 MAHARG AVE E</t>
  </si>
  <si>
    <t>13-7134</t>
  </si>
  <si>
    <t>1 CLIFFANDEL BAY</t>
  </si>
  <si>
    <t>18 WILLOW DR</t>
  </si>
  <si>
    <t>11 ELK ST</t>
  </si>
  <si>
    <t>473 ST. JOSEPH AVE W</t>
  </si>
  <si>
    <t>36 Rosewood DR</t>
  </si>
  <si>
    <t>153 PARK AVE</t>
  </si>
  <si>
    <t>108 GOODRIDGE RD</t>
  </si>
  <si>
    <t>67 PARK AVE</t>
  </si>
  <si>
    <t>125 BROADWAY ST</t>
  </si>
  <si>
    <t>125 OAK ST</t>
  </si>
  <si>
    <t>15 SEVENTH ST</t>
  </si>
  <si>
    <t>37 BALSAM CRES</t>
  </si>
  <si>
    <t>326 SASKATOON DR</t>
  </si>
  <si>
    <t>94 Maple DR</t>
  </si>
  <si>
    <t>32 NORTH RAILWAY ST</t>
  </si>
  <si>
    <t>34 POPLAR ST</t>
  </si>
  <si>
    <t>432 Croteau ST</t>
  </si>
  <si>
    <t>49 WALTER THOMAS DR</t>
  </si>
  <si>
    <t>7 FOXFORD AVE W</t>
  </si>
  <si>
    <t>67 CEDAR ST</t>
  </si>
  <si>
    <t>318 OAKO BEACH DR</t>
  </si>
  <si>
    <t>10 KARA CRT</t>
  </si>
  <si>
    <t>145 OAK ST</t>
  </si>
  <si>
    <t>125 Wonderland DR</t>
  </si>
  <si>
    <t>113 JAMES ST</t>
  </si>
  <si>
    <t>102 LAKEVIEW DR</t>
  </si>
  <si>
    <t>65 WOODS AVE</t>
  </si>
  <si>
    <t>43 CHARLES AVE</t>
  </si>
  <si>
    <t>62 SUNBURST CRES</t>
  </si>
  <si>
    <t>321 EARL ST</t>
  </si>
  <si>
    <t>302 LAKE AVE</t>
  </si>
  <si>
    <t>36 BIRCH ST</t>
  </si>
  <si>
    <t>310 MILES  ST</t>
  </si>
  <si>
    <t>8 THIRD ST N</t>
  </si>
  <si>
    <t>452 Croteau ST</t>
  </si>
  <si>
    <t>18 CARRIERE AVE</t>
  </si>
  <si>
    <t>39 PARKVIEW DR</t>
  </si>
  <si>
    <t>118 SECOND ST N</t>
  </si>
  <si>
    <t>419 CROTEAU</t>
  </si>
  <si>
    <t>411 CROTEAU</t>
  </si>
  <si>
    <t>277 JOLYS AVE W</t>
  </si>
  <si>
    <t>31 POPLAR ST</t>
  </si>
  <si>
    <t>292 Conklin ST S</t>
  </si>
  <si>
    <t>18 SUNBURST CRES</t>
  </si>
  <si>
    <t>124019 ROAD 22  E</t>
  </si>
  <si>
    <t>45 DANDENAULT ST</t>
  </si>
  <si>
    <t>135 FORD ST</t>
  </si>
  <si>
    <t>149 VOTH ST</t>
  </si>
  <si>
    <t>152 BARR ST</t>
  </si>
  <si>
    <t>121 OAK ST</t>
  </si>
  <si>
    <t>343 SABOURIN ST</t>
  </si>
  <si>
    <t>DESC 1--55381</t>
  </si>
  <si>
    <t>115 Fifth ST NE</t>
  </si>
  <si>
    <t>303 KERBY AVE</t>
  </si>
  <si>
    <t>356 DALLAS AVE</t>
  </si>
  <si>
    <t>69 FIRST ST E</t>
  </si>
  <si>
    <t>29 Vincent</t>
  </si>
  <si>
    <t>33 Valcourt BAY</t>
  </si>
  <si>
    <t>66 CEDAR ST</t>
  </si>
  <si>
    <t>55141 PR340</t>
  </si>
  <si>
    <t>433 COOK ST</t>
  </si>
  <si>
    <t>124021 Road 22 E</t>
  </si>
  <si>
    <t>15 BRANDT ST</t>
  </si>
  <si>
    <t>202 4TH AVE SW</t>
  </si>
  <si>
    <t>149 CHOKECHERRY CRES</t>
  </si>
  <si>
    <t>33 3RD ST NE</t>
  </si>
  <si>
    <t>155 BASKERVILLE  AVE W</t>
  </si>
  <si>
    <t>92 3RD ST NE</t>
  </si>
  <si>
    <t>303 SOUTH ST</t>
  </si>
  <si>
    <t>137 3RD AVE</t>
  </si>
  <si>
    <t>137 LEBEAU AVE</t>
  </si>
  <si>
    <t>5 GELINAS AVE</t>
  </si>
  <si>
    <t>143 CHOKECHERRY CRES</t>
  </si>
  <si>
    <t>114 GOODRIDGE RD</t>
  </si>
  <si>
    <t>427 LAMBERT BAY</t>
  </si>
  <si>
    <t>126 COLLINS ST</t>
  </si>
  <si>
    <t>70 7TH ST SE</t>
  </si>
  <si>
    <t>377 COOK ST</t>
  </si>
  <si>
    <t>5 EAST BAY DR S</t>
  </si>
  <si>
    <t>581 COTE E AVE</t>
  </si>
  <si>
    <t>155 PENTLAND ST</t>
  </si>
  <si>
    <t>469 LAMBERT BAY</t>
  </si>
  <si>
    <t>654 RAE ST</t>
  </si>
  <si>
    <t>478 BROADWAY ST</t>
  </si>
  <si>
    <t>SCHWINDT ST</t>
  </si>
  <si>
    <t>439 OAK AVE</t>
  </si>
  <si>
    <t>6 COUNTRY CLUB LANE</t>
  </si>
  <si>
    <t>22 Sunburst CRES</t>
  </si>
  <si>
    <t>152 PENTLAND ST</t>
  </si>
  <si>
    <t>473 COOK ST</t>
  </si>
  <si>
    <t>120 RAILWAY AVE</t>
  </si>
  <si>
    <t>80 7TH ST SE</t>
  </si>
  <si>
    <t>118 RIVER RD S</t>
  </si>
  <si>
    <t>44 BIRCH ST</t>
  </si>
  <si>
    <t>153 MAYFAIR ST</t>
  </si>
  <si>
    <t>119 GOVERNMENT RD S</t>
  </si>
  <si>
    <t>139 CHOKECHERRY CRES</t>
  </si>
  <si>
    <t>167 LAKE AVE</t>
  </si>
  <si>
    <t>18 POPLAR ST</t>
  </si>
  <si>
    <t>37 SKINNY DIP DR</t>
  </si>
  <si>
    <t>28 NORTH RAILWAY ST</t>
  </si>
  <si>
    <t>586 Cote AVE</t>
  </si>
  <si>
    <t>27 3RD ST NE</t>
  </si>
  <si>
    <t>179 BROADWAY ST</t>
  </si>
  <si>
    <t>141 JAMES AVE</t>
  </si>
  <si>
    <t>467 PREFONTAINE AVE</t>
  </si>
  <si>
    <t>198 CAMPBELL AVE W</t>
  </si>
  <si>
    <t>102 GOODRIDGE RD</t>
  </si>
  <si>
    <t>8 CAVENDISH ST N</t>
  </si>
  <si>
    <t>38 SUNWEST DR</t>
  </si>
  <si>
    <t>120 KELLET ST N</t>
  </si>
  <si>
    <t>39 KARA CRT</t>
  </si>
  <si>
    <t>61 FIRST ST E</t>
  </si>
  <si>
    <t>817 FIFTH AVE</t>
  </si>
  <si>
    <t>23 CARRIERE AVE</t>
  </si>
  <si>
    <t>208 THIRD ST</t>
  </si>
  <si>
    <t>9 FIRST ST E</t>
  </si>
  <si>
    <t>6 FIRST AVE</t>
  </si>
  <si>
    <t>118 RIDLEY ST</t>
  </si>
  <si>
    <t>206 SIXTH ST</t>
  </si>
  <si>
    <t>16 MAIN ST</t>
  </si>
  <si>
    <t>36 BRANDT ST</t>
  </si>
  <si>
    <t>4 EAST BAY DR</t>
  </si>
  <si>
    <t>33 DANDENAULT ST</t>
  </si>
  <si>
    <t>118 GOODRIDGE RD</t>
  </si>
  <si>
    <t>24 WILLOW ST</t>
  </si>
  <si>
    <t>74 CEDAR ST</t>
  </si>
  <si>
    <t>21 BRANDT ST</t>
  </si>
  <si>
    <t>461 LAVOIE AVE</t>
  </si>
  <si>
    <t>124011 Road 22 E</t>
  </si>
  <si>
    <t>4th ST S</t>
  </si>
  <si>
    <t>169 RIDLEY ST</t>
  </si>
  <si>
    <t>129 OAK ST</t>
  </si>
  <si>
    <t>224 LAKE AVE</t>
  </si>
  <si>
    <t>143 RIDLEY ST</t>
  </si>
  <si>
    <t>166 CAMPBELL AVE W</t>
  </si>
  <si>
    <t>181 CEMETERY RD</t>
  </si>
  <si>
    <t>459 PREFONTAINE AVE</t>
  </si>
  <si>
    <t>406 LAKE ST</t>
  </si>
  <si>
    <t>4 CHARLES AVE</t>
  </si>
  <si>
    <t>159 PATRICK ST</t>
  </si>
  <si>
    <t>136 ELIZABETH ST</t>
  </si>
  <si>
    <t>111 BIRCH AVE E</t>
  </si>
  <si>
    <t>77 BRUSSELS ST</t>
  </si>
  <si>
    <t>124061 Road 22 E</t>
  </si>
  <si>
    <t>61 WOODS AVE</t>
  </si>
  <si>
    <t>11 PHILLIP AVE</t>
  </si>
  <si>
    <t>8 COUNTRY CLUB LANE</t>
  </si>
  <si>
    <t>City of Westview Landing</t>
  </si>
  <si>
    <t>173 CHURCHILL PL</t>
  </si>
  <si>
    <t>336 LAKE AVE</t>
  </si>
  <si>
    <t>28032 ROAD 2  E</t>
  </si>
  <si>
    <t>47 WOODS AVE</t>
  </si>
  <si>
    <t>24 MANITOBA AVE</t>
  </si>
  <si>
    <t>6-2-1447</t>
  </si>
  <si>
    <t>106 CAMPBELL  AVE W</t>
  </si>
  <si>
    <t>223 THIRD AVE W</t>
  </si>
  <si>
    <t>41 ELM ST</t>
  </si>
  <si>
    <t>74 5TH ST</t>
  </si>
  <si>
    <t>18 BIRCH DR</t>
  </si>
  <si>
    <t>319 GORDON AVE</t>
  </si>
  <si>
    <t>117 LYALL ST</t>
  </si>
  <si>
    <t>369 LAKE AVE</t>
  </si>
  <si>
    <t>378 STEPHEN ST</t>
  </si>
  <si>
    <t>57022 PR340</t>
  </si>
  <si>
    <t>435 CROTEAU</t>
  </si>
  <si>
    <t>146 CAMPBELL ST</t>
  </si>
  <si>
    <t>30 PHILLIP AVE</t>
  </si>
  <si>
    <t>117 VOTH ST</t>
  </si>
  <si>
    <t>222 PARK AVE</t>
  </si>
  <si>
    <t>44 CHARLES AVE</t>
  </si>
  <si>
    <t>3-2-15957</t>
  </si>
  <si>
    <t>427 CROTEAU</t>
  </si>
  <si>
    <t>57042 PR340</t>
  </si>
  <si>
    <t>8215 PR 205  E</t>
  </si>
  <si>
    <t>108 BRAD AVE W</t>
  </si>
  <si>
    <t>410 RICHHILL AVE E</t>
  </si>
  <si>
    <t>587 COTE E AVE</t>
  </si>
  <si>
    <t>597 MILL RD</t>
  </si>
  <si>
    <t>155 BIRCH AVE E</t>
  </si>
  <si>
    <t>155 SCOTT CRES</t>
  </si>
  <si>
    <t>140 ASSINIBOINE AVE</t>
  </si>
  <si>
    <t>148 CHURCHILL PL</t>
  </si>
  <si>
    <t>81 YORKSHIRE DR</t>
  </si>
  <si>
    <t>87 KROEKER ST</t>
  </si>
  <si>
    <t>130 TAYLOR ST</t>
  </si>
  <si>
    <t>133 OAK ST</t>
  </si>
  <si>
    <t>417 GOVERNMENT  RD S</t>
  </si>
  <si>
    <t>41 5TH ST</t>
  </si>
  <si>
    <t>815 FIFTH AVE</t>
  </si>
  <si>
    <t>9 RIVER AVE</t>
  </si>
  <si>
    <t>39 6TH ST SE</t>
  </si>
  <si>
    <t>111 5TH ST NE</t>
  </si>
  <si>
    <t>1--50567</t>
  </si>
  <si>
    <t>150 RIDLEY ST</t>
  </si>
  <si>
    <t>233 JOHNSTON AVE</t>
  </si>
  <si>
    <t>475 2nd AVE</t>
  </si>
  <si>
    <t>9 FOXFORD AVE W</t>
  </si>
  <si>
    <t>6--55566</t>
  </si>
  <si>
    <t>121 RICHHILL AVE W</t>
  </si>
  <si>
    <t>18 LOEWEN AVE</t>
  </si>
  <si>
    <t>81 6th AVE NE</t>
  </si>
  <si>
    <t>121 THE DRIVE</t>
  </si>
  <si>
    <t>151 RIDLEY ST</t>
  </si>
  <si>
    <t>44 FIFTH ST</t>
  </si>
  <si>
    <t>14 WOODS AVE</t>
  </si>
  <si>
    <t>154 LAKEVIEW DR</t>
  </si>
  <si>
    <t>64 6TH ST SE</t>
  </si>
  <si>
    <t>250-256 3RD ST NW</t>
  </si>
  <si>
    <t>7 LAVERGNE ST</t>
  </si>
  <si>
    <t>13 4TH AVE N</t>
  </si>
  <si>
    <t>20-35157</t>
  </si>
  <si>
    <t>11 SECOND ST N</t>
  </si>
  <si>
    <t>10 CHARLES AVE</t>
  </si>
  <si>
    <t>462 CHERRY ST</t>
  </si>
  <si>
    <t>25 SUNBURST CRES</t>
  </si>
  <si>
    <t>217 2ND ST NW</t>
  </si>
  <si>
    <t>647 JOLYS AVE E</t>
  </si>
  <si>
    <t>99 ARCHIBALD ST</t>
  </si>
  <si>
    <t>334 LAKESHORE DR</t>
  </si>
  <si>
    <t>7 BAIE VALCOURT ST</t>
  </si>
  <si>
    <t>22 MANITOBA AVE</t>
  </si>
  <si>
    <t>22 BALSAM CRES</t>
  </si>
  <si>
    <t>155 4TH AVE SW</t>
  </si>
  <si>
    <t>32 CAMPBELL ST</t>
  </si>
  <si>
    <t>25 PARKVIEW DR</t>
  </si>
  <si>
    <t>214 SMITH ST</t>
  </si>
  <si>
    <t>102/103-3-7</t>
  </si>
  <si>
    <t>98 5TH ST NE</t>
  </si>
  <si>
    <t>67 4TH ST</t>
  </si>
  <si>
    <t>52 MAIN ST S</t>
  </si>
  <si>
    <t>35 SEVENTH ST</t>
  </si>
  <si>
    <t>20 BAIE VALCOURT ST</t>
  </si>
  <si>
    <t>7 LILAC AVE</t>
  </si>
  <si>
    <t>85 OAK ST</t>
  </si>
  <si>
    <t>68 12TH ST</t>
  </si>
  <si>
    <t>8214 PR 205  E</t>
  </si>
  <si>
    <t>24 2ND ST NE</t>
  </si>
  <si>
    <t>6 CHARLES AVE</t>
  </si>
  <si>
    <t>382 SOMBRERO DR</t>
  </si>
  <si>
    <t>76 KENNEDY RD</t>
  </si>
  <si>
    <t>16 WILLOW ST</t>
  </si>
  <si>
    <t>49 MURRAY CRES</t>
  </si>
  <si>
    <t>166 River RD S</t>
  </si>
  <si>
    <t>224 SECOND AVE S</t>
  </si>
  <si>
    <t>274 SOUTH ST</t>
  </si>
  <si>
    <t>306 QUEENS RD E</t>
  </si>
  <si>
    <t>437 STEPHEN ST</t>
  </si>
  <si>
    <t>453 PREFONTAINE AVE</t>
  </si>
  <si>
    <t>69 FIFTH ST</t>
  </si>
  <si>
    <t>678 JOHNSON ST</t>
  </si>
  <si>
    <t>189 CEMETERY RD</t>
  </si>
  <si>
    <t>79 KROEKER ST</t>
  </si>
  <si>
    <t>42 6TH ST SE</t>
  </si>
  <si>
    <t>33 1ST ST</t>
  </si>
  <si>
    <t>2 DESILET LANE</t>
  </si>
  <si>
    <t>34 MAIN ST</t>
  </si>
  <si>
    <t>328 SASKATOON DR</t>
  </si>
  <si>
    <t>51 WOODS AVE</t>
  </si>
  <si>
    <t>107 BROADFOOT ST</t>
  </si>
  <si>
    <t>124007 Road 22 E</t>
  </si>
  <si>
    <t>90 LAKEVIEW DR</t>
  </si>
  <si>
    <t>138 COLLINS ST</t>
  </si>
  <si>
    <t>132 COLLINS ST</t>
  </si>
  <si>
    <t>594 COTE E AVE</t>
  </si>
  <si>
    <t>246 LAKE DR W</t>
  </si>
  <si>
    <t>205 CHRISTIE ST</t>
  </si>
  <si>
    <t>95 ALEXANDER ST</t>
  </si>
  <si>
    <t>12 WEXFORD ST</t>
  </si>
  <si>
    <t>9-2-13197</t>
  </si>
  <si>
    <t>71 CENTRE ST</t>
  </si>
  <si>
    <t>13 WHITETAIL DR</t>
  </si>
  <si>
    <t>37 JONASSON DR</t>
  </si>
  <si>
    <t>24 WEST ST</t>
  </si>
  <si>
    <t>447 PREFONTAINE AVE</t>
  </si>
  <si>
    <t>473 LAVOIE AVE</t>
  </si>
  <si>
    <t>57060 PR340</t>
  </si>
  <si>
    <t>41 VALCOURT BAY</t>
  </si>
  <si>
    <t>79 FRONTAGE RD</t>
  </si>
  <si>
    <t>10 2ND ST</t>
  </si>
  <si>
    <t>140 BROADWAY ST</t>
  </si>
  <si>
    <t>153 Louise AVE W</t>
  </si>
  <si>
    <t>446 ST JOSEPH AVE W</t>
  </si>
  <si>
    <t>521 GOVERNMENT RD S</t>
  </si>
  <si>
    <t>17 CARRIERE AVE</t>
  </si>
  <si>
    <t>179 DISCOVERY AVE</t>
  </si>
  <si>
    <t>2 EAST BAY DR</t>
  </si>
  <si>
    <t>16 LIVINGSTONE PL</t>
  </si>
  <si>
    <t>489 ST JOSEPH AVE W</t>
  </si>
  <si>
    <t>2 COUNTRY CLUB LANE</t>
  </si>
  <si>
    <t>46 7th ST</t>
  </si>
  <si>
    <t>296 LAKE AVE</t>
  </si>
  <si>
    <t>467 ST JOSEPH AVE W</t>
  </si>
  <si>
    <t>171 DISCOVERY AVE</t>
  </si>
  <si>
    <t>153 DISCOVERY AVE</t>
  </si>
  <si>
    <t>421 TIMMERMAN TRL</t>
  </si>
  <si>
    <t>93 REGENT ST</t>
  </si>
  <si>
    <t>103 SIXTH ST</t>
  </si>
  <si>
    <t>72 SHILO RD</t>
  </si>
  <si>
    <t>11 BAIE VALCOURT ST</t>
  </si>
  <si>
    <t>35 BALSAM CRES</t>
  </si>
  <si>
    <t>111 DUFFERIN ST</t>
  </si>
  <si>
    <t>11 FOURTH AVE W</t>
  </si>
  <si>
    <t>207 CEMETERY RD</t>
  </si>
  <si>
    <t>75 BALSAM CRES</t>
  </si>
  <si>
    <t>508 FIRST AVE</t>
  </si>
  <si>
    <t>64 SHILO RD</t>
  </si>
  <si>
    <t>215 THE DRIVE</t>
  </si>
  <si>
    <t>134 OAK ST</t>
  </si>
  <si>
    <t>595 JOLYS AVE E</t>
  </si>
  <si>
    <t>29 CHARLES AVE</t>
  </si>
  <si>
    <t>142 OAK ST</t>
  </si>
  <si>
    <t>201 CEMETERY RD</t>
  </si>
  <si>
    <t>14 CHARLES AVE</t>
  </si>
  <si>
    <t>294 CEMETERY RD</t>
  </si>
  <si>
    <t>530 COTE AVE E</t>
  </si>
  <si>
    <t>642 COOK ST</t>
  </si>
  <si>
    <t>34 PHILLIP AVE</t>
  </si>
  <si>
    <t>115 PARK ST</t>
  </si>
  <si>
    <t>41 SKINNY DIP DR</t>
  </si>
  <si>
    <t>657 PETERS ST</t>
  </si>
  <si>
    <t>697 COOK ST</t>
  </si>
  <si>
    <t>552 JOHNSON ST</t>
  </si>
  <si>
    <t>78 CEDAR ST</t>
  </si>
  <si>
    <t>31 Duna BAY</t>
  </si>
  <si>
    <t>129 RIDLEY ST</t>
  </si>
  <si>
    <t>305 LAKE ST S</t>
  </si>
  <si>
    <t>188 BARKWELL PL</t>
  </si>
  <si>
    <t>S--54357</t>
  </si>
  <si>
    <t>19 NEW ST</t>
  </si>
  <si>
    <t>184 POPLAR  ST</t>
  </si>
  <si>
    <t>25 CHURCH AVE</t>
  </si>
  <si>
    <t>158 RIDLEY ST</t>
  </si>
  <si>
    <t>438 JOHNSON ST</t>
  </si>
  <si>
    <t>62 BALSAM CRES</t>
  </si>
  <si>
    <t>621 THIRD AVE</t>
  </si>
  <si>
    <t>42 PHILLIP AVE</t>
  </si>
  <si>
    <t>222 VALHOP DR</t>
  </si>
  <si>
    <t>41 DE DELLEY RD</t>
  </si>
  <si>
    <t>329 SASKATOON DR</t>
  </si>
  <si>
    <t>7 WEXFORD ST</t>
  </si>
  <si>
    <t>180 DISCOVERY AVE</t>
  </si>
  <si>
    <t>18 RICHHILL AVE W</t>
  </si>
  <si>
    <t>180 MAIN ST N</t>
  </si>
  <si>
    <t>613 MANITOBA ST</t>
  </si>
  <si>
    <t>84 Sixth AVE NE</t>
  </si>
  <si>
    <t>138 3RD ST</t>
  </si>
  <si>
    <t>14 MAIN ST N</t>
  </si>
  <si>
    <t>21 6th ST SE</t>
  </si>
  <si>
    <t>40 MINNEWAWA ST</t>
  </si>
  <si>
    <t>29 NEW ST</t>
  </si>
  <si>
    <t>165 DISCOVERY AVE</t>
  </si>
  <si>
    <t>162 DISCOVERY AVE</t>
  </si>
  <si>
    <t>3-1-15950</t>
  </si>
  <si>
    <t>119 PARK ST</t>
  </si>
  <si>
    <t>125 VOTH ST</t>
  </si>
  <si>
    <t>10 SOM BEACH RD</t>
  </si>
  <si>
    <t>22 PHILLIP AVE</t>
  </si>
  <si>
    <t>101 CORNWALL ST</t>
  </si>
  <si>
    <t>17 MAIN ST</t>
  </si>
  <si>
    <t>307 COOK ST</t>
  </si>
  <si>
    <t>123 Duna BAY</t>
  </si>
  <si>
    <t>104 RAILWAY ST W</t>
  </si>
  <si>
    <t>61 CEDAR ST</t>
  </si>
  <si>
    <t>137 5TH ST</t>
  </si>
  <si>
    <t>9 BALSAM ST</t>
  </si>
  <si>
    <t>176 DISCOVERY AVE</t>
  </si>
  <si>
    <t>172 DISCOVERY AVE</t>
  </si>
  <si>
    <t>1 3RD AVE</t>
  </si>
  <si>
    <t>113 GRANGE ST</t>
  </si>
  <si>
    <t>5 BALSAM ST</t>
  </si>
  <si>
    <t>160 VOTH ST</t>
  </si>
  <si>
    <t>131 FIFTH ST</t>
  </si>
  <si>
    <t>479 LAVOIE AVE</t>
  </si>
  <si>
    <t>43 PHILLIP AVE</t>
  </si>
  <si>
    <t>12 COUNTRY CLUB LANE</t>
  </si>
  <si>
    <t>8216 PR 205  E</t>
  </si>
  <si>
    <t>73 9TH ST SE</t>
  </si>
  <si>
    <t>631 JOLYS AVE E</t>
  </si>
  <si>
    <t>15 PARKVIEW DR</t>
  </si>
  <si>
    <t>12 BIRCH DR</t>
  </si>
  <si>
    <t>175 DISCOVERY AVE</t>
  </si>
  <si>
    <t>27 WOODS AVE</t>
  </si>
  <si>
    <t>571 COTE E AVE</t>
  </si>
  <si>
    <t>535 COTE E AVE</t>
  </si>
  <si>
    <t>148 BARR ST</t>
  </si>
  <si>
    <t>166 DISCOVERY AVE</t>
  </si>
  <si>
    <t>154 DISCOVERY AVE</t>
  </si>
  <si>
    <t>129 SEVENTH ST</t>
  </si>
  <si>
    <t>81 FIRST ST E</t>
  </si>
  <si>
    <t>400 TIMMERMAN TRL</t>
  </si>
  <si>
    <t>14 JOHNSON AVE</t>
  </si>
  <si>
    <t>232 GRIFFIN ST</t>
  </si>
  <si>
    <t>45 RUE FILLION AVE</t>
  </si>
  <si>
    <t>217 ELM ST</t>
  </si>
  <si>
    <t>113 MILES ST</t>
  </si>
  <si>
    <t>30 VINCENT AVE</t>
  </si>
  <si>
    <t>102 4TH ST</t>
  </si>
  <si>
    <t>106 4TH ST</t>
  </si>
  <si>
    <t>57030 PR340</t>
  </si>
  <si>
    <t>37 MAIN ST W</t>
  </si>
  <si>
    <t>32 WILLOW ST</t>
  </si>
  <si>
    <t>191 SMITH ST</t>
  </si>
  <si>
    <t>120 3RD ST</t>
  </si>
  <si>
    <t>127 MORRIS ST</t>
  </si>
  <si>
    <t>26 FOURTH ST</t>
  </si>
  <si>
    <t>65 BLIGHT ST</t>
  </si>
  <si>
    <t>46 2ND ST NE</t>
  </si>
  <si>
    <t>611 SABOURIN ST</t>
  </si>
  <si>
    <t>12-7134</t>
  </si>
  <si>
    <t>622 COOK ST</t>
  </si>
  <si>
    <t>323 1ST ST NW</t>
  </si>
  <si>
    <t>118 CHRISTENSEN BEACH DR</t>
  </si>
  <si>
    <t>202 HARVEY AVE</t>
  </si>
  <si>
    <t>238 FIFTH ST</t>
  </si>
  <si>
    <t>109 GRANGE ST</t>
  </si>
  <si>
    <t>9 2ND AVE N</t>
  </si>
  <si>
    <t>55 2ND AVE NE</t>
  </si>
  <si>
    <t>219 DONAHOE AVE E</t>
  </si>
  <si>
    <t>101 BROADWAY ST</t>
  </si>
  <si>
    <t>152 JAMES AVE</t>
  </si>
  <si>
    <t>346 STEPHEN ST</t>
  </si>
  <si>
    <t>388 TIMMERMAN TRL</t>
  </si>
  <si>
    <t>435 OAK AVE</t>
  </si>
  <si>
    <t>478 JOSEPH AVE W</t>
  </si>
  <si>
    <t>114 LAKEVIEW DR</t>
  </si>
  <si>
    <t>384 ENNIS CRES</t>
  </si>
  <si>
    <t>12 1ST ST E</t>
  </si>
  <si>
    <t>481 COTE  AVE W</t>
  </si>
  <si>
    <t>393 MANIPOGO BEACH RD</t>
  </si>
  <si>
    <t>38 RUE FILLION AVE</t>
  </si>
  <si>
    <t>11 PARKVIEW DR</t>
  </si>
  <si>
    <t>784 MACKENZIE ST</t>
  </si>
  <si>
    <t>166 LAKEVIEW DR</t>
  </si>
  <si>
    <t>121 3RD AVE NE</t>
  </si>
  <si>
    <t>5 BAIE VALCOURT ST</t>
  </si>
  <si>
    <t>206 BROADWAY ST S</t>
  </si>
  <si>
    <t>431 CHRISTIE ST</t>
  </si>
  <si>
    <t>145 PERRIE AVE</t>
  </si>
  <si>
    <t>519 SABOURIN ST</t>
  </si>
  <si>
    <t>420 TIMMERMAN TRL</t>
  </si>
  <si>
    <t>57 BROADWAY ST</t>
  </si>
  <si>
    <t>147-149 MAIN ST E</t>
  </si>
  <si>
    <t>215 MARY ST</t>
  </si>
  <si>
    <t>365 MANIPOGO BEACH RD</t>
  </si>
  <si>
    <t>3 BAIE VALCOURT ST</t>
  </si>
  <si>
    <t>28018 ROAD 2  E</t>
  </si>
  <si>
    <t>13 GABRIELLE RD</t>
  </si>
  <si>
    <t>99 BRANDT ST</t>
  </si>
  <si>
    <t>FIRST AVE</t>
  </si>
  <si>
    <t>20 SPRUCE ST</t>
  </si>
  <si>
    <t>111 THIRD ST N</t>
  </si>
  <si>
    <t>161 DISCOVERY AVE</t>
  </si>
  <si>
    <t>5 Sunfish CIR</t>
  </si>
  <si>
    <t>80 SHILO RD</t>
  </si>
  <si>
    <t>77 OAK ST</t>
  </si>
  <si>
    <t>60 BYERS ST</t>
  </si>
  <si>
    <t>529 FOURTH AVE</t>
  </si>
  <si>
    <t>T--54357</t>
  </si>
  <si>
    <t>131 VOTH ST</t>
  </si>
  <si>
    <t>33 2ND ST</t>
  </si>
  <si>
    <t>107 VETERANS-ASSINIBOINE ST E</t>
  </si>
  <si>
    <t>36-38 Vincent AVE</t>
  </si>
  <si>
    <t>2 LAVERGNE ST</t>
  </si>
  <si>
    <t>50 MAPLE ST</t>
  </si>
  <si>
    <t>18 MANITOBA AVE</t>
  </si>
  <si>
    <t>102 SECOND ST N</t>
  </si>
  <si>
    <t>4-19597</t>
  </si>
  <si>
    <t>692 EGAN ST</t>
  </si>
  <si>
    <t>73 OAK ST</t>
  </si>
  <si>
    <t>147 BARR ST</t>
  </si>
  <si>
    <t>83 BALSAM CRES</t>
  </si>
  <si>
    <t>46 Maple DR</t>
  </si>
  <si>
    <t>206 VALHOP DR</t>
  </si>
  <si>
    <t>198 CHURCHILL PL</t>
  </si>
  <si>
    <t>147 CHURCHILL PL</t>
  </si>
  <si>
    <t>137 BROADWAY ST</t>
  </si>
  <si>
    <t>21 WOODS AVE</t>
  </si>
  <si>
    <t>742 FINDLAY ST</t>
  </si>
  <si>
    <t>333 PARK AVE</t>
  </si>
  <si>
    <t>25 S. RAILWAY ST</t>
  </si>
  <si>
    <t>158 PENTLAND ST</t>
  </si>
  <si>
    <t>178 CHURCHILL PL</t>
  </si>
  <si>
    <t>46 LAKEVIEW DR</t>
  </si>
  <si>
    <t>10 RIVERVIEW DR</t>
  </si>
  <si>
    <t>674 JOLYS  AVE E</t>
  </si>
  <si>
    <t>15 LILAC AVE E</t>
  </si>
  <si>
    <t>24 WOODS AVE</t>
  </si>
  <si>
    <t>277 MANIPOGO BEACH RD</t>
  </si>
  <si>
    <t>11 CLEMENT PL</t>
  </si>
  <si>
    <t>102 MCINTOSH ST</t>
  </si>
  <si>
    <t>15 POPLAR AVE</t>
  </si>
  <si>
    <t>16 BALSAM CRES</t>
  </si>
  <si>
    <t>305 Louisa AVE</t>
  </si>
  <si>
    <t>20 LOEWEN AVE</t>
  </si>
  <si>
    <t>556 BROADWAY AVE</t>
  </si>
  <si>
    <t>109 KIRK ST</t>
  </si>
  <si>
    <t>67 MCINTOSH ST</t>
  </si>
  <si>
    <t>27 BIRCH ST</t>
  </si>
  <si>
    <t>435 BELANGER AVE</t>
  </si>
  <si>
    <t>371 MANIPOGO BEACH RD</t>
  </si>
  <si>
    <t>213 SMITH ST</t>
  </si>
  <si>
    <t>211 PARK AVE</t>
  </si>
  <si>
    <t>141 PATRICK ST</t>
  </si>
  <si>
    <t>266 REGGIE LEACH DR</t>
  </si>
  <si>
    <t>215 FIFTH ST</t>
  </si>
  <si>
    <t>240 Main ST NE</t>
  </si>
  <si>
    <t>806 6TH AVE</t>
  </si>
  <si>
    <t>22 4TH ST NE</t>
  </si>
  <si>
    <t>219 PARK AVE</t>
  </si>
  <si>
    <t>22 SPRUCE ST</t>
  </si>
  <si>
    <t>210 SMITH ST</t>
  </si>
  <si>
    <t>119 BRAD AVE E</t>
  </si>
  <si>
    <t>115 THIRD ST</t>
  </si>
  <si>
    <t>70 5TH ST</t>
  </si>
  <si>
    <t>341 3RD AVE NW</t>
  </si>
  <si>
    <t>109 VOTH ST</t>
  </si>
  <si>
    <t>30 CLARK ST</t>
  </si>
  <si>
    <t>64 ELM ST</t>
  </si>
  <si>
    <t>129 LAWLOR AVE</t>
  </si>
  <si>
    <t>720 SIR CHARLES PL</t>
  </si>
  <si>
    <t>15 KILDARE ST</t>
  </si>
  <si>
    <t>65 FIRST ST S</t>
  </si>
  <si>
    <t>19 YORK ST</t>
  </si>
  <si>
    <t>320 BROADWAY ST</t>
  </si>
  <si>
    <t>3--7134</t>
  </si>
  <si>
    <t>33 Oriole  DR</t>
  </si>
  <si>
    <t>510 FOXFORD AVE E</t>
  </si>
  <si>
    <t>179 PARK AVE</t>
  </si>
  <si>
    <t>637 SABOURIN ST</t>
  </si>
  <si>
    <t>510 FOURTH AVE</t>
  </si>
  <si>
    <t>14 THOMAS ST</t>
  </si>
  <si>
    <t>394 TIMMERMAN TRL</t>
  </si>
  <si>
    <t>56 WILLIAM ST</t>
  </si>
  <si>
    <t>43 5TH ST</t>
  </si>
  <si>
    <t>189-191 RAILWAY AVE</t>
  </si>
  <si>
    <t>11 WILLOW DR</t>
  </si>
  <si>
    <t>698 COOK ST</t>
  </si>
  <si>
    <t>19 PARKVIEW DR</t>
  </si>
  <si>
    <t>121 3RD AVE NW</t>
  </si>
  <si>
    <t>56 8TH ST SE</t>
  </si>
  <si>
    <t>573 FOURTH AVE</t>
  </si>
  <si>
    <t>7 BALSAM ST</t>
  </si>
  <si>
    <t>18 FIRST AVE SW</t>
  </si>
  <si>
    <t>39 SEVENTH ST</t>
  </si>
  <si>
    <t>361 MANIPOGO BEACH RD</t>
  </si>
  <si>
    <t>16--42183</t>
  </si>
  <si>
    <t>429 OAK AVE</t>
  </si>
  <si>
    <t>242 PARK AVE</t>
  </si>
  <si>
    <t>815 6TH AVE</t>
  </si>
  <si>
    <t>216 MILES ST</t>
  </si>
  <si>
    <t>374 DALLAS AVE</t>
  </si>
  <si>
    <t>205 MOUNTAIN ST N</t>
  </si>
  <si>
    <t>473 PREFONTAINE AVE</t>
  </si>
  <si>
    <t>282 LAKEVIEW DR</t>
  </si>
  <si>
    <t>11 COUNTRY CLUB LANE</t>
  </si>
  <si>
    <t>50 WOODS AVE</t>
  </si>
  <si>
    <t>425 BROADWAY ST S</t>
  </si>
  <si>
    <t>123 HOSPITAL ST</t>
  </si>
  <si>
    <t>126 VOTH ST</t>
  </si>
  <si>
    <t>84 RAILWAY AVE</t>
  </si>
  <si>
    <t>4-1-15950</t>
  </si>
  <si>
    <t>678 JOLYS  AVE E</t>
  </si>
  <si>
    <t>483 JOLYS AVE W</t>
  </si>
  <si>
    <t>200 PARK AVE</t>
  </si>
  <si>
    <t>52 RIVER RD S</t>
  </si>
  <si>
    <t>370 DALLAS AVE</t>
  </si>
  <si>
    <t>26 3RD ST NE</t>
  </si>
  <si>
    <t>168 BROADWAY ST</t>
  </si>
  <si>
    <t>594 SABOURIN ST</t>
  </si>
  <si>
    <t>308 MORTON AVE E</t>
  </si>
  <si>
    <t>57028 PR340</t>
  </si>
  <si>
    <t>201 BUCKINGHAM ST</t>
  </si>
  <si>
    <t>131 VICTORIA AVE</t>
  </si>
  <si>
    <t>MAIN ST N</t>
  </si>
  <si>
    <t>152 LETAIN ST</t>
  </si>
  <si>
    <t>212 BUCKINGHAM ST</t>
  </si>
  <si>
    <t>120 CAVENDISH ST N</t>
  </si>
  <si>
    <t>101 PLUM LANE</t>
  </si>
  <si>
    <t>8 POPLAR ST</t>
  </si>
  <si>
    <t>641 BROADWAY ST</t>
  </si>
  <si>
    <t>20/22-4-411</t>
  </si>
  <si>
    <t>846 LUNDY ST</t>
  </si>
  <si>
    <t>20167 Road 130 NE</t>
  </si>
  <si>
    <t>66 WOODS AVE</t>
  </si>
  <si>
    <t>89 FIRST AVE S</t>
  </si>
  <si>
    <t>325 BEVERIDGE AVE</t>
  </si>
  <si>
    <t>269 VETERANS-ASSINIBOINE ST W</t>
  </si>
  <si>
    <t>17 1ST ST</t>
  </si>
  <si>
    <t>375 PREFONTAINE AVE</t>
  </si>
  <si>
    <t>430 JOHNSON ST</t>
  </si>
  <si>
    <t>28--7134</t>
  </si>
  <si>
    <t>552 FOURTH AVE</t>
  </si>
  <si>
    <t>78 SPRUCE ST</t>
  </si>
  <si>
    <t>120 DOMINION ST</t>
  </si>
  <si>
    <t>141 VOTH ST</t>
  </si>
  <si>
    <t>133 TAYLOR ST</t>
  </si>
  <si>
    <t>717 THIRD AVE</t>
  </si>
  <si>
    <t>18 SPRUCE ST</t>
  </si>
  <si>
    <t>256 PARK AVE</t>
  </si>
  <si>
    <t>162 FIRST  ST E</t>
  </si>
  <si>
    <t>1 BASSWOOD ST</t>
  </si>
  <si>
    <t>65 OAK ST</t>
  </si>
  <si>
    <t>330 GOSCHEN AVE</t>
  </si>
  <si>
    <t>153 DENNIS ST W</t>
  </si>
  <si>
    <t>666 COOK ST</t>
  </si>
  <si>
    <t>138 MAIN ST N</t>
  </si>
  <si>
    <t>3 LAVERGNE ST</t>
  </si>
  <si>
    <t>221 BUCKINGHAM ST</t>
  </si>
  <si>
    <t>41 PARKVIEW DR</t>
  </si>
  <si>
    <t>417 SABOURIN ST</t>
  </si>
  <si>
    <t>585 SABOURIN ST</t>
  </si>
  <si>
    <t>419 HWY</t>
  </si>
  <si>
    <t>82 FIFTH ST</t>
  </si>
  <si>
    <t>570 FOURTH AVE</t>
  </si>
  <si>
    <t>169 BROADWAY ST</t>
  </si>
  <si>
    <t>78 2ND ST NE</t>
  </si>
  <si>
    <t>619 MCKENZIE ST N</t>
  </si>
  <si>
    <t>55 5TH ST</t>
  </si>
  <si>
    <t>216 CAMERON ST E</t>
  </si>
  <si>
    <t>372 PRÉFONTAINE AVE</t>
  </si>
  <si>
    <t>115 DONALD AVE</t>
  </si>
  <si>
    <t>54 LOUISE ST</t>
  </si>
  <si>
    <t>421 Belanger AVE</t>
  </si>
  <si>
    <t>485 PREFONTAINE AVE</t>
  </si>
  <si>
    <t>202 KELLETT ST N</t>
  </si>
  <si>
    <t>37 PARKVIEW DR</t>
  </si>
  <si>
    <t>131 NORFOLK ST</t>
  </si>
  <si>
    <t>170 DENNIS ST</t>
  </si>
  <si>
    <t>565 EGAN ST</t>
  </si>
  <si>
    <t>405 SIXTH ST</t>
  </si>
  <si>
    <t>162 PATRICK ST</t>
  </si>
  <si>
    <t>105 CAVENDISH ST N</t>
  </si>
  <si>
    <t>5 GABRIELLE RD</t>
  </si>
  <si>
    <t>455 2nd AVE</t>
  </si>
  <si>
    <t>45 Duna BAY</t>
  </si>
  <si>
    <t>16 MAPLE DR</t>
  </si>
  <si>
    <t>615 JOLYS AVE E</t>
  </si>
  <si>
    <t>24 CLARK ST</t>
  </si>
  <si>
    <t>232 FOURTH ST</t>
  </si>
  <si>
    <t>156 MAYFAIR ST</t>
  </si>
  <si>
    <t>135 PARK ST</t>
  </si>
  <si>
    <t>194 BARKWELL PL</t>
  </si>
  <si>
    <t>55 CENTRE ST</t>
  </si>
  <si>
    <t>433 COTE W AVE</t>
  </si>
  <si>
    <t>570 COTE AVE E</t>
  </si>
  <si>
    <t>14 THIRD ST N</t>
  </si>
  <si>
    <t>243 MAIN ST</t>
  </si>
  <si>
    <t>56 5TH ST SE</t>
  </si>
  <si>
    <t>19 GLENGARIFF ST</t>
  </si>
  <si>
    <t>37 CHARLES AVE</t>
  </si>
  <si>
    <t>555 FOURTH AVE</t>
  </si>
  <si>
    <t>15 MAIN ST</t>
  </si>
  <si>
    <t>302 LAKESHORE DR</t>
  </si>
  <si>
    <t>111 PARK ST</t>
  </si>
  <si>
    <t>6 MANN PL</t>
  </si>
  <si>
    <t>181 Sugarpoint Trail</t>
  </si>
  <si>
    <t>48 4TH AVE S</t>
  </si>
  <si>
    <t>3/5-5-6797</t>
  </si>
  <si>
    <t>179 SOURIS ST</t>
  </si>
  <si>
    <t>57018 PR340</t>
  </si>
  <si>
    <t>55 LOUISE ST</t>
  </si>
  <si>
    <t>30173 PR 246</t>
  </si>
  <si>
    <t>321 3RD AVE NW</t>
  </si>
  <si>
    <t>418 SABOURIN ST</t>
  </si>
  <si>
    <t>11 LOEWEN AVE</t>
  </si>
  <si>
    <t>561 FULLER AVE</t>
  </si>
  <si>
    <t>233 LAKE AVE</t>
  </si>
  <si>
    <t>31 BIRCH ST</t>
  </si>
  <si>
    <t>11 MAPLE DR</t>
  </si>
  <si>
    <t>127 MONTEITH ST</t>
  </si>
  <si>
    <t>75 THIRD ST</t>
  </si>
  <si>
    <t>3 2ND ST</t>
  </si>
  <si>
    <t>720 VINE ST</t>
  </si>
  <si>
    <t>400 WARWICK AVE</t>
  </si>
  <si>
    <t>116 Stanmore</t>
  </si>
  <si>
    <t>20 WEXFORD ST</t>
  </si>
  <si>
    <t>94 3RD ST</t>
  </si>
  <si>
    <t>136 LESLIE AVE</t>
  </si>
  <si>
    <t>433 PREFONTAINE AVE</t>
  </si>
  <si>
    <t>78 KLONDIKE AVE</t>
  </si>
  <si>
    <t>63 4TH ST</t>
  </si>
  <si>
    <t>7 WILLOW DR</t>
  </si>
  <si>
    <t>255 JOHNSTON ST</t>
  </si>
  <si>
    <t>27 PARKVIEW DR</t>
  </si>
  <si>
    <t>167 PERRIE AVE</t>
  </si>
  <si>
    <t>118 FOURTH ST</t>
  </si>
  <si>
    <t>399 LAKE AVE</t>
  </si>
  <si>
    <t>373 LAKE AVE</t>
  </si>
  <si>
    <t>76 SHILO RD</t>
  </si>
  <si>
    <t>132 VOTH ST</t>
  </si>
  <si>
    <t>33 PARKVIEW DR</t>
  </si>
  <si>
    <t>32 RUE CARON AVE</t>
  </si>
  <si>
    <t>25 WALTER THOMAS DR</t>
  </si>
  <si>
    <t>144 BARR ST</t>
  </si>
  <si>
    <t>59 5TH ST</t>
  </si>
  <si>
    <t>56 SCOTT ST</t>
  </si>
  <si>
    <t>110 RAILWAY ST W</t>
  </si>
  <si>
    <t>330 STEPHEN ST</t>
  </si>
  <si>
    <t>319 OAK DR</t>
  </si>
  <si>
    <t>64 3RD ST</t>
  </si>
  <si>
    <t>17 MAPLE DR</t>
  </si>
  <si>
    <t>56 1ST ST</t>
  </si>
  <si>
    <t>61 9TH ST SE</t>
  </si>
  <si>
    <t>17 FREEMAN BAY</t>
  </si>
  <si>
    <t>110 COCHRANE ST</t>
  </si>
  <si>
    <t>70 SHILO RD</t>
  </si>
  <si>
    <t>119 NELSON AVE</t>
  </si>
  <si>
    <t xml:space="preserve">97090 PTH 42 (ROAD 136 W) HWY </t>
  </si>
  <si>
    <t>14  N RAILWAY AVE AVE E</t>
  </si>
  <si>
    <t>17 DUPONT ST</t>
  </si>
  <si>
    <t>50 BALSAM CRES</t>
  </si>
  <si>
    <t>113 SUGAR POINT TRL</t>
  </si>
  <si>
    <t>111 LYALL ST</t>
  </si>
  <si>
    <t>1 CARON ST</t>
  </si>
  <si>
    <t>117 3RD AVE NE</t>
  </si>
  <si>
    <t>135 ROBESON ST</t>
  </si>
  <si>
    <t>155 LAKE AVE</t>
  </si>
  <si>
    <t>336 SABOURIN ST</t>
  </si>
  <si>
    <t>301 PARK AVE</t>
  </si>
  <si>
    <t>108 MAIN ST N</t>
  </si>
  <si>
    <t>618 MCKENZIE ST N</t>
  </si>
  <si>
    <t>8 SOM BEACH RD</t>
  </si>
  <si>
    <t>50 SEVENTH ST</t>
  </si>
  <si>
    <t>203 PARK AVE</t>
  </si>
  <si>
    <t>31 BETTY ST</t>
  </si>
  <si>
    <t>135 HOSPITAL ST</t>
  </si>
  <si>
    <t>70 ELM ST</t>
  </si>
  <si>
    <t>29 Kirkjubae RD</t>
  </si>
  <si>
    <t>35 WOODS AVE</t>
  </si>
  <si>
    <t>116 MAHARG AVE W</t>
  </si>
  <si>
    <t>31 JONASSON DR</t>
  </si>
  <si>
    <t>519 SECOND AVE</t>
  </si>
  <si>
    <t>121 2ND AVE NE</t>
  </si>
  <si>
    <t>45 PARKVIEW DR</t>
  </si>
  <si>
    <t>66 BALSAM CRES</t>
  </si>
  <si>
    <t>124 RIDLEY ST</t>
  </si>
  <si>
    <t>85 KENNEDY RD</t>
  </si>
  <si>
    <t>151 LAKE AVE</t>
  </si>
  <si>
    <t>564 JOLYS  AVE E</t>
  </si>
  <si>
    <t>27 3RD ST</t>
  </si>
  <si>
    <t>96100 PTH 21</t>
  </si>
  <si>
    <t>33 CENTRE AVE</t>
  </si>
  <si>
    <t>33 ALEXANDER ST</t>
  </si>
  <si>
    <t>111 FOURTH ST N</t>
  </si>
  <si>
    <t>194 OAK AVE E</t>
  </si>
  <si>
    <t>30 SPRUCE ST</t>
  </si>
  <si>
    <t>128 PARK ST</t>
  </si>
  <si>
    <t>227 DONAHOE AVE E</t>
  </si>
  <si>
    <t>358 ENNIS CRES</t>
  </si>
  <si>
    <t>18 GLENGARIFF ST</t>
  </si>
  <si>
    <t>407 FIRST ST</t>
  </si>
  <si>
    <t>50 ROSS AVE</t>
  </si>
  <si>
    <t>81 12TH ST</t>
  </si>
  <si>
    <t>625 JOLYS AVE E</t>
  </si>
  <si>
    <t>22 RUE FILLION AVE</t>
  </si>
  <si>
    <t>68 MAIN ST</t>
  </si>
  <si>
    <t>323 LAKE ST</t>
  </si>
  <si>
    <t>21 SEVENTH ST</t>
  </si>
  <si>
    <t>59 BLAKESTON LANE</t>
  </si>
  <si>
    <t>200 CHRISTIE ST</t>
  </si>
  <si>
    <t>259 VANZILE ST</t>
  </si>
  <si>
    <t>615 PETERS ST</t>
  </si>
  <si>
    <t>165 Steuart AVE</t>
  </si>
  <si>
    <t>129 BARR ST</t>
  </si>
  <si>
    <t>129 PARK ST</t>
  </si>
  <si>
    <t>206 CAMPBELL AVE W</t>
  </si>
  <si>
    <t>409 LAKE ST S</t>
  </si>
  <si>
    <t>27 ASH DR</t>
  </si>
  <si>
    <t>107 WEXFORD ST</t>
  </si>
  <si>
    <t>28 FILLION ST</t>
  </si>
  <si>
    <t>93 ABERDEEN ST</t>
  </si>
  <si>
    <t>145 FIFTH ST</t>
  </si>
  <si>
    <t>69 OAK ST</t>
  </si>
  <si>
    <t>310 GREENWAY ST S</t>
  </si>
  <si>
    <t>222 4TH AVE NW</t>
  </si>
  <si>
    <t>29 ASH DR</t>
  </si>
  <si>
    <t>491 SABOURIN ST</t>
  </si>
  <si>
    <t>312 NORTON AVE</t>
  </si>
  <si>
    <t>90 MCINTOSH AVE</t>
  </si>
  <si>
    <t>95 Sugarpoint Trail</t>
  </si>
  <si>
    <t>559 NORTH RAILWAY AVE</t>
  </si>
  <si>
    <t>221 SASKATOON DR</t>
  </si>
  <si>
    <t>166 BROADWAY ST</t>
  </si>
  <si>
    <t>524 RAILWAY ST</t>
  </si>
  <si>
    <t>574 COTE AVE E</t>
  </si>
  <si>
    <t>106 CUSHING AVE</t>
  </si>
  <si>
    <t>252 SOUTH ST</t>
  </si>
  <si>
    <t>240 MCKENZIE ST S</t>
  </si>
  <si>
    <t>40 BIRCH ST</t>
  </si>
  <si>
    <t>316 MILES ST</t>
  </si>
  <si>
    <t>31 MINNEWAWA ST</t>
  </si>
  <si>
    <t>24 MAPLE ST</t>
  </si>
  <si>
    <t>323 FOURTH ST</t>
  </si>
  <si>
    <t>136 PATRICK ST</t>
  </si>
  <si>
    <t>16 ASH ST</t>
  </si>
  <si>
    <t>622 PARK AVE</t>
  </si>
  <si>
    <t>10 Lindell DR</t>
  </si>
  <si>
    <t>24 2ND ST</t>
  </si>
  <si>
    <t>87 ELM ST</t>
  </si>
  <si>
    <t>11 FRANKLIN ST</t>
  </si>
  <si>
    <t>54 BLAKESTON LANE</t>
  </si>
  <si>
    <t>42 1ST ST E</t>
  </si>
  <si>
    <t>1068 MAIN ST</t>
  </si>
  <si>
    <t>16 4TH ST</t>
  </si>
  <si>
    <t>66 LAKEVIEW DR</t>
  </si>
  <si>
    <t>45 ASH ST</t>
  </si>
  <si>
    <t>2 POWELL LANE</t>
  </si>
  <si>
    <t>14 WILLOW DR</t>
  </si>
  <si>
    <t>47 Parkview DR</t>
  </si>
  <si>
    <t>24 MINNEWAWA ST</t>
  </si>
  <si>
    <t>64 MAIN ST N</t>
  </si>
  <si>
    <t>515 MAIN ST</t>
  </si>
  <si>
    <t>288 CAMERON ST W</t>
  </si>
  <si>
    <t>712 RAILWAY AVE</t>
  </si>
  <si>
    <t>397 MAIN ST</t>
  </si>
  <si>
    <t>54 NEWTON BAY</t>
  </si>
  <si>
    <t>603 MAIN ST</t>
  </si>
  <si>
    <t>278 VETERANS-ASSINIBOINE ST W</t>
  </si>
  <si>
    <t>31 MAIN ST</t>
  </si>
  <si>
    <t>210 FOXFORD AVE E</t>
  </si>
  <si>
    <t>478 CAREY ST</t>
  </si>
  <si>
    <t>471 JOLYS AVE W</t>
  </si>
  <si>
    <t>6 RUE FILLION AVE</t>
  </si>
  <si>
    <t>52 ART AVE</t>
  </si>
  <si>
    <t>121 RIDLEY ST</t>
  </si>
  <si>
    <t>156 PATRICK ST</t>
  </si>
  <si>
    <t>134 Cypress AVE</t>
  </si>
  <si>
    <t>27 6TH ST SE</t>
  </si>
  <si>
    <t>124047 Road 22 E</t>
  </si>
  <si>
    <t>20 Perch Point RD</t>
  </si>
  <si>
    <t>299 JOLYS AVE W</t>
  </si>
  <si>
    <t>121 KING ST</t>
  </si>
  <si>
    <t>106 PATRICK ST</t>
  </si>
  <si>
    <t>150 VOTH ST</t>
  </si>
  <si>
    <t>54 2ND ST</t>
  </si>
  <si>
    <t>80 5TH ST NE</t>
  </si>
  <si>
    <t>75 FIRST ST E</t>
  </si>
  <si>
    <t>275 FOURTH AVE</t>
  </si>
  <si>
    <t>39 RUE FILLION AVE</t>
  </si>
  <si>
    <t>19 CARRIERE AVE</t>
  </si>
  <si>
    <t>151 BROADWAY ST</t>
  </si>
  <si>
    <t>45 SUNWEST DR</t>
  </si>
  <si>
    <t>43 Vincent RD</t>
  </si>
  <si>
    <t>105 4TH ST N</t>
  </si>
  <si>
    <t>CEDAR AVE</t>
  </si>
  <si>
    <t>199 STANLEY ST</t>
  </si>
  <si>
    <t>243 SEVENTH ST</t>
  </si>
  <si>
    <t>152 BROADWAY ST</t>
  </si>
  <si>
    <t>124111 RAMSAY RD</t>
  </si>
  <si>
    <t>114 HELENA ST</t>
  </si>
  <si>
    <t>7 TRALEE ST</t>
  </si>
  <si>
    <t>717 ROGERS ST</t>
  </si>
  <si>
    <t>158 OX CART TRL W</t>
  </si>
  <si>
    <t>607 JOLYS AVE E</t>
  </si>
  <si>
    <t>69 WOODS AVE</t>
  </si>
  <si>
    <t>259 2ND ST NW</t>
  </si>
  <si>
    <t>2 MANITOBA AVE</t>
  </si>
  <si>
    <t>45 7th ST</t>
  </si>
  <si>
    <t>491 BELANGER AVE</t>
  </si>
  <si>
    <t>255 MARY ST</t>
  </si>
  <si>
    <t>815 7TH AVE</t>
  </si>
  <si>
    <t>115 LAWLOR AVE</t>
  </si>
  <si>
    <t>165 MAPLE AVE E</t>
  </si>
  <si>
    <t>56 SHILO RD</t>
  </si>
  <si>
    <t>217 PARK AVE</t>
  </si>
  <si>
    <t>17 FIRST AVE N</t>
  </si>
  <si>
    <t>392 SOMBRERO DR</t>
  </si>
  <si>
    <t>376 ASPEN ST E</t>
  </si>
  <si>
    <t>315 PARK AVE</t>
  </si>
  <si>
    <t>10 BALSAM CRES</t>
  </si>
  <si>
    <t>261 PARK AVE</t>
  </si>
  <si>
    <t>260 CAMERON ST E</t>
  </si>
  <si>
    <t>149 MAYFAIR ST</t>
  </si>
  <si>
    <t>17 TRALEE ST</t>
  </si>
  <si>
    <t>53 HYDE PARK CRES</t>
  </si>
  <si>
    <t>31 WOODS AVE</t>
  </si>
  <si>
    <t>8 BIRCH DR</t>
  </si>
  <si>
    <t>97 ARCHIBALD ST</t>
  </si>
  <si>
    <t>3 SUNWEST DR</t>
  </si>
  <si>
    <t>2 VINCENT AVE</t>
  </si>
  <si>
    <t>260 JOHNSTON AVE</t>
  </si>
  <si>
    <t>622 AIKMAN ST</t>
  </si>
  <si>
    <t>316 YORK ST</t>
  </si>
  <si>
    <t>69 4TH ST</t>
  </si>
  <si>
    <t>219 OAK DR</t>
  </si>
  <si>
    <t>44 BLIGHT ST</t>
  </si>
  <si>
    <t>111 OAK AVE</t>
  </si>
  <si>
    <t>25 2ND ST</t>
  </si>
  <si>
    <t>53 3RD AVE NE</t>
  </si>
  <si>
    <t>104 LESLIE AVE</t>
  </si>
  <si>
    <t>518 FOURTH AVE</t>
  </si>
  <si>
    <t>160 MOUNTAIN AVE</t>
  </si>
  <si>
    <t>308 SOURIS AVE</t>
  </si>
  <si>
    <t>140 LESLIE AVE</t>
  </si>
  <si>
    <t>8 PERCH POINT RD</t>
  </si>
  <si>
    <t>303 KELLETT ST S</t>
  </si>
  <si>
    <t>550 MCARTHUR AVE</t>
  </si>
  <si>
    <t>15 FIRST AVE SW</t>
  </si>
  <si>
    <t>166 VYNER AVE</t>
  </si>
  <si>
    <t>214 CHRISTIE ST</t>
  </si>
  <si>
    <t>321 SASKATOON DR</t>
  </si>
  <si>
    <t>107 KILDARE ST</t>
  </si>
  <si>
    <t>65 4TH ST</t>
  </si>
  <si>
    <t>334 EDITH ST</t>
  </si>
  <si>
    <t>216 LAW ST</t>
  </si>
  <si>
    <t>3 BALSAM ST</t>
  </si>
  <si>
    <t>22 4TH AVE N</t>
  </si>
  <si>
    <t>37 CENTRE ST</t>
  </si>
  <si>
    <t>42 MAIN ST S</t>
  </si>
  <si>
    <t>157 VOTH ST</t>
  </si>
  <si>
    <t>272 SMITH ST</t>
  </si>
  <si>
    <t>23 BEECH ST</t>
  </si>
  <si>
    <t>146 LAKEVIEW DR</t>
  </si>
  <si>
    <t>205 LOUISA AVE</t>
  </si>
  <si>
    <t>139 CHURCHILL PL</t>
  </si>
  <si>
    <t>610 MANITOBA ST</t>
  </si>
  <si>
    <t>460 3rd AVE</t>
  </si>
  <si>
    <t>253 North Railway AVE</t>
  </si>
  <si>
    <t>120 MORRIS ST</t>
  </si>
  <si>
    <t>124039 Road 22 E</t>
  </si>
  <si>
    <t>126 THIRD ST</t>
  </si>
  <si>
    <t>81 MAIN ST</t>
  </si>
  <si>
    <t>302 SMITH ST</t>
  </si>
  <si>
    <t>29 PARKVIEW DR</t>
  </si>
  <si>
    <t>122 BROADWAY ST</t>
  </si>
  <si>
    <t>128 BROADWAY ST</t>
  </si>
  <si>
    <t>79 AFIS RD</t>
  </si>
  <si>
    <t>219 LAKE AVE</t>
  </si>
  <si>
    <t>561 JOHNSON ST</t>
  </si>
  <si>
    <t>637 COOK ST</t>
  </si>
  <si>
    <t>310 FIRST ST</t>
  </si>
  <si>
    <t>135 #5 HWY E</t>
  </si>
  <si>
    <t>313 COOK ST</t>
  </si>
  <si>
    <t>33 6TH ST</t>
  </si>
  <si>
    <t>117 GINN AVE E</t>
  </si>
  <si>
    <t>106 LAKEVIEW DR</t>
  </si>
  <si>
    <t>233 NINTH ST</t>
  </si>
  <si>
    <t>210 6TH AVE SW</t>
  </si>
  <si>
    <t>25 ASH DR</t>
  </si>
  <si>
    <t>403 RENTON AVE W</t>
  </si>
  <si>
    <t>1/3-5-631</t>
  </si>
  <si>
    <t>194 CAMPBELL AVE W</t>
  </si>
  <si>
    <t>120 THIRD AVE</t>
  </si>
  <si>
    <t>163 NELSON CRES</t>
  </si>
  <si>
    <t>52 SHILO RD</t>
  </si>
  <si>
    <t>518 MORTON AVE W</t>
  </si>
  <si>
    <t>6 DESILET LANE</t>
  </si>
  <si>
    <t>21 IRVING ST W</t>
  </si>
  <si>
    <t>70 COTTONWOOD GR</t>
  </si>
  <si>
    <t>138 PATRICK ST</t>
  </si>
  <si>
    <t>68 COTTONWOOD GR</t>
  </si>
  <si>
    <t>140 Broadway ST</t>
  </si>
  <si>
    <t>73 CEDAR ST</t>
  </si>
  <si>
    <t>374 SOMBRERO DR</t>
  </si>
  <si>
    <t>101 FOURTH ST N</t>
  </si>
  <si>
    <t>240 Fourth ST</t>
  </si>
  <si>
    <t>136 PUBLOW AVE</t>
  </si>
  <si>
    <t>9 GABRIELLE RD</t>
  </si>
  <si>
    <t>317 FIRST ST</t>
  </si>
  <si>
    <t>20 WILSON ST</t>
  </si>
  <si>
    <t>23 ASH DR</t>
  </si>
  <si>
    <t>20 RUE FILLION AVE</t>
  </si>
  <si>
    <t>159-160 JAMES AVE</t>
  </si>
  <si>
    <t>61 Highway 419</t>
  </si>
  <si>
    <t>370 Poplar ST</t>
  </si>
  <si>
    <t>78 MCINTOSH AVE</t>
  </si>
  <si>
    <t>DESC 11/12-4-423</t>
  </si>
  <si>
    <t>72 KENNEDY RD</t>
  </si>
  <si>
    <t>342 ASPEN ST W</t>
  </si>
  <si>
    <t>134 3RD AVE NE</t>
  </si>
  <si>
    <t>134 Wonderland DR</t>
  </si>
  <si>
    <t>176 REGGIE LEACH DR</t>
  </si>
  <si>
    <t>25 Vincent RD</t>
  </si>
  <si>
    <t>10-7134</t>
  </si>
  <si>
    <t>142 LAKEVIEW DR</t>
  </si>
  <si>
    <t>15 ETIENNE AVE</t>
  </si>
  <si>
    <t>15 FIFTH ST</t>
  </si>
  <si>
    <t>11115 PTH 23   W</t>
  </si>
  <si>
    <t>208 BROADWAY ST</t>
  </si>
  <si>
    <t>48 RUE FILLION AVE</t>
  </si>
  <si>
    <t>112 RIDLEY ST</t>
  </si>
  <si>
    <t>334 SOUTH CHESTNUT ST</t>
  </si>
  <si>
    <t>GOVERNMENT RD N</t>
  </si>
  <si>
    <t>112 THIRD ST N</t>
  </si>
  <si>
    <t>28 Betty ST</t>
  </si>
  <si>
    <t>4/5-I-2</t>
  </si>
  <si>
    <t>19 TRALEE ST</t>
  </si>
  <si>
    <t>59 OAK ST</t>
  </si>
  <si>
    <t>9 MAIN ST</t>
  </si>
  <si>
    <t>105 PLUM LANE</t>
  </si>
  <si>
    <t>345 TIMMERMAN TRL</t>
  </si>
  <si>
    <t>60 SHILO RD</t>
  </si>
  <si>
    <t>62 BLAKESTON LANE</t>
  </si>
  <si>
    <t>435 MANIPOGO BEACH RD</t>
  </si>
  <si>
    <t>335 FIRST ST</t>
  </si>
  <si>
    <t>153 VETERANS-ASSINIBOINE ST W</t>
  </si>
  <si>
    <t>164 LOUISA AVE</t>
  </si>
  <si>
    <t>58 BROADWAY ST</t>
  </si>
  <si>
    <t>312 Queens Road E</t>
  </si>
  <si>
    <t>40 Seventh ST</t>
  </si>
  <si>
    <t>7 Elm CRES</t>
  </si>
  <si>
    <t>14 McIntyre ST</t>
  </si>
  <si>
    <t>2 KEMBALL LANE</t>
  </si>
  <si>
    <t>32 GOODRIDGE RD</t>
  </si>
  <si>
    <t>383 GOSHEN AVE</t>
  </si>
  <si>
    <t>65 THIRD ST</t>
  </si>
  <si>
    <t>209 CHRISTIE ST</t>
  </si>
  <si>
    <t>266 PARK AVE</t>
  </si>
  <si>
    <t>209 SECOND AVE</t>
  </si>
  <si>
    <t>125 NANCY DR</t>
  </si>
  <si>
    <t>115 Duna BAY</t>
  </si>
  <si>
    <t>17 LOEWEN AVE</t>
  </si>
  <si>
    <t>40 SOM BEACH RD</t>
  </si>
  <si>
    <t>167 BROADWAY ST</t>
  </si>
  <si>
    <t>150 BROADWAY ST</t>
  </si>
  <si>
    <t>56 FIFTH ST</t>
  </si>
  <si>
    <t>8 BIRCH ST</t>
  </si>
  <si>
    <t>351 9TH ST</t>
  </si>
  <si>
    <t>153 PUBLOW AVE</t>
  </si>
  <si>
    <t>81 OAK ST</t>
  </si>
  <si>
    <t>33 Driftwood DR</t>
  </si>
  <si>
    <t>119 BARR ST</t>
  </si>
  <si>
    <t>210 MAHARG AVE E</t>
  </si>
  <si>
    <t>138 LORNE ST</t>
  </si>
  <si>
    <t>92 NORTH DR</t>
  </si>
  <si>
    <t>18 6TH ST</t>
  </si>
  <si>
    <t>49 MAIN ST W</t>
  </si>
  <si>
    <t>318 SASKATOON DR</t>
  </si>
  <si>
    <t>120 DIAMOND ST</t>
  </si>
  <si>
    <t>210 CONKLIN ST N</t>
  </si>
  <si>
    <t>116 FIRST ST</t>
  </si>
  <si>
    <t>247 MAIN ST NE</t>
  </si>
  <si>
    <t>22 SEVENTH ST</t>
  </si>
  <si>
    <t>111 PARK AVE</t>
  </si>
  <si>
    <t>424 CHRISTIE ST</t>
  </si>
  <si>
    <t>88 ELM ST</t>
  </si>
  <si>
    <t>365 MAIN ST</t>
  </si>
  <si>
    <t>526 COTE AVE E</t>
  </si>
  <si>
    <t>50 MAIN ST N</t>
  </si>
  <si>
    <t>545 JOHNSON ST</t>
  </si>
  <si>
    <t>127 LUCY AVE</t>
  </si>
  <si>
    <t>35 THOMPSON DR</t>
  </si>
  <si>
    <t>40 5TH ST</t>
  </si>
  <si>
    <t>142 MACHRAY AVE E</t>
  </si>
  <si>
    <t>200 DUNCAN ST</t>
  </si>
  <si>
    <t>12 THIRD ST N</t>
  </si>
  <si>
    <t>24 2ND ST W</t>
  </si>
  <si>
    <t>3 MANN PL</t>
  </si>
  <si>
    <t>83 CEDAR ST</t>
  </si>
  <si>
    <t>21 ETIENNE AVE</t>
  </si>
  <si>
    <t>395 LAKE AVE</t>
  </si>
  <si>
    <t>40 KING ST</t>
  </si>
  <si>
    <t>6 SPRUCE ST S</t>
  </si>
  <si>
    <t>79 CEDAR ST</t>
  </si>
  <si>
    <t>580 COTE AVE E</t>
  </si>
  <si>
    <t>86 CEDAR ST</t>
  </si>
  <si>
    <t>67 ELM ST</t>
  </si>
  <si>
    <t>552 COTE AVE E</t>
  </si>
  <si>
    <t>77 MCDONALD DR</t>
  </si>
  <si>
    <t>414 CORNWALL ST</t>
  </si>
  <si>
    <t>170 RIVER RD</t>
  </si>
  <si>
    <t>31 3RD AVE</t>
  </si>
  <si>
    <t>8 DESILET LANE</t>
  </si>
  <si>
    <t>529 STRUTHERS ST</t>
  </si>
  <si>
    <t>289 MCCOIG ST</t>
  </si>
  <si>
    <t>310 RICHHILL AVE E</t>
  </si>
  <si>
    <t>96 NORTH DR</t>
  </si>
  <si>
    <t>149 3RD AVE</t>
  </si>
  <si>
    <t>223 RUPERT AVE E</t>
  </si>
  <si>
    <t>147 DENNIS ST</t>
  </si>
  <si>
    <t>661 COOK ST</t>
  </si>
  <si>
    <t>118 MCKENZIE ST S</t>
  </si>
  <si>
    <t>157 MAYFAIR ST</t>
  </si>
  <si>
    <t>110 KIRK ST</t>
  </si>
  <si>
    <t>190 WADDELL AVE W</t>
  </si>
  <si>
    <t>527 EGAN ST</t>
  </si>
  <si>
    <t>90 FIFTH ST</t>
  </si>
  <si>
    <t>43 WOODS AVE</t>
  </si>
  <si>
    <t>224 ELM DR</t>
  </si>
  <si>
    <t>239 CRYSTAL AVE E</t>
  </si>
  <si>
    <t>32 MINNEWAWA ST</t>
  </si>
  <si>
    <t>18--6796</t>
  </si>
  <si>
    <t>76 MINNEWAWA</t>
  </si>
  <si>
    <t>53 LOUISE ST</t>
  </si>
  <si>
    <t>201 GOVERNMENT  RD S</t>
  </si>
  <si>
    <t>355 MANIPOGO BEACH RD</t>
  </si>
  <si>
    <t>660 JOHNSON ST</t>
  </si>
  <si>
    <t>200 MAIN ST</t>
  </si>
  <si>
    <t>33 SEVENTH ST</t>
  </si>
  <si>
    <t>6 THIRD AVE W</t>
  </si>
  <si>
    <t>20 1ST ST E</t>
  </si>
  <si>
    <t>454 JOHNSON ST</t>
  </si>
  <si>
    <t>306 CAMERON ST W</t>
  </si>
  <si>
    <t>40 ASH ST</t>
  </si>
  <si>
    <t>27 HAMILTON ST</t>
  </si>
  <si>
    <t>221 SEVENTH ST</t>
  </si>
  <si>
    <t>235 MCKENZIE ST S</t>
  </si>
  <si>
    <t>357 TIMMERMAN TRL</t>
  </si>
  <si>
    <t>573 KERBY AVE</t>
  </si>
  <si>
    <t>623 RAE ST</t>
  </si>
  <si>
    <t>328 PARK AVE</t>
  </si>
  <si>
    <t>408 EDITH ST</t>
  </si>
  <si>
    <t>314 JOHNSON ST</t>
  </si>
  <si>
    <t>1--60698</t>
  </si>
  <si>
    <t>10 CENTRE ST</t>
  </si>
  <si>
    <t>66 FIFTH ST</t>
  </si>
  <si>
    <t>131 LUXTON AVE E</t>
  </si>
  <si>
    <t>149 BOYNE ST</t>
  </si>
  <si>
    <t>38 4TH ST NE</t>
  </si>
  <si>
    <t>5-2-15609</t>
  </si>
  <si>
    <t>405 JOHNSON ST</t>
  </si>
  <si>
    <t>138 3RD AVE SW</t>
  </si>
  <si>
    <t>256 2ND ST NW</t>
  </si>
  <si>
    <t>22 1ST ST</t>
  </si>
  <si>
    <t>3 CLEMENT PL</t>
  </si>
  <si>
    <t>407 LYALL ST</t>
  </si>
  <si>
    <t>39 THIRD ST</t>
  </si>
  <si>
    <t>335 SABOURIN ST</t>
  </si>
  <si>
    <t>304 3RD AVE NW</t>
  </si>
  <si>
    <t>207 SOUTH CHESTNUT ST</t>
  </si>
  <si>
    <t>5 FREEMAN BAY</t>
  </si>
  <si>
    <t>91 8TH ST SE</t>
  </si>
  <si>
    <t>8 CAMBRAI AVE</t>
  </si>
  <si>
    <t>21 SECOND ST</t>
  </si>
  <si>
    <t>51 4TH ST SE</t>
  </si>
  <si>
    <t>79 THIRD ST</t>
  </si>
  <si>
    <t>43 DUPONT ST</t>
  </si>
  <si>
    <t>223 SIXTH ST</t>
  </si>
  <si>
    <t>175 LAKE AVE</t>
  </si>
  <si>
    <t>206 RICHHILL AVE E</t>
  </si>
  <si>
    <t>35 BIRCH ST</t>
  </si>
  <si>
    <t>35 VALCOURT BAY</t>
  </si>
  <si>
    <t>207 BOYNE ST</t>
  </si>
  <si>
    <t>19 CLEMENT PL</t>
  </si>
  <si>
    <t>35 PARKVIEW DR</t>
  </si>
  <si>
    <t>447 ST JOSEPH AVE W</t>
  </si>
  <si>
    <t>37 Vincent RD</t>
  </si>
  <si>
    <t>429 PREFONTAINE AVE</t>
  </si>
  <si>
    <t>25 12TH ST</t>
  </si>
  <si>
    <t>2--46060</t>
  </si>
  <si>
    <t>301 BROADWAY ST S</t>
  </si>
  <si>
    <t>107 THOMPSON CRES</t>
  </si>
  <si>
    <t>190 CAMPBELL AVE W</t>
  </si>
  <si>
    <t>436 CHRISTIE ST</t>
  </si>
  <si>
    <t>275 SOUTH ST</t>
  </si>
  <si>
    <t>48 ASH ST</t>
  </si>
  <si>
    <t>160 MAYFAIR ST</t>
  </si>
  <si>
    <t>514 SABOURIN ST</t>
  </si>
  <si>
    <t>232 RAILWAY AVE</t>
  </si>
  <si>
    <t>416 MORTON AVE W</t>
  </si>
  <si>
    <t>133 MCKENZIE ST S</t>
  </si>
  <si>
    <t>717 2ND AVE</t>
  </si>
  <si>
    <t>181 BOYNE ST</t>
  </si>
  <si>
    <t>182 BARKWELL PL</t>
  </si>
  <si>
    <t>639 JOLYS AVE E</t>
  </si>
  <si>
    <t>153 DENNIS ST</t>
  </si>
  <si>
    <t>114 PARK ST</t>
  </si>
  <si>
    <t>63 ASH ST</t>
  </si>
  <si>
    <t>202 STATION RD</t>
  </si>
  <si>
    <t>220 DUNCAN AVE</t>
  </si>
  <si>
    <t>131 CYPRESS AVE</t>
  </si>
  <si>
    <t>32 THOMAS ST</t>
  </si>
  <si>
    <t>20 NEW ST</t>
  </si>
  <si>
    <t>438 COOK ST</t>
  </si>
  <si>
    <t>100 FIRST ST</t>
  </si>
  <si>
    <t>47 325 E</t>
  </si>
  <si>
    <t>105 BIRCH AVE</t>
  </si>
  <si>
    <t>48 MCINTOSH ST</t>
  </si>
  <si>
    <t>1107 ST CLARE ST</t>
  </si>
  <si>
    <t>204 CHRISTIE ST</t>
  </si>
  <si>
    <t>4-2224</t>
  </si>
  <si>
    <t>269 PARK AVE</t>
  </si>
  <si>
    <t>174 CAMPBELL AVE W</t>
  </si>
  <si>
    <t>11 MANN PL</t>
  </si>
  <si>
    <t>18 BIRCH AVE W</t>
  </si>
  <si>
    <t>630 KENT ST</t>
  </si>
  <si>
    <t>9 MAIN ST S</t>
  </si>
  <si>
    <t>110 FOURTH AVE W</t>
  </si>
  <si>
    <t>74 8TH ST SE</t>
  </si>
  <si>
    <t>669 MCDONALD BAY</t>
  </si>
  <si>
    <t>117 SIXTH ST</t>
  </si>
  <si>
    <t>113 Kellett ST N</t>
  </si>
  <si>
    <t>202 CHURCHILL PL</t>
  </si>
  <si>
    <t>294 LAKEVIEW DR</t>
  </si>
  <si>
    <t>524 FOURTH AVE</t>
  </si>
  <si>
    <t>23 CLEMENT PL</t>
  </si>
  <si>
    <t>320 STATION RD</t>
  </si>
  <si>
    <t>349 SOUTH ST</t>
  </si>
  <si>
    <t>540 ELLIS AVE</t>
  </si>
  <si>
    <t>61 THIRD ST</t>
  </si>
  <si>
    <t>36 SEVENTH ST</t>
  </si>
  <si>
    <t>379 MANIPOGO BEACH RD</t>
  </si>
  <si>
    <t>529 BROADWAY ST</t>
  </si>
  <si>
    <t>317 KERBY AVE</t>
  </si>
  <si>
    <t>7 MAIN ST</t>
  </si>
  <si>
    <t>226 WILCOX DR</t>
  </si>
  <si>
    <t>49 Vincent RD</t>
  </si>
  <si>
    <t>33 GALLOWAY ST</t>
  </si>
  <si>
    <t>33 CENTRE ST</t>
  </si>
  <si>
    <t>808 THIRD AVE</t>
  </si>
  <si>
    <t>160 BROADWAY ST</t>
  </si>
  <si>
    <t>114 GRANGE ST</t>
  </si>
  <si>
    <t>49 SEVENTH ST</t>
  </si>
  <si>
    <t>124043 Road 22 E</t>
  </si>
  <si>
    <t>22 CLEMENT PL</t>
  </si>
  <si>
    <t>61 1ST AVE</t>
  </si>
  <si>
    <t>350 ASPEN ST E</t>
  </si>
  <si>
    <t>145 GINN AVE W</t>
  </si>
  <si>
    <t>41 ASH ST</t>
  </si>
  <si>
    <t>59 WOODS AVE</t>
  </si>
  <si>
    <t>245 GRIFFIN ST</t>
  </si>
  <si>
    <t>142 SASKATCHEWAN HWY</t>
  </si>
  <si>
    <t>471 MCKAY ST</t>
  </si>
  <si>
    <t>208 NINTH ST</t>
  </si>
  <si>
    <t>273 GRIFFIN ST</t>
  </si>
  <si>
    <t>212 LAKE ST S</t>
  </si>
  <si>
    <t>75 ELM ST</t>
  </si>
  <si>
    <t>50 1ST ST E</t>
  </si>
  <si>
    <t>10 ELEVATOR ST</t>
  </si>
  <si>
    <t>42 THIRD ST</t>
  </si>
  <si>
    <t>150 DISCOVERY AVE</t>
  </si>
  <si>
    <t>13 WINNIE WAY</t>
  </si>
  <si>
    <t>406 JOHNSON ST</t>
  </si>
  <si>
    <t>507 MCKAY ST</t>
  </si>
  <si>
    <t>306 EDITH ST</t>
  </si>
  <si>
    <t>810 6TH AVE</t>
  </si>
  <si>
    <t>65 BROADWAY ST</t>
  </si>
  <si>
    <t>247 LAKE AVE</t>
  </si>
  <si>
    <t>65 McDonald DR</t>
  </si>
  <si>
    <t>4 WILSON ST</t>
  </si>
  <si>
    <t>204 LOUISA AVE</t>
  </si>
  <si>
    <t>7 ROSE ST</t>
  </si>
  <si>
    <t>187 FIRST AVE W</t>
  </si>
  <si>
    <t>246 South Railway AVE</t>
  </si>
  <si>
    <t>34 SIXTH ST</t>
  </si>
  <si>
    <t>108 SOUTH RAILWAY AVE W</t>
  </si>
  <si>
    <t>358 TIMMERMAN TRL</t>
  </si>
  <si>
    <t>32 CHURCH AVE</t>
  </si>
  <si>
    <t>438 STEPHEN ST</t>
  </si>
  <si>
    <t>119 SEVENTH ST</t>
  </si>
  <si>
    <t>132 HELENA ST</t>
  </si>
  <si>
    <t>387 JOUBERT ST</t>
  </si>
  <si>
    <t>157 BUTTON AVE</t>
  </si>
  <si>
    <t>641 MILL RD</t>
  </si>
  <si>
    <t>126 ELIZABETH ST</t>
  </si>
  <si>
    <t>13 MAY ST</t>
  </si>
  <si>
    <t>205 LAKE AVE</t>
  </si>
  <si>
    <t>25 THIRD AVE</t>
  </si>
  <si>
    <t>23 3RD ST</t>
  </si>
  <si>
    <t>121-123 DUCKER ST</t>
  </si>
  <si>
    <t>48 FIFTH ST</t>
  </si>
  <si>
    <t>78 8TH ST SE</t>
  </si>
  <si>
    <t>127 CHURCHILL PL</t>
  </si>
  <si>
    <t>104 HOSPITAL ST</t>
  </si>
  <si>
    <t>13 Main ST</t>
  </si>
  <si>
    <t>13 ARROWHEAD DR</t>
  </si>
  <si>
    <t>6 MAIN ST</t>
  </si>
  <si>
    <t>92 RUE CARON AVE</t>
  </si>
  <si>
    <t>112 MOUNTAIN ST S</t>
  </si>
  <si>
    <t>163 BUTTON AVE</t>
  </si>
  <si>
    <t>29 2ND ST</t>
  </si>
  <si>
    <t>142 DIAMOND ST</t>
  </si>
  <si>
    <t>179 BUTTON AVE</t>
  </si>
  <si>
    <t>44 2ND ST</t>
  </si>
  <si>
    <t>4 MAIN ST</t>
  </si>
  <si>
    <t>205 4TH AVE NW</t>
  </si>
  <si>
    <t>107 ELIZABETH ST</t>
  </si>
  <si>
    <t>477 JOLYS AVE W</t>
  </si>
  <si>
    <t>16 Ash COVE</t>
  </si>
  <si>
    <t>321 BUCKINGHAM ST</t>
  </si>
  <si>
    <t>222 BUCKINGHAM ST</t>
  </si>
  <si>
    <t>9 HOLLY ST</t>
  </si>
  <si>
    <t>277 CHURCH AVE</t>
  </si>
  <si>
    <t>130 DUCKER ST</t>
  </si>
  <si>
    <t>385 MAIN ST</t>
  </si>
  <si>
    <t>17 GLENGARIFF ST</t>
  </si>
  <si>
    <t>98 7TH ST</t>
  </si>
  <si>
    <t>653 STEPHEN ST</t>
  </si>
  <si>
    <t>120 PRINCESS ST</t>
  </si>
  <si>
    <t>389 MAIN ST</t>
  </si>
  <si>
    <t>175 BUTTON AVE</t>
  </si>
  <si>
    <t>427 ELLIS AVE</t>
  </si>
  <si>
    <t>11 TRALEE ST</t>
  </si>
  <si>
    <t>461 JOLYS AVE W</t>
  </si>
  <si>
    <t>4 1ST ST S</t>
  </si>
  <si>
    <t>28 MINNEWAWA ST</t>
  </si>
  <si>
    <t>39 Duna BAY</t>
  </si>
  <si>
    <t>29 Fourth ST</t>
  </si>
  <si>
    <t>120 THIRD ST</t>
  </si>
  <si>
    <t>5 BIRCH DR</t>
  </si>
  <si>
    <t>363 SOUTH ST</t>
  </si>
  <si>
    <t>215 HARVEY AVE</t>
  </si>
  <si>
    <t>35 MINNEWAWA ST</t>
  </si>
  <si>
    <t>250 DUFFERIN AVE</t>
  </si>
  <si>
    <t>130 BUTTON AVE</t>
  </si>
  <si>
    <t>548 FOURTH AVE</t>
  </si>
  <si>
    <t>7 CLEMENT PL</t>
  </si>
  <si>
    <t>149 DISCOVERY AVE</t>
  </si>
  <si>
    <t>120 WILLIAM AVE</t>
  </si>
  <si>
    <t>275 SMITH ST</t>
  </si>
  <si>
    <t>158 BROADWAY ST</t>
  </si>
  <si>
    <t>79 8TH ST</t>
  </si>
  <si>
    <t>680 COOK ST</t>
  </si>
  <si>
    <t>213 ALEXANDER ST</t>
  </si>
  <si>
    <t>797 STEPHEN ST</t>
  </si>
  <si>
    <t>50 2ND ST</t>
  </si>
  <si>
    <t>24 Vincent RD</t>
  </si>
  <si>
    <t>17 ORIOLE DR</t>
  </si>
  <si>
    <t>205 RICHMOND AVE N</t>
  </si>
  <si>
    <t>122 LAKEVIEW DR</t>
  </si>
  <si>
    <t>220 BROADWAY AVE</t>
  </si>
  <si>
    <t>254 REGGIE LEACH DR</t>
  </si>
  <si>
    <t>316 SOURIS AVE</t>
  </si>
  <si>
    <t>A/D--68119</t>
  </si>
  <si>
    <t>19 IDYLWILD DR</t>
  </si>
  <si>
    <t>115 VETERANS-ASSINIBOINE ST W</t>
  </si>
  <si>
    <t>96 3RD ST</t>
  </si>
  <si>
    <t>63 ELM ST</t>
  </si>
  <si>
    <t>619 JOLYS E AVE</t>
  </si>
  <si>
    <t>MAPLE DR</t>
  </si>
  <si>
    <t>345 THOMPSON DR</t>
  </si>
  <si>
    <t>77 FIRST ST E</t>
  </si>
  <si>
    <t>41 MAIN ST S</t>
  </si>
  <si>
    <t>41 MAIN ST W</t>
  </si>
  <si>
    <t>764 MACKENZIE ST</t>
  </si>
  <si>
    <t>32 2ND ST</t>
  </si>
  <si>
    <t>115 MOUNTAIN ST S</t>
  </si>
  <si>
    <t>36 MINNEWAWA ST</t>
  </si>
  <si>
    <t>139 DONAHOE AVE E</t>
  </si>
  <si>
    <t>128 LAKE  ST S</t>
  </si>
  <si>
    <t>413 MANIPOGO BEACH RD</t>
  </si>
  <si>
    <t>309 JOHNSON ST</t>
  </si>
  <si>
    <t>10 RIELAND BAY</t>
  </si>
  <si>
    <t>5 MURRAY CRES</t>
  </si>
  <si>
    <t>14 2ND AVE N</t>
  </si>
  <si>
    <t>114 ASPEN ST E</t>
  </si>
  <si>
    <t>451 ST JOSEPH AVE W</t>
  </si>
  <si>
    <t>62 BRUCE ST</t>
  </si>
  <si>
    <t>4 2ND ST</t>
  </si>
  <si>
    <t>117 MORRIS ST</t>
  </si>
  <si>
    <t>5 THIRD AVE W</t>
  </si>
  <si>
    <t>55 2ND ST</t>
  </si>
  <si>
    <t>44 ASH ST</t>
  </si>
  <si>
    <t>37 CAMPBELL ST</t>
  </si>
  <si>
    <t>219 KING ST S</t>
  </si>
  <si>
    <t>427 MANIPOGO BEACH RD</t>
  </si>
  <si>
    <t>159 RIDLEY ST</t>
  </si>
  <si>
    <t>252 KELLY ST</t>
  </si>
  <si>
    <t>18 BIRCH ST</t>
  </si>
  <si>
    <t>140 BUTTON AVE</t>
  </si>
  <si>
    <t>110 BARR ST</t>
  </si>
  <si>
    <t>429 COTE AVE W</t>
  </si>
  <si>
    <t>32 RUPERT AVE E</t>
  </si>
  <si>
    <t>286 SOUTH ST</t>
  </si>
  <si>
    <t>6 EIRIKSON DR</t>
  </si>
  <si>
    <t>666 MILL RD</t>
  </si>
  <si>
    <t>461 BELANGER AVE</t>
  </si>
  <si>
    <t>52 Duna BAY</t>
  </si>
  <si>
    <t>159 Duna BAY</t>
  </si>
  <si>
    <t>223 NINTH ST</t>
  </si>
  <si>
    <t>134 SIXTH ST</t>
  </si>
  <si>
    <t>202 MURRAY AVE</t>
  </si>
  <si>
    <t>15 DOBBYN ST</t>
  </si>
  <si>
    <t>38 1ST ST</t>
  </si>
  <si>
    <t>15 2ND ST</t>
  </si>
  <si>
    <t>709 6TH AVE</t>
  </si>
  <si>
    <t>7 SIXTH ST</t>
  </si>
  <si>
    <t>19 ASH DR</t>
  </si>
  <si>
    <t>105 PATRICK ST</t>
  </si>
  <si>
    <t>9 LOUISE ST</t>
  </si>
  <si>
    <t>144 DENNIS ST</t>
  </si>
  <si>
    <t>50 Vincent RD</t>
  </si>
  <si>
    <t>820 FIFTH AVE</t>
  </si>
  <si>
    <t>138 4TH ST</t>
  </si>
  <si>
    <t>71 ELM ST</t>
  </si>
  <si>
    <t>211 STRUTHERS ST</t>
  </si>
  <si>
    <t>205 PARK AVE</t>
  </si>
  <si>
    <t>53 CENTRE ST</t>
  </si>
  <si>
    <t>97 8TH ST SE</t>
  </si>
  <si>
    <t>907 ST CLARE ST</t>
  </si>
  <si>
    <t>215 James ST</t>
  </si>
  <si>
    <t>26 FRONT ST</t>
  </si>
  <si>
    <t>717 BIRTLE ST</t>
  </si>
  <si>
    <t>21 NORTH RAILWAY AVE W</t>
  </si>
  <si>
    <t>191 LAW ST</t>
  </si>
  <si>
    <t>69 SASKATCHEWAN ST</t>
  </si>
  <si>
    <t>101 BAY ST</t>
  </si>
  <si>
    <t>240 BROADWAY ST</t>
  </si>
  <si>
    <t>69 POPLAR BAY</t>
  </si>
  <si>
    <t>1067 PEARL ST</t>
  </si>
  <si>
    <t>61 CENTRE ST</t>
  </si>
  <si>
    <t>19 1ST ST W</t>
  </si>
  <si>
    <t>207 LYALL ST</t>
  </si>
  <si>
    <t>200 WARWICK AVE</t>
  </si>
  <si>
    <t>144 WADDELL AVE W</t>
  </si>
  <si>
    <t>156 ASPEN ST W</t>
  </si>
  <si>
    <t>110 2nd Street</t>
  </si>
  <si>
    <t>90 THIRD ST</t>
  </si>
  <si>
    <t>172 BUTTON AVE</t>
  </si>
  <si>
    <t>202 BUTTON AVE</t>
  </si>
  <si>
    <t>193 FRANKLIN AVE W</t>
  </si>
  <si>
    <t>103 MILES ST</t>
  </si>
  <si>
    <t>4 DESILETS LANE</t>
  </si>
  <si>
    <t>397 PREFONTAINE AVE</t>
  </si>
  <si>
    <t>33 WALTER THOMAS DR</t>
  </si>
  <si>
    <t>58 1ST ST E</t>
  </si>
  <si>
    <t>619 2ND AVE</t>
  </si>
  <si>
    <t>102 HELENA ST</t>
  </si>
  <si>
    <t>326 ELIZABETH AVE</t>
  </si>
  <si>
    <t>130 NORFOLK ST</t>
  </si>
  <si>
    <t>418 HARVEY AVE</t>
  </si>
  <si>
    <t>73 6TH ST SE</t>
  </si>
  <si>
    <t>21/23-1-486</t>
  </si>
  <si>
    <t>39 BIRCH ST</t>
  </si>
  <si>
    <t>711 Seventh AVE</t>
  </si>
  <si>
    <t>170066 FRONT ST</t>
  </si>
  <si>
    <t>151 BUTTON AVE</t>
  </si>
  <si>
    <t>124033 Road 22 E</t>
  </si>
  <si>
    <t>234 RUE CARON AVE</t>
  </si>
  <si>
    <t>135 OX CART TRL W</t>
  </si>
  <si>
    <t>134 MAYFAIR ST</t>
  </si>
  <si>
    <t>26 RUE FILLION AVE</t>
  </si>
  <si>
    <t>219 GRIFFIN ST</t>
  </si>
  <si>
    <t>94 CHRISTENSEN BEACH DR</t>
  </si>
  <si>
    <t>221 HAY ST S</t>
  </si>
  <si>
    <t>325 GOULD AVE</t>
  </si>
  <si>
    <t>117 TOWER RD</t>
  </si>
  <si>
    <t>232 WILLCOX DR</t>
  </si>
  <si>
    <t>202 LAW ST</t>
  </si>
  <si>
    <t>623 DUFFERIN AVE</t>
  </si>
  <si>
    <t>152 6TH AVE SW</t>
  </si>
  <si>
    <t>11 CHURCH AVE</t>
  </si>
  <si>
    <t>151 GINN AVE W</t>
  </si>
  <si>
    <t>324 STATION RD</t>
  </si>
  <si>
    <t>753 ROGERS ST</t>
  </si>
  <si>
    <t>183 PEMBINA ST</t>
  </si>
  <si>
    <t>624 MAIN ST</t>
  </si>
  <si>
    <t>55 WOODS AVE</t>
  </si>
  <si>
    <t>86 BRUSSELS ST</t>
  </si>
  <si>
    <t>217 DUDLEY ST</t>
  </si>
  <si>
    <t>271 PARK AVE</t>
  </si>
  <si>
    <t>74 SPRUCE ST</t>
  </si>
  <si>
    <t>110 LETAIN ST</t>
  </si>
  <si>
    <t>251 PINE AVE E</t>
  </si>
  <si>
    <t>DESC 30--6796</t>
  </si>
  <si>
    <t>38 MAIN ST</t>
  </si>
  <si>
    <t>810 DUCKER ST</t>
  </si>
  <si>
    <t>50 5TH ST SE</t>
  </si>
  <si>
    <t>110 LYALL ST</t>
  </si>
  <si>
    <t>139 CYPRESS AVE</t>
  </si>
  <si>
    <t>26 4TH ST E</t>
  </si>
  <si>
    <t>98 7TH ST SE</t>
  </si>
  <si>
    <t>32 LAURA ST</t>
  </si>
  <si>
    <t>110 Balaton BAY</t>
  </si>
  <si>
    <t>108 MAHARG AVE W</t>
  </si>
  <si>
    <t>99 8TH ST SE</t>
  </si>
  <si>
    <t>112 NORTH RAILWAY ST</t>
  </si>
  <si>
    <t>431 SOUTH CHESTNUT ST</t>
  </si>
  <si>
    <t>11 WEXFORD ST</t>
  </si>
  <si>
    <t>17 LIVINGSTONE PL</t>
  </si>
  <si>
    <t>68 FOURTH ST</t>
  </si>
  <si>
    <t>11 RIVER AVE</t>
  </si>
  <si>
    <t>44 SIXTH ST</t>
  </si>
  <si>
    <t>33 ASH ST</t>
  </si>
  <si>
    <t>60 FIRST ST E</t>
  </si>
  <si>
    <t>302 OAK DR</t>
  </si>
  <si>
    <t>48 THOMPSON DR</t>
  </si>
  <si>
    <t>302 HARVEY AVE</t>
  </si>
  <si>
    <t>10 1ST AVE S</t>
  </si>
  <si>
    <t>47-7134</t>
  </si>
  <si>
    <t>64 MCINTOSH ST</t>
  </si>
  <si>
    <t>465 CAREY ST</t>
  </si>
  <si>
    <t>767 VINE ST</t>
  </si>
  <si>
    <t>72 MAPLE ST</t>
  </si>
  <si>
    <t>171 BUTTON AVE</t>
  </si>
  <si>
    <t>44 RUE CARON AVE</t>
  </si>
  <si>
    <t>137 4TH AVE SW</t>
  </si>
  <si>
    <t>142 PENTLAND ST</t>
  </si>
  <si>
    <t>668 JOHNSON ST</t>
  </si>
  <si>
    <t>220 BOYNE ST</t>
  </si>
  <si>
    <t>415 SOUTH CHESTNUT ST</t>
  </si>
  <si>
    <t>621 MANITOBA ST</t>
  </si>
  <si>
    <t>39 BIRCH AVE E</t>
  </si>
  <si>
    <t>22 NEW ST</t>
  </si>
  <si>
    <t>461 MCKAY ST</t>
  </si>
  <si>
    <t>121 VETERANS-ASSINIBOINE ST E</t>
  </si>
  <si>
    <t>108 HELENA ST</t>
  </si>
  <si>
    <t>15 SPRUCE AVE</t>
  </si>
  <si>
    <t>366 ENNIS CRES</t>
  </si>
  <si>
    <t>1068 LUNDY ST</t>
  </si>
  <si>
    <t>101 CENTRE ST</t>
  </si>
  <si>
    <t>19-7134</t>
  </si>
  <si>
    <t>129 JAMES AVE</t>
  </si>
  <si>
    <t>184 CHURCHILL PL</t>
  </si>
  <si>
    <t>122 MACHRAY AVE E</t>
  </si>
  <si>
    <t>582 FOURTH AVE</t>
  </si>
  <si>
    <t>314 COCHRANE  ST</t>
  </si>
  <si>
    <t>55 FOURTH ST</t>
  </si>
  <si>
    <t>435 ST JOSEPH AVE W</t>
  </si>
  <si>
    <t>64 SCOTT ST</t>
  </si>
  <si>
    <t>63 POPLAR BAY</t>
  </si>
  <si>
    <t>2 HERITAGE DR</t>
  </si>
  <si>
    <t>193 STANLEY ST</t>
  </si>
  <si>
    <t>67 McDonald DR</t>
  </si>
  <si>
    <t>126 3RD ST</t>
  </si>
  <si>
    <t>124 LAWLOR AVE</t>
  </si>
  <si>
    <t>129 HOSPITAL ST</t>
  </si>
  <si>
    <t>330 SASKATOON DR</t>
  </si>
  <si>
    <t>153-155 CYPRESS AVE</t>
  </si>
  <si>
    <t>102 GLENGARIFF ST</t>
  </si>
  <si>
    <t>203 CHURCHILL PL</t>
  </si>
  <si>
    <t>267 FOURTH AVE</t>
  </si>
  <si>
    <t>125 BARR ST</t>
  </si>
  <si>
    <t>5 LIVINGSTONE PL</t>
  </si>
  <si>
    <t>160 CAMERON ST E</t>
  </si>
  <si>
    <t>59-61 BLIGHT ST</t>
  </si>
  <si>
    <t>142 BROADWAY ST</t>
  </si>
  <si>
    <t>698 JOHNSON ST</t>
  </si>
  <si>
    <t>202 PEMBINA ST</t>
  </si>
  <si>
    <t>146-152 PTH   83 HWY S</t>
  </si>
  <si>
    <t>202 GRANGE ST</t>
  </si>
  <si>
    <t>317 DUFFERIN AVE</t>
  </si>
  <si>
    <t>ASPEN ST W</t>
  </si>
  <si>
    <t>127 NELSON AVE</t>
  </si>
  <si>
    <t>85 7TH ST SE</t>
  </si>
  <si>
    <t>28 5TH ST SE</t>
  </si>
  <si>
    <t>162 BUTTON AVE</t>
  </si>
  <si>
    <t>176 BUTTON AVE</t>
  </si>
  <si>
    <t>180 BUTTON AVE</t>
  </si>
  <si>
    <t>334 WINDSOR AVE</t>
  </si>
  <si>
    <t>87 QUEEN ST</t>
  </si>
  <si>
    <t>104 QUEENS RD E</t>
  </si>
  <si>
    <t>163 SCOTT CRES</t>
  </si>
  <si>
    <t>180 CAMERON ST E</t>
  </si>
  <si>
    <t>125 5TH ST</t>
  </si>
  <si>
    <t>35 SIXTH ST</t>
  </si>
  <si>
    <t>90 8TH ST</t>
  </si>
  <si>
    <t>23 1ST ST</t>
  </si>
  <si>
    <t>132 NORFOLK ST</t>
  </si>
  <si>
    <t>442 COTE AVE W</t>
  </si>
  <si>
    <t>183 ABERDEEN ST</t>
  </si>
  <si>
    <t>109 STUART AVE W</t>
  </si>
  <si>
    <t>153 CENTRE ST</t>
  </si>
  <si>
    <t>452 ELLIS AVE</t>
  </si>
  <si>
    <t>45 WALTER THOMAS DR</t>
  </si>
  <si>
    <t>163 PATRICK ST</t>
  </si>
  <si>
    <t>233 BROADWAY ST</t>
  </si>
  <si>
    <t>31 CHURCH AVE</t>
  </si>
  <si>
    <t>148 6TH AVE SW</t>
  </si>
  <si>
    <t>80 ELM ST</t>
  </si>
  <si>
    <t>610 MCKENZIE ST N</t>
  </si>
  <si>
    <t>610 DONALD ST</t>
  </si>
  <si>
    <t>12 LOEWEN AVE</t>
  </si>
  <si>
    <t>17 SECOND ST</t>
  </si>
  <si>
    <t>163 PERRIE AVE</t>
  </si>
  <si>
    <t>151 FIFTH ST</t>
  </si>
  <si>
    <t>68 7TH ST</t>
  </si>
  <si>
    <t>54 OAK ST</t>
  </si>
  <si>
    <t>120 BLIGHT ST</t>
  </si>
  <si>
    <t>197 LAKEVIEW DR</t>
  </si>
  <si>
    <t>126 JAMES AVE</t>
  </si>
  <si>
    <t>21 LILAC AVE E</t>
  </si>
  <si>
    <t>55 QUEEN ST</t>
  </si>
  <si>
    <t>45 2ND ST</t>
  </si>
  <si>
    <t>6-3-12228</t>
  </si>
  <si>
    <t>521 MCKENZIE ST N</t>
  </si>
  <si>
    <t>183 BARKWELL PL</t>
  </si>
  <si>
    <t>239 LAKE AVE</t>
  </si>
  <si>
    <t>113 CHRISTIE ST</t>
  </si>
  <si>
    <t>27 SIXTH ST</t>
  </si>
  <si>
    <t>26 2ND AVE S</t>
  </si>
  <si>
    <t>21 6th ST</t>
  </si>
  <si>
    <t>68 MINNEWAWA ST</t>
  </si>
  <si>
    <t>13 HOLLY ST</t>
  </si>
  <si>
    <t>210 5TH AVE SW</t>
  </si>
  <si>
    <t>47 McDonald DR</t>
  </si>
  <si>
    <t>131 PATRICK ST</t>
  </si>
  <si>
    <t>219 EIGHTH ST</t>
  </si>
  <si>
    <t>58 KENNEDY RD</t>
  </si>
  <si>
    <t>325 MACKENZIE ST</t>
  </si>
  <si>
    <t>132 RAILWAY AVE</t>
  </si>
  <si>
    <t>236 KING ST</t>
  </si>
  <si>
    <t>321 ARTHUR ST</t>
  </si>
  <si>
    <t>462 MCKAY ST</t>
  </si>
  <si>
    <t>126 BARR ST</t>
  </si>
  <si>
    <t>9 SOURIS ST</t>
  </si>
  <si>
    <t>93 RUE CARON AVE</t>
  </si>
  <si>
    <t>415 BELANGER AVE</t>
  </si>
  <si>
    <t>539 JOLYS E AVE</t>
  </si>
  <si>
    <t>137 WADDELL AVE W</t>
  </si>
  <si>
    <t>175 MAPLE AVE E</t>
  </si>
  <si>
    <t>406 THE PARADE</t>
  </si>
  <si>
    <t>334 BROADWAY AVE</t>
  </si>
  <si>
    <t>14 5TH ST</t>
  </si>
  <si>
    <t>413 FIRST ST</t>
  </si>
  <si>
    <t>618 VALLEY ST</t>
  </si>
  <si>
    <t>303 7TH AVE</t>
  </si>
  <si>
    <t>134 RAILWAY  ST</t>
  </si>
  <si>
    <t>112 PATRICK ST</t>
  </si>
  <si>
    <t>13 EIRIKSON DR</t>
  </si>
  <si>
    <t>116 SECOND AVE</t>
  </si>
  <si>
    <t>220 LARK ST</t>
  </si>
  <si>
    <t>176 2ND AVE W</t>
  </si>
  <si>
    <t>29 CHURCH AVE</t>
  </si>
  <si>
    <t>190 PARK AVE</t>
  </si>
  <si>
    <t>9 POPLAR AVE</t>
  </si>
  <si>
    <t>120 MAHARG AVE</t>
  </si>
  <si>
    <t>418 OAKO BEACH DR</t>
  </si>
  <si>
    <t>131 5TH ST</t>
  </si>
  <si>
    <t>538 JOLYS AVE E</t>
  </si>
  <si>
    <t>45 1ST ST</t>
  </si>
  <si>
    <t>417 COOK ST</t>
  </si>
  <si>
    <t>3 VALMOR RD</t>
  </si>
  <si>
    <t>90 KING ST</t>
  </si>
  <si>
    <t>216 RAILWAY AVE</t>
  </si>
  <si>
    <t>15 SIXTH ST</t>
  </si>
  <si>
    <t>1 VINCENT AVE</t>
  </si>
  <si>
    <t>16 DOBBYN ST</t>
  </si>
  <si>
    <t>211 DUNCAN ST</t>
  </si>
  <si>
    <t>166 BUTTON AVE</t>
  </si>
  <si>
    <t>227 RUE CARON AVE</t>
  </si>
  <si>
    <t>105 HOSPITAL ST</t>
  </si>
  <si>
    <t>519 THOMPSON ST</t>
  </si>
  <si>
    <t>170 JAMES AVE</t>
  </si>
  <si>
    <t>1141/2 MORRIS ST</t>
  </si>
  <si>
    <t>577 COOK ST</t>
  </si>
  <si>
    <t>395 SOUTH ST</t>
  </si>
  <si>
    <t>30 CHURCH AVE</t>
  </si>
  <si>
    <t>290 REGGIE LEACH DR</t>
  </si>
  <si>
    <t>45 BLIGHT ST</t>
  </si>
  <si>
    <t>20 RICHHILL AVE W</t>
  </si>
  <si>
    <t>39 2ND ST</t>
  </si>
  <si>
    <t>109 BARR ST</t>
  </si>
  <si>
    <t>152 COGHILL BAY</t>
  </si>
  <si>
    <t>120 COLLINS ST</t>
  </si>
  <si>
    <t>90 8TH ST SE</t>
  </si>
  <si>
    <t>472 ST JOSEPH AVE W</t>
  </si>
  <si>
    <t>84 Maple DR</t>
  </si>
  <si>
    <t>1061 HILL ST</t>
  </si>
  <si>
    <t>78 MAIN ST</t>
  </si>
  <si>
    <t>650 PETERS ST</t>
  </si>
  <si>
    <t>209 EIGHTH ST</t>
  </si>
  <si>
    <t>130 HOSPITAL ST</t>
  </si>
  <si>
    <t>207 GREENWAY ST S</t>
  </si>
  <si>
    <t>218 MCKENZIE ST S</t>
  </si>
  <si>
    <t>711 NORTH RAILWAY AVE</t>
  </si>
  <si>
    <t>109 PLUM LANE</t>
  </si>
  <si>
    <t>69 3RD ST NE</t>
  </si>
  <si>
    <t>21 BEECH ST</t>
  </si>
  <si>
    <t>436 COTE AVE W</t>
  </si>
  <si>
    <t>143 TAYLOR ST</t>
  </si>
  <si>
    <t>223 CRYSTAL AVE E</t>
  </si>
  <si>
    <t>560 FOURTH AVE</t>
  </si>
  <si>
    <t>134 MCKENZIE ST S</t>
  </si>
  <si>
    <t>28 SEVENTH ST</t>
  </si>
  <si>
    <t>4 BIRCH ST</t>
  </si>
  <si>
    <t>427 STEPHEN ST</t>
  </si>
  <si>
    <t>24 3RD ST</t>
  </si>
  <si>
    <t>97076 PTH 42 (RD 136 W)</t>
  </si>
  <si>
    <t>441 PREFONTAINE AVE</t>
  </si>
  <si>
    <t>143 BARR ST</t>
  </si>
  <si>
    <t>691 ST CLARE ST</t>
  </si>
  <si>
    <t>99 SASKATCHEWAN HWY W</t>
  </si>
  <si>
    <t>1 HERITAGE DR</t>
  </si>
  <si>
    <t>97 FIRST AVE S</t>
  </si>
  <si>
    <t>45 FIFTH ST</t>
  </si>
  <si>
    <t>157 LAKE ST</t>
  </si>
  <si>
    <t>13 BEAUDETTE ST</t>
  </si>
  <si>
    <t>186 BUTTON AVE</t>
  </si>
  <si>
    <t>15 5TH ST W</t>
  </si>
  <si>
    <t>217 STANLEY ST</t>
  </si>
  <si>
    <t>350 WINDSOR AVE</t>
  </si>
  <si>
    <t>38 SEVENTH ST</t>
  </si>
  <si>
    <t>4 HERITAGE DR</t>
  </si>
  <si>
    <t>62 OAK ST</t>
  </si>
  <si>
    <t>57019 PR 542 &amp; RD 172W</t>
  </si>
  <si>
    <t>10 FOURTH ST N</t>
  </si>
  <si>
    <t>1008 LUNDY ST</t>
  </si>
  <si>
    <t>88 FIRST AVE S</t>
  </si>
  <si>
    <t>18 RUE FILLION AVE</t>
  </si>
  <si>
    <t>611 PETERS ST</t>
  </si>
  <si>
    <t>317 ELM AVE</t>
  </si>
  <si>
    <t>323 SOUTH ST</t>
  </si>
  <si>
    <t>138 PENTLAND ST</t>
  </si>
  <si>
    <t>50 MAIN ST</t>
  </si>
  <si>
    <t>114 NORTH RAILWAY ST</t>
  </si>
  <si>
    <t>649 JOHNSON ST</t>
  </si>
  <si>
    <t>138 ASPEN ST E</t>
  </si>
  <si>
    <t>90 CHRISTENSEN BEACH</t>
  </si>
  <si>
    <t>391 PREFONTAINE AVE</t>
  </si>
  <si>
    <t>252 JOHNSTON AVE</t>
  </si>
  <si>
    <t>72 Main ST</t>
  </si>
  <si>
    <t>120 THIRD AVE E</t>
  </si>
  <si>
    <t>77 FIFTH ST</t>
  </si>
  <si>
    <t>123 MAIN ST</t>
  </si>
  <si>
    <t>131 STEWART AVE</t>
  </si>
  <si>
    <t>217 BROADWAY ST N</t>
  </si>
  <si>
    <t>215 MILES ST</t>
  </si>
  <si>
    <t>309 JAMES ST</t>
  </si>
  <si>
    <t>121 PARK AVE</t>
  </si>
  <si>
    <t>126 HELENA ST</t>
  </si>
  <si>
    <t>318 SOMBRERO DR</t>
  </si>
  <si>
    <t>130 SECOND AVE SW</t>
  </si>
  <si>
    <t>305 JOHNSON ST</t>
  </si>
  <si>
    <t>136 RAILWAY AVE</t>
  </si>
  <si>
    <t>124 BARR ST</t>
  </si>
  <si>
    <t>55 SASKATCHEWAN ST</t>
  </si>
  <si>
    <t>76 9TH ST SE</t>
  </si>
  <si>
    <t>36 Valcourt BAY</t>
  </si>
  <si>
    <t>372 GAGNE ST</t>
  </si>
  <si>
    <t>342 EDITH ST</t>
  </si>
  <si>
    <t>36 ALEXANDER ST</t>
  </si>
  <si>
    <t>57 BAY ST</t>
  </si>
  <si>
    <t>112 BAY ST</t>
  </si>
  <si>
    <t>141 CHURCH AVE</t>
  </si>
  <si>
    <t>706 THIRD AVE</t>
  </si>
  <si>
    <t>12 SPRUCE ST S</t>
  </si>
  <si>
    <t>18 FOURTH AVE W</t>
  </si>
  <si>
    <t>32 2ND AVE S</t>
  </si>
  <si>
    <t>357 SOUTH ST</t>
  </si>
  <si>
    <t>19 WEXFORD ST</t>
  </si>
  <si>
    <t>241 Main ST NE</t>
  </si>
  <si>
    <t>90 First ST S</t>
  </si>
  <si>
    <t>34 WILLIAM ST</t>
  </si>
  <si>
    <t>216 Sarah AVE</t>
  </si>
  <si>
    <t>303 EDITH ST</t>
  </si>
  <si>
    <t>69 8TH ST</t>
  </si>
  <si>
    <t>124035 Road 22 E</t>
  </si>
  <si>
    <t>80 3RD ST S</t>
  </si>
  <si>
    <t>216 1ST AVE</t>
  </si>
  <si>
    <t>249 SMITH ST</t>
  </si>
  <si>
    <t>150 SASKATCHEWAN HWY</t>
  </si>
  <si>
    <t>40 RUE FILLION AVE</t>
  </si>
  <si>
    <t>733 ROGERS ST</t>
  </si>
  <si>
    <t>143 Broadway ST</t>
  </si>
  <si>
    <t>105 THIRD ST N</t>
  </si>
  <si>
    <t>97 3RD ST NE</t>
  </si>
  <si>
    <t>78 THIRD ST</t>
  </si>
  <si>
    <t>171 LAKE AVE</t>
  </si>
  <si>
    <t>57 GOVERNMENT RD</t>
  </si>
  <si>
    <t>238 EDITH ST</t>
  </si>
  <si>
    <t>146 SIXTH ST</t>
  </si>
  <si>
    <t>38 ARTIC RD</t>
  </si>
  <si>
    <t>608 4TH AVE</t>
  </si>
  <si>
    <t>193 CHURCHILL PL</t>
  </si>
  <si>
    <t>28 ASH DR</t>
  </si>
  <si>
    <t>20 Wallace ST</t>
  </si>
  <si>
    <t>16 2ND ST SW</t>
  </si>
  <si>
    <t>202 GRIFFIN ST</t>
  </si>
  <si>
    <t>289 GRIFFIN ST</t>
  </si>
  <si>
    <t>58 BLAKESTON LANE</t>
  </si>
  <si>
    <t>26 1ST ST E</t>
  </si>
  <si>
    <t>93 BAY ST</t>
  </si>
  <si>
    <t>515 MULAIRE ST</t>
  </si>
  <si>
    <t>426 COTE W AVE</t>
  </si>
  <si>
    <t>124109 RAMSAY RD</t>
  </si>
  <si>
    <t>115 TAYLOR ST</t>
  </si>
  <si>
    <t>7 FIRST ST</t>
  </si>
  <si>
    <t>34 THIRD ST</t>
  </si>
  <si>
    <t>631 PARK AVE</t>
  </si>
  <si>
    <t>376 ENNIS CRES</t>
  </si>
  <si>
    <t>183 CYPRESS AVE</t>
  </si>
  <si>
    <t>441 ST JOSEPH AVE W</t>
  </si>
  <si>
    <t>188 CHURCHILL PL</t>
  </si>
  <si>
    <t>417 SECOND AVE</t>
  </si>
  <si>
    <t>63 BLAKESTON LANE</t>
  </si>
  <si>
    <t>213 4TH AVE NW</t>
  </si>
  <si>
    <t>119 BROADWAY ST</t>
  </si>
  <si>
    <t>302 FINLAY AVE</t>
  </si>
  <si>
    <t>30-7134</t>
  </si>
  <si>
    <t>630 PETERS ST</t>
  </si>
  <si>
    <t>2 SPRUCE ST S</t>
  </si>
  <si>
    <t>23 3RD AVE</t>
  </si>
  <si>
    <t>119 DUCKER ST</t>
  </si>
  <si>
    <t>317 YORK ST</t>
  </si>
  <si>
    <t>123 4TH ST SE</t>
  </si>
  <si>
    <t>17 BEECH ST</t>
  </si>
  <si>
    <t>20173 Road 130 NE</t>
  </si>
  <si>
    <t>15 BARIL AVE</t>
  </si>
  <si>
    <t>501 BROADWAY ST</t>
  </si>
  <si>
    <t>722 SECOND AVE</t>
  </si>
  <si>
    <t>DESC 1/2-42-2</t>
  </si>
  <si>
    <t>19 4TH ST SE</t>
  </si>
  <si>
    <t>690 CHERRY  ST</t>
  </si>
  <si>
    <t>136 OAK AVE</t>
  </si>
  <si>
    <t>288 South Railway AVE</t>
  </si>
  <si>
    <t>135 ELIZABETH ST</t>
  </si>
  <si>
    <t>108 GRANGE ST</t>
  </si>
  <si>
    <t>99 BIRCH AVE E</t>
  </si>
  <si>
    <t>127 CHURCH ST</t>
  </si>
  <si>
    <t>229 FIRST ST</t>
  </si>
  <si>
    <t>304 MILES ST</t>
  </si>
  <si>
    <t>108 CHURCH ST</t>
  </si>
  <si>
    <t>28 2ND AVE S</t>
  </si>
  <si>
    <t>396 ENNIS CRES</t>
  </si>
  <si>
    <t>106 VALHOP DR</t>
  </si>
  <si>
    <t>24 RUE FILLION AVE</t>
  </si>
  <si>
    <t>360 PTH #5 HWY W</t>
  </si>
  <si>
    <t>349 BROADWAY ST</t>
  </si>
  <si>
    <t>715 4TH AVE</t>
  </si>
  <si>
    <t>305 SASKATOON DR</t>
  </si>
  <si>
    <t>3 HERITAGE DR</t>
  </si>
  <si>
    <t>19 HOLLY ST</t>
  </si>
  <si>
    <t>8 ORIOLE DR</t>
  </si>
  <si>
    <t>27 ORIOLE DR</t>
  </si>
  <si>
    <t>35 3RD ST</t>
  </si>
  <si>
    <t>366 VETERANS-ASSINIBOINE ST W</t>
  </si>
  <si>
    <t>385 SOUTH ST</t>
  </si>
  <si>
    <t>8 POPLAR AVE</t>
  </si>
  <si>
    <t>45 COLLINS ST</t>
  </si>
  <si>
    <t>319 GOULD AVE</t>
  </si>
  <si>
    <t>301 College  AVE</t>
  </si>
  <si>
    <t>59 MAIN ST</t>
  </si>
  <si>
    <t>329 BROADWAY ST</t>
  </si>
  <si>
    <t>43 ART AVE</t>
  </si>
  <si>
    <t>191 WADDELL AVE W</t>
  </si>
  <si>
    <t>161 PENTLAND ST</t>
  </si>
  <si>
    <t>45-7134</t>
  </si>
  <si>
    <t>30 1ST ST</t>
  </si>
  <si>
    <t>205 DUNCAN ST</t>
  </si>
  <si>
    <t>17 THOMAS RD</t>
  </si>
  <si>
    <t>305 DONALD ST</t>
  </si>
  <si>
    <t>54 BLIGHT ST</t>
  </si>
  <si>
    <t>265 Louisa AVE</t>
  </si>
  <si>
    <t>17 RAILWAY ST</t>
  </si>
  <si>
    <t>223 BROADWAY ST</t>
  </si>
  <si>
    <t>177 Church AVE</t>
  </si>
  <si>
    <t>161 NAHAVWAY ST</t>
  </si>
  <si>
    <t>146 HUDSON CRES</t>
  </si>
  <si>
    <t>142 HUDSON CRES</t>
  </si>
  <si>
    <t>138 HUDSON CRES</t>
  </si>
  <si>
    <t>5 Vincent RD</t>
  </si>
  <si>
    <t>2 2ND ST</t>
  </si>
  <si>
    <t>14 SPRUCE ST S</t>
  </si>
  <si>
    <t>116 HOSPITAL ST</t>
  </si>
  <si>
    <t>402 COCHRANE ST</t>
  </si>
  <si>
    <t>38 2ND ST</t>
  </si>
  <si>
    <t>690 MAIN ST</t>
  </si>
  <si>
    <t>146 LORNE ST</t>
  </si>
  <si>
    <t>25 THIRD AVE W</t>
  </si>
  <si>
    <t>1031 MAIN ST</t>
  </si>
  <si>
    <t>214 VALHOP DR</t>
  </si>
  <si>
    <t>511 THIRD ST</t>
  </si>
  <si>
    <t>379 SOUTH ST</t>
  </si>
  <si>
    <t>39 8TH ST SE</t>
  </si>
  <si>
    <t>210 PEMBINA ST</t>
  </si>
  <si>
    <t>9 WILSON ST</t>
  </si>
  <si>
    <t>6 Main ST E</t>
  </si>
  <si>
    <t>124 MAHARG AVE W</t>
  </si>
  <si>
    <t>212 CHURCHILL PL</t>
  </si>
  <si>
    <t>198 FRONT ST</t>
  </si>
  <si>
    <t>327 LAKE ST</t>
  </si>
  <si>
    <t>13 FOURTH ST</t>
  </si>
  <si>
    <t>132 Fifth  ST</t>
  </si>
  <si>
    <t>127 RUPERT AVE E</t>
  </si>
  <si>
    <t>637 EGAN ST</t>
  </si>
  <si>
    <t>194 LAW ST</t>
  </si>
  <si>
    <t>4 MANITOBA AVE</t>
  </si>
  <si>
    <t>185-187 JAMES AVE</t>
  </si>
  <si>
    <t>17 HOLLY ST</t>
  </si>
  <si>
    <t>33 FIRST ST E</t>
  </si>
  <si>
    <t>730 JOHNSON ST</t>
  </si>
  <si>
    <t>51 ROSS AVE</t>
  </si>
  <si>
    <t>4--9522</t>
  </si>
  <si>
    <t>27 ALEXANDER ST</t>
  </si>
  <si>
    <t>110 MCINTOSH ST</t>
  </si>
  <si>
    <t>134 BUTTON AVE</t>
  </si>
  <si>
    <t>20169 Road 130 NE</t>
  </si>
  <si>
    <t>54 1ST ST E</t>
  </si>
  <si>
    <t>234 FIRST AVE</t>
  </si>
  <si>
    <t>302 SOUTH CHESTNUT ST</t>
  </si>
  <si>
    <t>6 HOLLY ST</t>
  </si>
  <si>
    <t>494 MULAIRE ST</t>
  </si>
  <si>
    <t>216 HARVEY AVE</t>
  </si>
  <si>
    <t>68 5TH ST NE</t>
  </si>
  <si>
    <t>113 DUFFERIN ST</t>
  </si>
  <si>
    <t>1032 LUNDY ST</t>
  </si>
  <si>
    <t>191 DUFFERIN ST</t>
  </si>
  <si>
    <t>112 HOSPITAL ST</t>
  </si>
  <si>
    <t>120 HELENA ST</t>
  </si>
  <si>
    <t>607 MCKENZIE ST N</t>
  </si>
  <si>
    <t>91 THIRD ST</t>
  </si>
  <si>
    <t>183 TOWNSEND DR</t>
  </si>
  <si>
    <t>138 CRYSTAL AVE E</t>
  </si>
  <si>
    <t>325 MILL RD</t>
  </si>
  <si>
    <t>2ND ST</t>
  </si>
  <si>
    <t>118 BARR ST</t>
  </si>
  <si>
    <t>165 BROADWAY ST</t>
  </si>
  <si>
    <t>331 BUCKINGHAM ST</t>
  </si>
  <si>
    <t>10 STEENSON DR</t>
  </si>
  <si>
    <t>104-108 BARR ST</t>
  </si>
  <si>
    <t>337 MANIPOGO BEACH RD</t>
  </si>
  <si>
    <t>42 2ND ST</t>
  </si>
  <si>
    <t>121 BROADWAY ST</t>
  </si>
  <si>
    <t>69 6TH ST SE</t>
  </si>
  <si>
    <t>1221/2 MORRIS ST</t>
  </si>
  <si>
    <t>320 ELM DR</t>
  </si>
  <si>
    <t>166-168 PENTLAND ST</t>
  </si>
  <si>
    <t>340 LAKE AVE</t>
  </si>
  <si>
    <t>944 LUNDY ST</t>
  </si>
  <si>
    <t>117 COLLINS ST</t>
  </si>
  <si>
    <t>19 BEECH ST</t>
  </si>
  <si>
    <t>12 POPLAR AVE</t>
  </si>
  <si>
    <t>503 FOXFORD AVE E</t>
  </si>
  <si>
    <t>202 LAKESHORE DR</t>
  </si>
  <si>
    <t>210 COCHRANE ST</t>
  </si>
  <si>
    <t>6 FOURTH AVE W</t>
  </si>
  <si>
    <t>50 1ST ST NE</t>
  </si>
  <si>
    <t>3 BEAUDETTE ST</t>
  </si>
  <si>
    <t>177 PARK AVE</t>
  </si>
  <si>
    <t>8 MAIN ST</t>
  </si>
  <si>
    <t>34 1ST ST</t>
  </si>
  <si>
    <t>113 THOMPSON CRES</t>
  </si>
  <si>
    <t>241 SOURIS AVE</t>
  </si>
  <si>
    <t>88 Duna BAY</t>
  </si>
  <si>
    <t>204 JAMES ST</t>
  </si>
  <si>
    <t>102 FORFORD AVE W</t>
  </si>
  <si>
    <t>25 THOMPSON DR</t>
  </si>
  <si>
    <t>88 RAILWAY AVE</t>
  </si>
  <si>
    <t>225 NORTH RAILWAY ST</t>
  </si>
  <si>
    <t>DESC 10-3-706</t>
  </si>
  <si>
    <t>302 MURRAY AVE</t>
  </si>
  <si>
    <t>409 CAVERS ST</t>
  </si>
  <si>
    <t>154 PARK ST</t>
  </si>
  <si>
    <t>62 THIRD ST</t>
  </si>
  <si>
    <t>16 SPRUCE ST S</t>
  </si>
  <si>
    <t>510 OAK AVE</t>
  </si>
  <si>
    <t>123 CRYSTAL AVE E</t>
  </si>
  <si>
    <t>177 CHURCHILL PL</t>
  </si>
  <si>
    <t>37 IRVING ST W</t>
  </si>
  <si>
    <t>10 IRVING ST W</t>
  </si>
  <si>
    <t>319 CHRISTIE ST</t>
  </si>
  <si>
    <t>250 SMITH ST</t>
  </si>
  <si>
    <t>17 FRANKLIN ST</t>
  </si>
  <si>
    <t>183 SMITH ST</t>
  </si>
  <si>
    <t>303 BROADWAY ST</t>
  </si>
  <si>
    <t>5 HOLLY ST</t>
  </si>
  <si>
    <t>121 O BRIEN AVE E</t>
  </si>
  <si>
    <t>39 3RD ST</t>
  </si>
  <si>
    <t>309 ELM AVE</t>
  </si>
  <si>
    <t>138 BLIGHT ST</t>
  </si>
  <si>
    <t>82 BEACONSFIELDS AVE</t>
  </si>
  <si>
    <t>75 CAMPBELL ST</t>
  </si>
  <si>
    <t>61 Fourth ST</t>
  </si>
  <si>
    <t>34 WADDELL ST</t>
  </si>
  <si>
    <t>621 Cherry ST</t>
  </si>
  <si>
    <t>1 Finch ST</t>
  </si>
  <si>
    <t>336 VETERANS-ASSINIBOINE ST W</t>
  </si>
  <si>
    <t>192 MCARTHUR AVE</t>
  </si>
  <si>
    <t>4 FIRST ST</t>
  </si>
  <si>
    <t>448 DUFFERIN AVE</t>
  </si>
  <si>
    <t>42 11TH ST</t>
  </si>
  <si>
    <t>150 PARK ST</t>
  </si>
  <si>
    <t>95 MORRIS ST</t>
  </si>
  <si>
    <t>202 MCKENZIE ST S</t>
  </si>
  <si>
    <t>300 NORTON AVE</t>
  </si>
  <si>
    <t>52 ALEXANDER ST</t>
  </si>
  <si>
    <t>210 CAVENDISH ST N</t>
  </si>
  <si>
    <t>124041 ROAD 22 E</t>
  </si>
  <si>
    <t>356 CAMERON ST W</t>
  </si>
  <si>
    <t>196 WADDELL AVE W</t>
  </si>
  <si>
    <t>66 2ND ST</t>
  </si>
  <si>
    <t>615 NORTH RAILWAY AVE</t>
  </si>
  <si>
    <t>19 BROADFOOT ST</t>
  </si>
  <si>
    <t>311 2ND ST NW</t>
  </si>
  <si>
    <t>611 MCKENZIE ST N</t>
  </si>
  <si>
    <t>303 SASKATOON DR</t>
  </si>
  <si>
    <t>34 FOURTH ST</t>
  </si>
  <si>
    <t>45 4TH AVE S</t>
  </si>
  <si>
    <t>26 BARIL AVE</t>
  </si>
  <si>
    <t>206 3RD AVE SW</t>
  </si>
  <si>
    <t>5 ORIOLE DR</t>
  </si>
  <si>
    <t>387 PREFONTAINE AVE</t>
  </si>
  <si>
    <t>26-7134</t>
  </si>
  <si>
    <t>13 MAIN ST S</t>
  </si>
  <si>
    <t>328 EDITH ST</t>
  </si>
  <si>
    <t>432 OAKO BEACH DR</t>
  </si>
  <si>
    <t>314 BEVERIDGE AVE</t>
  </si>
  <si>
    <t>538 FOURTH AVE</t>
  </si>
  <si>
    <t>53 1ST ST</t>
  </si>
  <si>
    <t>158 PATRICK ST</t>
  </si>
  <si>
    <t>439 Miniota RD</t>
  </si>
  <si>
    <t>41 DONAHOE AVE W</t>
  </si>
  <si>
    <t>339 KERBY AVE</t>
  </si>
  <si>
    <t>355 2nd AVE</t>
  </si>
  <si>
    <t>102 KELLETT ST S</t>
  </si>
  <si>
    <t>7 HOLLY ST</t>
  </si>
  <si>
    <t>41 WALTER THOMAS DR</t>
  </si>
  <si>
    <t>143 LILAC AVE E</t>
  </si>
  <si>
    <t>27 DUNA BAY</t>
  </si>
  <si>
    <t>107 NORTH RAILWAY AVE E</t>
  </si>
  <si>
    <t>29 AVE CENTRE AVE</t>
  </si>
  <si>
    <t>28 2ND ST</t>
  </si>
  <si>
    <t>508 THOMPSON ST</t>
  </si>
  <si>
    <t>367 ASPEN ST W</t>
  </si>
  <si>
    <t>118 CHURCH ST</t>
  </si>
  <si>
    <t>65 5TH ST</t>
  </si>
  <si>
    <t>22 ELEVATOR ST</t>
  </si>
  <si>
    <t>59 2ND ST</t>
  </si>
  <si>
    <t>92 OAK ST</t>
  </si>
  <si>
    <t>G--11681</t>
  </si>
  <si>
    <t>10 BARIL AVE</t>
  </si>
  <si>
    <t>645 AIKMAN ST</t>
  </si>
  <si>
    <t>222 JAMES ST</t>
  </si>
  <si>
    <t>140 RAILWAY AVE</t>
  </si>
  <si>
    <t>4 CEDAR ST</t>
  </si>
  <si>
    <t>129 MORRIS ST</t>
  </si>
  <si>
    <t>72 FOURTH ST</t>
  </si>
  <si>
    <t>174 VALHOP DR</t>
  </si>
  <si>
    <t>310 DUFFERIN AVE</t>
  </si>
  <si>
    <t>403 HARVEY AVE</t>
  </si>
  <si>
    <t>120 MOUNTAIN ST N</t>
  </si>
  <si>
    <t>21 AQUIN ST</t>
  </si>
  <si>
    <t>209 4TH AVE SW</t>
  </si>
  <si>
    <t>347 KERBY AVE</t>
  </si>
  <si>
    <t>304 ALEXANDER AVE</t>
  </si>
  <si>
    <t>189 Sarah AVE</t>
  </si>
  <si>
    <t>89 FIFTH ST</t>
  </si>
  <si>
    <t>57 OAK ST</t>
  </si>
  <si>
    <t>77 WOODS AVE</t>
  </si>
  <si>
    <t>246 EDITH ST</t>
  </si>
  <si>
    <t>105 SECOND ST</t>
  </si>
  <si>
    <t>303 MORTON AVE W</t>
  </si>
  <si>
    <t>264 Sarah AVE</t>
  </si>
  <si>
    <t>122 SECOND AVE SW</t>
  </si>
  <si>
    <t>207 PEMBINA ST</t>
  </si>
  <si>
    <t>621 4TH AVE</t>
  </si>
  <si>
    <t>717 Raven ST</t>
  </si>
  <si>
    <t>129 PATRICK ST</t>
  </si>
  <si>
    <t>63 MINNEWAWA ST</t>
  </si>
  <si>
    <t>19 MACHRAY AVE W</t>
  </si>
  <si>
    <t>125 FIFTH ST</t>
  </si>
  <si>
    <t>64 BLAKESTON LANE</t>
  </si>
  <si>
    <t>52 3RD AVE SW</t>
  </si>
  <si>
    <t>377 STEPHEN ST</t>
  </si>
  <si>
    <t>327 CAMPBELL AVE</t>
  </si>
  <si>
    <t>419 THOMPSON ST</t>
  </si>
  <si>
    <t>118 THIRD ST N</t>
  </si>
  <si>
    <t>431 ST JOSEPH AVE W</t>
  </si>
  <si>
    <t>291 PARK AVE</t>
  </si>
  <si>
    <t>75 BOUNDARY ST</t>
  </si>
  <si>
    <t>14 Birch DR</t>
  </si>
  <si>
    <t>124 BEVERIDGE AVE</t>
  </si>
  <si>
    <t>674 CHERRY ST</t>
  </si>
  <si>
    <t>417 PARK AVE</t>
  </si>
  <si>
    <t>141 4TH AVE SW</t>
  </si>
  <si>
    <t>210 5TH AVE NW</t>
  </si>
  <si>
    <t>127 ELM ST</t>
  </si>
  <si>
    <t>12 BIRCH ST</t>
  </si>
  <si>
    <t>51-7134</t>
  </si>
  <si>
    <t>192 DENNIS ST</t>
  </si>
  <si>
    <t>140 5TH AVE SW</t>
  </si>
  <si>
    <t>6 FIRST ST</t>
  </si>
  <si>
    <t>640 VALLEY ST</t>
  </si>
  <si>
    <t>15 4TH ST</t>
  </si>
  <si>
    <t>248 2ND AVE NW</t>
  </si>
  <si>
    <t>215 SOUTH CHESTNUT ST</t>
  </si>
  <si>
    <t>12 CHERRY ST</t>
  </si>
  <si>
    <t>19158 Road 129 NE</t>
  </si>
  <si>
    <t>658 CHERRY ST</t>
  </si>
  <si>
    <t>62 BROADWAY ST</t>
  </si>
  <si>
    <t>121 BLIGHT ST</t>
  </si>
  <si>
    <t>403 MANIPOGO BEACH RD</t>
  </si>
  <si>
    <t>365 NORTON AVE</t>
  </si>
  <si>
    <t>302 LOVETT ST S</t>
  </si>
  <si>
    <t>44 4TH ST NE</t>
  </si>
  <si>
    <t>62 5TH ST NE</t>
  </si>
  <si>
    <t>34 DONAHOE AVE W</t>
  </si>
  <si>
    <t>3 HOLLY ST</t>
  </si>
  <si>
    <t>68 FIRST ST E</t>
  </si>
  <si>
    <t>705 NORTH RAILWAY AVE</t>
  </si>
  <si>
    <t>241 ASPEN ST E</t>
  </si>
  <si>
    <t>29 5TH ST SE</t>
  </si>
  <si>
    <t>642 EGAN ST</t>
  </si>
  <si>
    <t>101 PARK AVE</t>
  </si>
  <si>
    <t>534 BROADWAY ST</t>
  </si>
  <si>
    <t>263 SMITH ST</t>
  </si>
  <si>
    <t>224 Second ST</t>
  </si>
  <si>
    <t>125 NORTH DR</t>
  </si>
  <si>
    <t>93 FIRST AVE S</t>
  </si>
  <si>
    <t>1 5TH ST E</t>
  </si>
  <si>
    <t>4 FOURTH ST S</t>
  </si>
  <si>
    <t>27 CHURCH AVE</t>
  </si>
  <si>
    <t>70 RAILWAY AVE S</t>
  </si>
  <si>
    <t>55 MAIN ST</t>
  </si>
  <si>
    <t>157 WADDELL AVE W</t>
  </si>
  <si>
    <t>316 CHRISTIE ST</t>
  </si>
  <si>
    <t>341 North Railway AVE</t>
  </si>
  <si>
    <t>247 1ST ST NW</t>
  </si>
  <si>
    <t>104 12TH ST</t>
  </si>
  <si>
    <t>510 JOHNSON ST</t>
  </si>
  <si>
    <t>131 BLIGHT ST</t>
  </si>
  <si>
    <t>103 KING ST</t>
  </si>
  <si>
    <t>641 RAE ST</t>
  </si>
  <si>
    <t>13 1ST ST N</t>
  </si>
  <si>
    <t>66 BLIGHT ST</t>
  </si>
  <si>
    <t>213 LOVETT ST</t>
  </si>
  <si>
    <t>121 MAPLE AVE E</t>
  </si>
  <si>
    <t>115 PARK AVE</t>
  </si>
  <si>
    <t>95 ABERDEEN ST</t>
  </si>
  <si>
    <t>160 PATRICK ST</t>
  </si>
  <si>
    <t>107 O"BRIEN AVE E</t>
  </si>
  <si>
    <t>320 OAKO BEACH DR</t>
  </si>
  <si>
    <t>322 BROADWAY AVE</t>
  </si>
  <si>
    <t>525 BROADWAY ST</t>
  </si>
  <si>
    <t>1 LIVINGSTONE PL</t>
  </si>
  <si>
    <t>215 CHRISTIE ST</t>
  </si>
  <si>
    <t>218 ASPEN ST W</t>
  </si>
  <si>
    <t>336 NORTON AVE</t>
  </si>
  <si>
    <t>548 WOODWORTH AVE</t>
  </si>
  <si>
    <t>88 RIVER RD S</t>
  </si>
  <si>
    <t>430 COOK ST</t>
  </si>
  <si>
    <t>31 2ND AVE S</t>
  </si>
  <si>
    <t>413 LOVETT ST</t>
  </si>
  <si>
    <t>63 MCINTOSH ST</t>
  </si>
  <si>
    <t>24 BRANDT ST</t>
  </si>
  <si>
    <t>606 VALLEY ST</t>
  </si>
  <si>
    <t>241 VANZILE ST</t>
  </si>
  <si>
    <t>32 VINCENT AVE</t>
  </si>
  <si>
    <t>45 CENTRE ST</t>
  </si>
  <si>
    <t>15 ORIOLE DR</t>
  </si>
  <si>
    <t>103 5TH ST NE</t>
  </si>
  <si>
    <t>228 CENTENNIAL CRES</t>
  </si>
  <si>
    <t>213 STANLEY ST</t>
  </si>
  <si>
    <t>107 ELM ST</t>
  </si>
  <si>
    <t>219 KELLETT ST</t>
  </si>
  <si>
    <t>189 Louisa AVE</t>
  </si>
  <si>
    <t>198 NISKU BAY</t>
  </si>
  <si>
    <t>202 NISKU BAY</t>
  </si>
  <si>
    <t>39 1ST ST</t>
  </si>
  <si>
    <t>221 2ND AVE NE</t>
  </si>
  <si>
    <t>208 COCHRANE ST</t>
  </si>
  <si>
    <t>38 SIXTH ST</t>
  </si>
  <si>
    <t>5 Laura AVE</t>
  </si>
  <si>
    <t>150 FRANKLIN AVE W</t>
  </si>
  <si>
    <t>738 MACKENZIE ST</t>
  </si>
  <si>
    <t>125 VOGAR RD</t>
  </si>
  <si>
    <t>203 ANDERSON ST E</t>
  </si>
  <si>
    <t>311 FINLAY AV E</t>
  </si>
  <si>
    <t>14 CHERRY ST</t>
  </si>
  <si>
    <t>868 WOODBURN ST</t>
  </si>
  <si>
    <t>174 NISKU BAY</t>
  </si>
  <si>
    <t>182 NISKU BAY</t>
  </si>
  <si>
    <t>190 NISKU BAY</t>
  </si>
  <si>
    <t>30 FIRST AVE</t>
  </si>
  <si>
    <t>24 THIRD AVE W</t>
  </si>
  <si>
    <t>14 BARIL AVE</t>
  </si>
  <si>
    <t>12 SECOND  ST</t>
  </si>
  <si>
    <t>36 RAILWAY AVE</t>
  </si>
  <si>
    <t>181 OAK AVE E</t>
  </si>
  <si>
    <t>95 12TH ST</t>
  </si>
  <si>
    <t>144 PARK ST</t>
  </si>
  <si>
    <t>4 FIRST ST SW</t>
  </si>
  <si>
    <t>669 AIKMAN ST</t>
  </si>
  <si>
    <t>505 JOHNSON ST</t>
  </si>
  <si>
    <t>75 MAIN ST</t>
  </si>
  <si>
    <t>42 BETTY ST</t>
  </si>
  <si>
    <t>28 CHURCH AVE</t>
  </si>
  <si>
    <t>296 SMITH ST</t>
  </si>
  <si>
    <t>411 NORTON AVE</t>
  </si>
  <si>
    <t>308 RICHHILL AVE E</t>
  </si>
  <si>
    <t>304 RAILWAY ST E</t>
  </si>
  <si>
    <t>29 2ND AVE S</t>
  </si>
  <si>
    <t>119 5TH ST</t>
  </si>
  <si>
    <t>163 JAMES AVE</t>
  </si>
  <si>
    <t>57065 PR 542 &amp; RD 172W</t>
  </si>
  <si>
    <t>113 CAVERS ST S</t>
  </si>
  <si>
    <t>430 DUFFERIN AVE</t>
  </si>
  <si>
    <t>313 LAKE ST S</t>
  </si>
  <si>
    <t>55 WALTER THOMAS DR</t>
  </si>
  <si>
    <t>23-7134</t>
  </si>
  <si>
    <t>23 FRANKLIN ST</t>
  </si>
  <si>
    <t>726 4TH AVE</t>
  </si>
  <si>
    <t>57 5TH ST</t>
  </si>
  <si>
    <t>106 STEWART AVE</t>
  </si>
  <si>
    <t>32-7134</t>
  </si>
  <si>
    <t>204 SCHWITZER ST</t>
  </si>
  <si>
    <t>301 FINLAY AVE</t>
  </si>
  <si>
    <t>44 MINNEWAWA ST</t>
  </si>
  <si>
    <t>26 SECOND AVE</t>
  </si>
  <si>
    <t>105 FIRST ST S</t>
  </si>
  <si>
    <t>205 BROADWAY ST S</t>
  </si>
  <si>
    <t>348 WINDSOR AVE</t>
  </si>
  <si>
    <t>261 ASPEN ST E</t>
  </si>
  <si>
    <t>22 FOURTH ST</t>
  </si>
  <si>
    <t>106 BAY ST</t>
  </si>
  <si>
    <t>341 MOFFAT AVE</t>
  </si>
  <si>
    <t>323 DONALD ST</t>
  </si>
  <si>
    <t>209 STRUTHERS ST</t>
  </si>
  <si>
    <t>252 VETERANS-ASSINIBOINE ST W</t>
  </si>
  <si>
    <t>145 DIAMOND ST</t>
  </si>
  <si>
    <t>143 DOMINION ST</t>
  </si>
  <si>
    <t>222 LAW ST</t>
  </si>
  <si>
    <t>124 TAYLOR ST</t>
  </si>
  <si>
    <t>39 FOURTH ST</t>
  </si>
  <si>
    <t>41 RUPERT AVE W</t>
  </si>
  <si>
    <t>6 HERITAGE DR</t>
  </si>
  <si>
    <t>29 WALTER THOMAS DR</t>
  </si>
  <si>
    <t>31 DONAHOE AVE E</t>
  </si>
  <si>
    <t>549 COOK ST</t>
  </si>
  <si>
    <t>141 BROADWAY AVE</t>
  </si>
  <si>
    <t>211 GRIFFIN ST</t>
  </si>
  <si>
    <t>547 FOURTH AVE</t>
  </si>
  <si>
    <t>119 KILDARE ST</t>
  </si>
  <si>
    <t>16 7TH ST SE</t>
  </si>
  <si>
    <t>302 CHRISTIE ST</t>
  </si>
  <si>
    <t>194 GRIFFIN ST</t>
  </si>
  <si>
    <t>324 NORTON AVE</t>
  </si>
  <si>
    <t>111 Lovett ST N</t>
  </si>
  <si>
    <t>182 SUMMIT ST</t>
  </si>
  <si>
    <t>71 Wonderland DR</t>
  </si>
  <si>
    <t>170 NISKU BAY</t>
  </si>
  <si>
    <t>178 NISKU BAY</t>
  </si>
  <si>
    <t>194 NISKU BAY</t>
  </si>
  <si>
    <t>67 FIRST ST E</t>
  </si>
  <si>
    <t>DESC 1&amp;3-4-1507</t>
  </si>
  <si>
    <t>344 CAMERON ST W</t>
  </si>
  <si>
    <t>3 Eirikson DR</t>
  </si>
  <si>
    <t>32 SECOND AVE S</t>
  </si>
  <si>
    <t>607 NORTH RAILWAY AVE</t>
  </si>
  <si>
    <t>307 DUDLEY ST</t>
  </si>
  <si>
    <t>962 LUNDY ST</t>
  </si>
  <si>
    <t>57 THIRD ST</t>
  </si>
  <si>
    <t>70 FOURTH ST</t>
  </si>
  <si>
    <t>453 FULLER AVE</t>
  </si>
  <si>
    <t>21 3RD ST</t>
  </si>
  <si>
    <t>130 BARR ST</t>
  </si>
  <si>
    <t>26 CHURCH AVE</t>
  </si>
  <si>
    <t>33 COULTER ST</t>
  </si>
  <si>
    <t>25 CENTRE ST</t>
  </si>
  <si>
    <t>626 STEPHEN ST</t>
  </si>
  <si>
    <t>444 MCKAY ST</t>
  </si>
  <si>
    <t>333 LAKE ST</t>
  </si>
  <si>
    <t>5 HERITAGE DR</t>
  </si>
  <si>
    <t>767 LUNDY ST</t>
  </si>
  <si>
    <t>22 BARIL AVE</t>
  </si>
  <si>
    <t>186 OX CART TRL W</t>
  </si>
  <si>
    <t>101 LILAC AVE E</t>
  </si>
  <si>
    <t>1019 VINE ST</t>
  </si>
  <si>
    <t>158 REGGIE LEACH DR</t>
  </si>
  <si>
    <t>408 FIRST AVE</t>
  </si>
  <si>
    <t>90 SASKATCHEWAN ST</t>
  </si>
  <si>
    <t>34 3RD AVE</t>
  </si>
  <si>
    <t>112 COCHRANE ST</t>
  </si>
  <si>
    <t>15 SCHOOL ST</t>
  </si>
  <si>
    <t>126 4TH ST</t>
  </si>
  <si>
    <t>938 PEARL ST</t>
  </si>
  <si>
    <t>124 HUDSON CRES</t>
  </si>
  <si>
    <t>186 NISKU BAY</t>
  </si>
  <si>
    <t>75 5TH ST</t>
  </si>
  <si>
    <t>113 DOMINION ST</t>
  </si>
  <si>
    <t>14 4TH ST</t>
  </si>
  <si>
    <t>8 McKenzie RD</t>
  </si>
  <si>
    <t>109 BAY ST</t>
  </si>
  <si>
    <t>8 2ND AVE N</t>
  </si>
  <si>
    <t>167 DOMINION ST</t>
  </si>
  <si>
    <t>223 THOMPSON DR</t>
  </si>
  <si>
    <t>96 RAILWAY AVE</t>
  </si>
  <si>
    <t>327 DUFFERIN AVE</t>
  </si>
  <si>
    <t>224 2ND ST NW</t>
  </si>
  <si>
    <t>41 ALEXANDER ST</t>
  </si>
  <si>
    <t>333 YORK ST</t>
  </si>
  <si>
    <t>207 ROSE AVE W</t>
  </si>
  <si>
    <t>425 BROADWAY ST</t>
  </si>
  <si>
    <t>414 CHRISTIE ST</t>
  </si>
  <si>
    <t>151 2ND AVE SW</t>
  </si>
  <si>
    <t>150 RAILWAY ST</t>
  </si>
  <si>
    <t>115 BROADFOOT ST</t>
  </si>
  <si>
    <t>163 LILAC AVE E</t>
  </si>
  <si>
    <t>633 MILL RD</t>
  </si>
  <si>
    <t>344 THIRD ST</t>
  </si>
  <si>
    <t>214 MILES ST</t>
  </si>
  <si>
    <t>322 EARL ST</t>
  </si>
  <si>
    <t>542 WOODWORTH AVE</t>
  </si>
  <si>
    <t>79 ELM ST</t>
  </si>
  <si>
    <t>119 NORTH DR</t>
  </si>
  <si>
    <t>31 SECOND ST</t>
  </si>
  <si>
    <t>653 VALLEY ST</t>
  </si>
  <si>
    <t>549 BROADWAY ST</t>
  </si>
  <si>
    <t>128 SECOND AVE</t>
  </si>
  <si>
    <t>239 SECOND ST</t>
  </si>
  <si>
    <t>171 TOWNSEND DR</t>
  </si>
  <si>
    <t>152 HUDSON CRES</t>
  </si>
  <si>
    <t>17 THIRD AVE</t>
  </si>
  <si>
    <t>140 BARR ST</t>
  </si>
  <si>
    <t>404 CAVERS ST</t>
  </si>
  <si>
    <t>449 JOHNSON ST</t>
  </si>
  <si>
    <t>238 SIXTH ST</t>
  </si>
  <si>
    <t>105 DUNCAN ST</t>
  </si>
  <si>
    <t>31 SASKATCHEWAN HWY W</t>
  </si>
  <si>
    <t>165 NAHAVWAY ST</t>
  </si>
  <si>
    <t>139 HUDSON CRES</t>
  </si>
  <si>
    <t>135 HUDSON CRES</t>
  </si>
  <si>
    <t>40 MACHRAY AVE E</t>
  </si>
  <si>
    <t>800 MAIN ST</t>
  </si>
  <si>
    <t>68 GALLOWAY ST</t>
  </si>
  <si>
    <t>40 IRVING ST W</t>
  </si>
  <si>
    <t>58 FOURTH ST</t>
  </si>
  <si>
    <t>126 #83 HWY S</t>
  </si>
  <si>
    <t>65 9TH ST SE</t>
  </si>
  <si>
    <t>40 VINCENT AVE</t>
  </si>
  <si>
    <t>1144 LUNDY ST</t>
  </si>
  <si>
    <t>569 COOK ST</t>
  </si>
  <si>
    <t>135 LETAIN ST</t>
  </si>
  <si>
    <t>6 BETTY ST</t>
  </si>
  <si>
    <t>12 4TH ST</t>
  </si>
  <si>
    <t>239 3RD AVE NE</t>
  </si>
  <si>
    <t>203 SOUTH CHESTNUT ST</t>
  </si>
  <si>
    <t>411 BROADWAY ST</t>
  </si>
  <si>
    <t>107 9TH ST SE</t>
  </si>
  <si>
    <t>205 STANLEY ST</t>
  </si>
  <si>
    <t>3 WHITE TAIL DR</t>
  </si>
  <si>
    <t>20 MANITOBA AVE</t>
  </si>
  <si>
    <t>253 CHURCH AVE</t>
  </si>
  <si>
    <t>145 Duna BAY</t>
  </si>
  <si>
    <t>342 NORTON AVE</t>
  </si>
  <si>
    <t>48 FOURTH ST</t>
  </si>
  <si>
    <t>110 CHURCH ST</t>
  </si>
  <si>
    <t>173 DENNIS ST</t>
  </si>
  <si>
    <t>187 LAW ST</t>
  </si>
  <si>
    <t>8 LIVINGSTONE PL</t>
  </si>
  <si>
    <t>141 HOSPITAL ST</t>
  </si>
  <si>
    <t>117 PLUM LANE</t>
  </si>
  <si>
    <t>16 LOEWEN AVE</t>
  </si>
  <si>
    <t>807 SECOND AVE</t>
  </si>
  <si>
    <t>274 CAMERON ST W</t>
  </si>
  <si>
    <t>152 PATRICK ST</t>
  </si>
  <si>
    <t>195 FRANKLIN AVE W</t>
  </si>
  <si>
    <t>522 JOHNSON ST</t>
  </si>
  <si>
    <t>8 MANITOBA AVE</t>
  </si>
  <si>
    <t>307 JAMES ST</t>
  </si>
  <si>
    <t>324 DONALD ST</t>
  </si>
  <si>
    <t>21 2ND ST</t>
  </si>
  <si>
    <t>268 SOUTH ST</t>
  </si>
  <si>
    <t>92 BAY ST</t>
  </si>
  <si>
    <t>2 BEAUDETTE ST</t>
  </si>
  <si>
    <t>315 LAKE ST</t>
  </si>
  <si>
    <t>22 SOM BEACH RD</t>
  </si>
  <si>
    <t>319 DUNCAN ST</t>
  </si>
  <si>
    <t>60 MINNEWAWA ST</t>
  </si>
  <si>
    <t>542 COTE AVE E</t>
  </si>
  <si>
    <t>4 THIRD AVE E</t>
  </si>
  <si>
    <t>307 SOUTH CHESTNUT ST</t>
  </si>
  <si>
    <t>111 STANMORE ST</t>
  </si>
  <si>
    <t>118 HUDSON CRES</t>
  </si>
  <si>
    <t>114 HUDSON CRES</t>
  </si>
  <si>
    <t>108 HUDSON CRES</t>
  </si>
  <si>
    <t>52 Maple DR</t>
  </si>
  <si>
    <t>153 3RD AVE SW</t>
  </si>
  <si>
    <t>37 1ST ST</t>
  </si>
  <si>
    <t>116 LYALL ST</t>
  </si>
  <si>
    <t>5 FIRST AVE</t>
  </si>
  <si>
    <t>75 BIRCH AVE E</t>
  </si>
  <si>
    <t>227 PARK AVE</t>
  </si>
  <si>
    <t>229 SECOND ST</t>
  </si>
  <si>
    <t>230 2ND ST NW</t>
  </si>
  <si>
    <t>30 MANITOBA AVE</t>
  </si>
  <si>
    <t>1 MAY ST</t>
  </si>
  <si>
    <t>353 KERBY AVE</t>
  </si>
  <si>
    <t>192 WADDELL AVE W</t>
  </si>
  <si>
    <t>7 WILSON ST</t>
  </si>
  <si>
    <t>98 BAY ST</t>
  </si>
  <si>
    <t>130 SECOND ST</t>
  </si>
  <si>
    <t>109 DUNCAN ST</t>
  </si>
  <si>
    <t>67 2ND ST NE</t>
  </si>
  <si>
    <t>17 4TH AVE N</t>
  </si>
  <si>
    <t>2-30449</t>
  </si>
  <si>
    <t>114 KIRK ST</t>
  </si>
  <si>
    <t>341 GOSCHEN  AVE</t>
  </si>
  <si>
    <t>186 VALHOP DR</t>
  </si>
  <si>
    <t>46 OAK ST</t>
  </si>
  <si>
    <t>109 COCHRANE ST</t>
  </si>
  <si>
    <t>305 BROADWAY ST S</t>
  </si>
  <si>
    <t>14/15-1-486</t>
  </si>
  <si>
    <t>214 BOYNE ST</t>
  </si>
  <si>
    <t>57 DENNIS  ST E</t>
  </si>
  <si>
    <t>217 Church AVE</t>
  </si>
  <si>
    <t>660 BROADWAY ST</t>
  </si>
  <si>
    <t>159 MOUNTAIN AVE</t>
  </si>
  <si>
    <t>455 KERBY AVE</t>
  </si>
  <si>
    <t>209 MAPLE AVE E</t>
  </si>
  <si>
    <t>139 BLIGHT ST</t>
  </si>
  <si>
    <t>332 GOSCHEN AVE</t>
  </si>
  <si>
    <t>5 RIVER AVE</t>
  </si>
  <si>
    <t>251 2ND AVE NW</t>
  </si>
  <si>
    <t>371 SOUTH ST</t>
  </si>
  <si>
    <t>63 LETAIN ST</t>
  </si>
  <si>
    <t>156 JAMES AVE</t>
  </si>
  <si>
    <t>105 MORRIS ST</t>
  </si>
  <si>
    <t>20 BARIL AVE</t>
  </si>
  <si>
    <t>19 ARRAS AVE</t>
  </si>
  <si>
    <t>54 4TH ST</t>
  </si>
  <si>
    <t>28 1ST ST E</t>
  </si>
  <si>
    <t>238 RAILWAY AVE</t>
  </si>
  <si>
    <t>27 THIRD AVE</t>
  </si>
  <si>
    <t>315 DONALD ST</t>
  </si>
  <si>
    <t>49 REGGIE LEACH DR</t>
  </si>
  <si>
    <t>116 RUPERT AVE E</t>
  </si>
  <si>
    <t>210 NORTH RAILWAY ST</t>
  </si>
  <si>
    <t>17 SPRUCE ST</t>
  </si>
  <si>
    <t>11 VALMOR RD</t>
  </si>
  <si>
    <t>104 Garrick</t>
  </si>
  <si>
    <t>8 RIVER AVE</t>
  </si>
  <si>
    <t>132-134 DUCKER ST</t>
  </si>
  <si>
    <t>218 SEVENTH ST</t>
  </si>
  <si>
    <t>154 BROADWAY ST</t>
  </si>
  <si>
    <t>412 LAKE ST</t>
  </si>
  <si>
    <t>25 BIRCH ST</t>
  </si>
  <si>
    <t>108 CRYSTAL AVE W</t>
  </si>
  <si>
    <t>70 4TH ST</t>
  </si>
  <si>
    <t>184 PEMBINA ST</t>
  </si>
  <si>
    <t>44 8TH ST SE</t>
  </si>
  <si>
    <t>21 RIVER AVE</t>
  </si>
  <si>
    <t>630 RAE ST</t>
  </si>
  <si>
    <t>743 ROGERS ST</t>
  </si>
  <si>
    <t>36 THIRD ST</t>
  </si>
  <si>
    <t>21 4TH ST</t>
  </si>
  <si>
    <t>232 BROADWAY ST</t>
  </si>
  <si>
    <t>111 PATRICK ST</t>
  </si>
  <si>
    <t>72 KING ST</t>
  </si>
  <si>
    <t>170 VALHOP DR</t>
  </si>
  <si>
    <t>17 5TH ST</t>
  </si>
  <si>
    <t>347 FIRST ST</t>
  </si>
  <si>
    <t>65 2ND ST</t>
  </si>
  <si>
    <t>214 BROADWAY ST</t>
  </si>
  <si>
    <t>25 HOLLY ST</t>
  </si>
  <si>
    <t>214 BROADWAY ST S</t>
  </si>
  <si>
    <t>10-43-2</t>
  </si>
  <si>
    <t>222 FRASER ST</t>
  </si>
  <si>
    <t>18 2ND ST</t>
  </si>
  <si>
    <t>130 HWY 83 HWY N</t>
  </si>
  <si>
    <t>66 THIRD ST</t>
  </si>
  <si>
    <t>198 PARK AVE</t>
  </si>
  <si>
    <t>14 BIRCH ST</t>
  </si>
  <si>
    <t>613 VALLEY ST</t>
  </si>
  <si>
    <t>318 NINTH ST</t>
  </si>
  <si>
    <t>12 McKenzie RD</t>
  </si>
  <si>
    <t>147 ASPEN ST W</t>
  </si>
  <si>
    <t>146-148 MAYFAIR ST</t>
  </si>
  <si>
    <t>253 NISKU BAY</t>
  </si>
  <si>
    <t>338 JOHNSON ST</t>
  </si>
  <si>
    <t>313 EDITH ST</t>
  </si>
  <si>
    <t>18 THIRD AVE W</t>
  </si>
  <si>
    <t>407 1ST ST NW</t>
  </si>
  <si>
    <t>55 LILAC AVE E</t>
  </si>
  <si>
    <t>58 12TH ST</t>
  </si>
  <si>
    <t>86 WILLIAM AVE</t>
  </si>
  <si>
    <t>57 FIRST ST E</t>
  </si>
  <si>
    <t>19 FREEMAN BAY</t>
  </si>
  <si>
    <t>114 WILLIAM AVE</t>
  </si>
  <si>
    <t>13 FIRST ST E</t>
  </si>
  <si>
    <t>714 6TH AVE</t>
  </si>
  <si>
    <t>4 SPRUCE ST S</t>
  </si>
  <si>
    <t>13 MURRAY CRES</t>
  </si>
  <si>
    <t>334 GOSHEN AVE</t>
  </si>
  <si>
    <t>118 DOMINION ST</t>
  </si>
  <si>
    <t>316 FRASER ST N</t>
  </si>
  <si>
    <t>16 3RD ST</t>
  </si>
  <si>
    <t>35 POPLAR ST</t>
  </si>
  <si>
    <t>78 BEACONSFIELD AVE</t>
  </si>
  <si>
    <t>37 BRUCE ST</t>
  </si>
  <si>
    <t>155 BROADWAY ST</t>
  </si>
  <si>
    <t>253 LAKE AVE</t>
  </si>
  <si>
    <t>110 FOXFORD AVE E</t>
  </si>
  <si>
    <t>60 1ST ST</t>
  </si>
  <si>
    <t>21 BIRCH ST</t>
  </si>
  <si>
    <t>97 NORTH DR</t>
  </si>
  <si>
    <t>20-7134</t>
  </si>
  <si>
    <t>130 RUPERT AVE E</t>
  </si>
  <si>
    <t>118 3RD AVE NE</t>
  </si>
  <si>
    <t>29 4TH ST E</t>
  </si>
  <si>
    <t>41 SOUTH RAILWAY ST</t>
  </si>
  <si>
    <t>359 TIMMERMAN TRL</t>
  </si>
  <si>
    <t>91 KING ST</t>
  </si>
  <si>
    <t>314 GIRARD ST</t>
  </si>
  <si>
    <t>251 1ST AVE NW</t>
  </si>
  <si>
    <t>62 1ST ST</t>
  </si>
  <si>
    <t>211 LYALL ST</t>
  </si>
  <si>
    <t>99 BROADFOOT ST</t>
  </si>
  <si>
    <t>156 WILLIAM AVE</t>
  </si>
  <si>
    <t>202 3RD AVE SW</t>
  </si>
  <si>
    <t>135 Broadway</t>
  </si>
  <si>
    <t>207 KELLETT ST S</t>
  </si>
  <si>
    <t>536 BROADWAY ST</t>
  </si>
  <si>
    <t>44 KENNEDY RD</t>
  </si>
  <si>
    <t>131 RIVER ST</t>
  </si>
  <si>
    <t>306 LOVETT ST</t>
  </si>
  <si>
    <t>79 MINNEWAWA ST</t>
  </si>
  <si>
    <t>24 VINCENT AVE</t>
  </si>
  <si>
    <t>118 NORTH DR</t>
  </si>
  <si>
    <t>3 Main ST</t>
  </si>
  <si>
    <t>311 LOVETT ST S</t>
  </si>
  <si>
    <t>124025 Road 22 E</t>
  </si>
  <si>
    <t>94 FIRST ST S</t>
  </si>
  <si>
    <t>109 CHURCH ST</t>
  </si>
  <si>
    <t>522 BROADWAY ST</t>
  </si>
  <si>
    <t>44 4TH AVE SW</t>
  </si>
  <si>
    <t>435 2nd AVE</t>
  </si>
  <si>
    <t>21 MURRAY CRES</t>
  </si>
  <si>
    <t>221 CHURCHILL PL</t>
  </si>
  <si>
    <t>682 CHERRY ST</t>
  </si>
  <si>
    <t>273 FIRST ST W</t>
  </si>
  <si>
    <t>8 POWELL LANE</t>
  </si>
  <si>
    <t>39-7134</t>
  </si>
  <si>
    <t>366 SOMBRERO DR</t>
  </si>
  <si>
    <t>643 VALLEY ST</t>
  </si>
  <si>
    <t>75 DENNIS ST</t>
  </si>
  <si>
    <t>15 3rd ST</t>
  </si>
  <si>
    <t>258 HAMILTON ST</t>
  </si>
  <si>
    <t>24 8TH ST SE</t>
  </si>
  <si>
    <t>97 FIFTH ST</t>
  </si>
  <si>
    <t>308 NINTH ST</t>
  </si>
  <si>
    <t>353 ASPEN ST W</t>
  </si>
  <si>
    <t>125 COLLINS ST</t>
  </si>
  <si>
    <t>7-10-6</t>
  </si>
  <si>
    <t>218 5TH AVE NW</t>
  </si>
  <si>
    <t>179 GRIFFIN ST</t>
  </si>
  <si>
    <t>314 LOVETT ST S</t>
  </si>
  <si>
    <t>30 BRUCE ST</t>
  </si>
  <si>
    <t>29 THIRD AVE S</t>
  </si>
  <si>
    <t>219 NORTH RAILWAY AVE E</t>
  </si>
  <si>
    <t>8 Valcourt BAY</t>
  </si>
  <si>
    <t>85 SASKATCHEWAN HWY W</t>
  </si>
  <si>
    <t>118 BEACONSFIELD AVE</t>
  </si>
  <si>
    <t>142 WILLIAM AVE</t>
  </si>
  <si>
    <t>401 OCHRE AVE</t>
  </si>
  <si>
    <t>216 SIXTH ST</t>
  </si>
  <si>
    <t>236 SMITH ST</t>
  </si>
  <si>
    <t>15 WILSON ST</t>
  </si>
  <si>
    <t>306 ROSE AVE</t>
  </si>
  <si>
    <t>409 LOVETT ST S</t>
  </si>
  <si>
    <t>2 HOLLY ST</t>
  </si>
  <si>
    <t>13 MAIN ST</t>
  </si>
  <si>
    <t>316 LYALL ST</t>
  </si>
  <si>
    <t>18 SECOND ST</t>
  </si>
  <si>
    <t>196 PARK AVE</t>
  </si>
  <si>
    <t>34 VINCENT AVE</t>
  </si>
  <si>
    <t>121 SOURIS ST</t>
  </si>
  <si>
    <t>Sugarpoint Trail</t>
  </si>
  <si>
    <t>313 BROADWAY AVE</t>
  </si>
  <si>
    <t>33 DONAHOE AVE W</t>
  </si>
  <si>
    <t>216 BRADBURN ST</t>
  </si>
  <si>
    <t>165 CENTRE ST</t>
  </si>
  <si>
    <t>66 2 ND ST S</t>
  </si>
  <si>
    <t>172 DENNIS ST</t>
  </si>
  <si>
    <t>227 RICHMOND AVE N</t>
  </si>
  <si>
    <t>119 HAY ST S</t>
  </si>
  <si>
    <t>446 BROADWAY ST</t>
  </si>
  <si>
    <t>16 McKenzie RD</t>
  </si>
  <si>
    <t>159 PENTLAND ST</t>
  </si>
  <si>
    <t>41 LILAC AVE E</t>
  </si>
  <si>
    <t>1207 VINE ST</t>
  </si>
  <si>
    <t>3 FRONT ST</t>
  </si>
  <si>
    <t>21173 Road 124 NE</t>
  </si>
  <si>
    <t>49 THOMPSON DR</t>
  </si>
  <si>
    <t>73 ALEXANDER ST</t>
  </si>
  <si>
    <t>135 BLIGHT ST</t>
  </si>
  <si>
    <t>68 MCINTOSH ST</t>
  </si>
  <si>
    <t>37 BROWN ST</t>
  </si>
  <si>
    <t>306 LAKESHORE DR</t>
  </si>
  <si>
    <t>175 VETERANS-ASSINIBOINE ST W</t>
  </si>
  <si>
    <t>298 BOYNE ST</t>
  </si>
  <si>
    <t>12 FOURTH ST N</t>
  </si>
  <si>
    <t>3/4-4-516</t>
  </si>
  <si>
    <t>74 ELM ST</t>
  </si>
  <si>
    <t>16 IRVING ST W</t>
  </si>
  <si>
    <t>26--714</t>
  </si>
  <si>
    <t>138 BROADWAY ST</t>
  </si>
  <si>
    <t>141 BROADWAY ST</t>
  </si>
  <si>
    <t>51 THIRD ST</t>
  </si>
  <si>
    <t>16 SIXTH ST</t>
  </si>
  <si>
    <t>7 HUDSON DR</t>
  </si>
  <si>
    <t>321 GREENWAY ST S</t>
  </si>
  <si>
    <t>219 ELM DR</t>
  </si>
  <si>
    <t>315 JAMES ST</t>
  </si>
  <si>
    <t>128 JAMES AVE</t>
  </si>
  <si>
    <t>10 BIRCH ST</t>
  </si>
  <si>
    <t>DESC NW1-20-5W</t>
  </si>
  <si>
    <t>120 Melrose ST</t>
  </si>
  <si>
    <t>37 FIFTH ST</t>
  </si>
  <si>
    <t>725 VINE ST</t>
  </si>
  <si>
    <t>45 FRONT ST</t>
  </si>
  <si>
    <t>20 FIRST ST</t>
  </si>
  <si>
    <t>131-133 ROBESON ST</t>
  </si>
  <si>
    <t>23 REGGIE LEACH DR E</t>
  </si>
  <si>
    <t>117 THIRD AVE W</t>
  </si>
  <si>
    <t>83 3RD ST NE</t>
  </si>
  <si>
    <t>31 ELM ST</t>
  </si>
  <si>
    <t>58 WOODS AVE</t>
  </si>
  <si>
    <t>578 JOHNSON ST</t>
  </si>
  <si>
    <t>34 2ND ST</t>
  </si>
  <si>
    <t>200 OX CART TRL W</t>
  </si>
  <si>
    <t>191 VANZILE ST</t>
  </si>
  <si>
    <t>9 POPLAR ST</t>
  </si>
  <si>
    <t>346 South Railway AVE</t>
  </si>
  <si>
    <t>2--4653</t>
  </si>
  <si>
    <t>61 2ND ST</t>
  </si>
  <si>
    <t>56 ARGYLE ST</t>
  </si>
  <si>
    <t>10 BETTY ST</t>
  </si>
  <si>
    <t>116 CHRISTIE ST</t>
  </si>
  <si>
    <t>101 STUART AVE</t>
  </si>
  <si>
    <t>203 WADDELL AVE W</t>
  </si>
  <si>
    <t>337 SOURIS AVE</t>
  </si>
  <si>
    <t>83 MAIN ST</t>
  </si>
  <si>
    <t>8 2ND ST</t>
  </si>
  <si>
    <t>70 NORFOLK ST</t>
  </si>
  <si>
    <t>195 GRIFFIN ST</t>
  </si>
  <si>
    <t>57131 PR 542 &amp; RD 172W</t>
  </si>
  <si>
    <t>120 CORNWALL ST</t>
  </si>
  <si>
    <t>217 BEVERIDGE AVE</t>
  </si>
  <si>
    <t>137 3RD AVE NE</t>
  </si>
  <si>
    <t>5 SPRUCE ST S</t>
  </si>
  <si>
    <t>7-1-12373</t>
  </si>
  <si>
    <t>301 LYALL ST</t>
  </si>
  <si>
    <t>120 PATRICK ST</t>
  </si>
  <si>
    <t>26 DOBBYN ST</t>
  </si>
  <si>
    <t>24 SPRUCE ST</t>
  </si>
  <si>
    <t>123 ELM ST</t>
  </si>
  <si>
    <t>10 JOHNSON AVE</t>
  </si>
  <si>
    <t>78 1st AVE S</t>
  </si>
  <si>
    <t>41--7134</t>
  </si>
  <si>
    <t>36 THIRD AVE E</t>
  </si>
  <si>
    <t>570 JOHNSON ST</t>
  </si>
  <si>
    <t>48 2ND ST</t>
  </si>
  <si>
    <t>63 SCOTT ST</t>
  </si>
  <si>
    <t>14 4TH ST SE</t>
  </si>
  <si>
    <t>22 VINCENT AVE</t>
  </si>
  <si>
    <t>89 Wonderland DR</t>
  </si>
  <si>
    <t>19 SECOND ST E</t>
  </si>
  <si>
    <t>11 FIRST AVE SW</t>
  </si>
  <si>
    <t>8 SPRUCE ST S</t>
  </si>
  <si>
    <t>410 FINLAY ST</t>
  </si>
  <si>
    <t>172 KING ST</t>
  </si>
  <si>
    <t>334 BEVERIDGE AVE</t>
  </si>
  <si>
    <t>61 1ST ST</t>
  </si>
  <si>
    <t>10 MANN PL</t>
  </si>
  <si>
    <t>114 DONALD AVE</t>
  </si>
  <si>
    <t>209 RICHMOND AVE N</t>
  </si>
  <si>
    <t>45 BETTY ST</t>
  </si>
  <si>
    <t>20 WOODS AVE</t>
  </si>
  <si>
    <t>212 LAKESHORE DR</t>
  </si>
  <si>
    <t>121 ASPEN ST E</t>
  </si>
  <si>
    <t>212 EVENSON ST</t>
  </si>
  <si>
    <t>336 CHERRY ST</t>
  </si>
  <si>
    <t>10 McIntyre ST</t>
  </si>
  <si>
    <t>305 STUART AVE</t>
  </si>
  <si>
    <t>401 CAVERS ST S</t>
  </si>
  <si>
    <t>8 CHERRY ST</t>
  </si>
  <si>
    <t>111 NORTH DR</t>
  </si>
  <si>
    <t>71 5TH ST</t>
  </si>
  <si>
    <t>114 BROADWAY ST</t>
  </si>
  <si>
    <t>68 OLYMPIC CRES</t>
  </si>
  <si>
    <t>210 WILLIAM AVE</t>
  </si>
  <si>
    <t>228 DUFFERIN AVE</t>
  </si>
  <si>
    <t>306 KERBY AVE</t>
  </si>
  <si>
    <t>301 Lake ST S</t>
  </si>
  <si>
    <t>16 1ST AVE</t>
  </si>
  <si>
    <t>601 MCKENZIE ST N</t>
  </si>
  <si>
    <t>68 MORRIS ST N</t>
  </si>
  <si>
    <t>12 Elm CRES</t>
  </si>
  <si>
    <t>72 SIXTH ST</t>
  </si>
  <si>
    <t>414 CHERRY ST</t>
  </si>
  <si>
    <t>21 FIFTH ST</t>
  </si>
  <si>
    <t>46 NORTH ST</t>
  </si>
  <si>
    <t>238 LAKE  DR W</t>
  </si>
  <si>
    <t>198 VALHOP DR</t>
  </si>
  <si>
    <t>25 2ND AVE S</t>
  </si>
  <si>
    <t>132 POPLAR ST</t>
  </si>
  <si>
    <t>509 BROADWAY ST</t>
  </si>
  <si>
    <t>43 MINNEWAWA ST</t>
  </si>
  <si>
    <t>23 HOLLY ST</t>
  </si>
  <si>
    <t>98 BEACONSFIELD AVE</t>
  </si>
  <si>
    <t>810 7TH AVE</t>
  </si>
  <si>
    <t>377 JOHNSON ST</t>
  </si>
  <si>
    <t>11 POPLAR AVE</t>
  </si>
  <si>
    <t>135 ANDERSON ST</t>
  </si>
  <si>
    <t>317 MANIPOGO BEACH RD</t>
  </si>
  <si>
    <t>662 BROADWAY ST</t>
  </si>
  <si>
    <t>24 ASH DR</t>
  </si>
  <si>
    <t>328 CAMERON ST W</t>
  </si>
  <si>
    <t>11 Second ST</t>
  </si>
  <si>
    <t>137 PATRICK ST</t>
  </si>
  <si>
    <t>13 SPRUCE ST S</t>
  </si>
  <si>
    <t>258 BOYNE ST</t>
  </si>
  <si>
    <t>126 RUSSELL ST</t>
  </si>
  <si>
    <t>700 6TH ST</t>
  </si>
  <si>
    <t>14 6TH ST SE</t>
  </si>
  <si>
    <t>31 7TH ST SE</t>
  </si>
  <si>
    <t>64 MINNEWAWA ST</t>
  </si>
  <si>
    <t>119 SUMMIT ST</t>
  </si>
  <si>
    <t>17 FRONT ST</t>
  </si>
  <si>
    <t>159 GINN AVE W</t>
  </si>
  <si>
    <t>42 RAILWAY AVE</t>
  </si>
  <si>
    <t>219 MOUNTAIN ST S</t>
  </si>
  <si>
    <t>5 WALTER THOMAS DR</t>
  </si>
  <si>
    <t>20 Poplar BAY</t>
  </si>
  <si>
    <t>96 REGGIE LEACH DR</t>
  </si>
  <si>
    <t>341 PTH #83 HWY N</t>
  </si>
  <si>
    <t>584 STRUTHERS ST</t>
  </si>
  <si>
    <t>44 1ST ST</t>
  </si>
  <si>
    <t>51 BLIGHT ST</t>
  </si>
  <si>
    <t>87 KING ST</t>
  </si>
  <si>
    <t>407 COOK ST</t>
  </si>
  <si>
    <t>21 4TH ST E</t>
  </si>
  <si>
    <t>143 DENNIS ST W</t>
  </si>
  <si>
    <t>32 IRVING ST W</t>
  </si>
  <si>
    <t>215 PERRIE AVE</t>
  </si>
  <si>
    <t>59 3RD ST</t>
  </si>
  <si>
    <t>116 HELGASON AVE E</t>
  </si>
  <si>
    <t>11121 PTH 23 W</t>
  </si>
  <si>
    <t>235 SECOND ST</t>
  </si>
  <si>
    <t>65 COLLINS ST</t>
  </si>
  <si>
    <t>415 BROADWAY ST S</t>
  </si>
  <si>
    <t>242 CENTENNIAL CRES</t>
  </si>
  <si>
    <t>201 SOUTH RAILWAY AVE</t>
  </si>
  <si>
    <t>94 8TH ST SE</t>
  </si>
  <si>
    <t>93 WALTER THOMAS DR</t>
  </si>
  <si>
    <t>312 OAKO BEACH DR</t>
  </si>
  <si>
    <t>625 JOHNSON ST</t>
  </si>
  <si>
    <t>34 2ND AVE S</t>
  </si>
  <si>
    <t>429 KERBY AVE</t>
  </si>
  <si>
    <t>61 5TH ST NE</t>
  </si>
  <si>
    <t>8 EAGLE WAY</t>
  </si>
  <si>
    <t>22 CHURCH AVE</t>
  </si>
  <si>
    <t>167 PENTLAND ST</t>
  </si>
  <si>
    <t>123 ARTHUR ST</t>
  </si>
  <si>
    <t>111 JORDAN ST E</t>
  </si>
  <si>
    <t>39 OAK AVE E</t>
  </si>
  <si>
    <t>205 MAIN ST N</t>
  </si>
  <si>
    <t>1--46060</t>
  </si>
  <si>
    <t>110 MOUNTAIN ST N</t>
  </si>
  <si>
    <t>414 LOVETT ST S</t>
  </si>
  <si>
    <t>32 SOM BEACH RD</t>
  </si>
  <si>
    <t>187  STAMMEN DR</t>
  </si>
  <si>
    <t>30 CRYSTAL AVE E</t>
  </si>
  <si>
    <t>118 KELSEY BAY</t>
  </si>
  <si>
    <t>224 NINTH ST</t>
  </si>
  <si>
    <t>13 AUSSI DR N</t>
  </si>
  <si>
    <t>155 WILLIAM AVE</t>
  </si>
  <si>
    <t>518 SECOND AVE</t>
  </si>
  <si>
    <t>707 BIRTLE ST</t>
  </si>
  <si>
    <t>178 OX CART TRL W</t>
  </si>
  <si>
    <t>137 MAPLE AVE E</t>
  </si>
  <si>
    <t>27 First AVE N</t>
  </si>
  <si>
    <t>132 CAMERON ST E</t>
  </si>
  <si>
    <t>181 CYPRESS AVE</t>
  </si>
  <si>
    <t>43 SOUTH RAILWAY ST</t>
  </si>
  <si>
    <t>428 OAKO BEACH DR</t>
  </si>
  <si>
    <t>51 Saskatchewan ST</t>
  </si>
  <si>
    <t>121 LUXTON AVE E</t>
  </si>
  <si>
    <t>654 EGAN ST</t>
  </si>
  <si>
    <t>306 FIRST ST</t>
  </si>
  <si>
    <t>137 SEVENTH ST</t>
  </si>
  <si>
    <t>250 3RD AVE NW</t>
  </si>
  <si>
    <t>219 MCKENZIE ST S</t>
  </si>
  <si>
    <t>A--62478</t>
  </si>
  <si>
    <t>43 FOURTH ST</t>
  </si>
  <si>
    <t>40-7134</t>
  </si>
  <si>
    <t>690 BROADWAY ST</t>
  </si>
  <si>
    <t>112 MCKENZIE ST S</t>
  </si>
  <si>
    <t>18 GRANGE ST</t>
  </si>
  <si>
    <t>118 NORTH ST</t>
  </si>
  <si>
    <t>25 SECOND AVE</t>
  </si>
  <si>
    <t>60 4TH AVE SW</t>
  </si>
  <si>
    <t>122 ANDERSON ST S</t>
  </si>
  <si>
    <t>138 FIRST AVE</t>
  </si>
  <si>
    <t>51 BROADWAY ST</t>
  </si>
  <si>
    <t>167 JAMES AVE</t>
  </si>
  <si>
    <t>214 CAVENDISH ST N</t>
  </si>
  <si>
    <t>410 LAKE ST</t>
  </si>
  <si>
    <t>113 DUNCAN ST</t>
  </si>
  <si>
    <t>163 LAKE AVE</t>
  </si>
  <si>
    <t>1108 HILL ST</t>
  </si>
  <si>
    <t>247 EDITH ST</t>
  </si>
  <si>
    <t>246 THIRD ST</t>
  </si>
  <si>
    <t>42 THIRD AVE E</t>
  </si>
  <si>
    <t>18 RAILWAY AVE</t>
  </si>
  <si>
    <t>51 MAIN ST</t>
  </si>
  <si>
    <t>16 FIRST ST</t>
  </si>
  <si>
    <t>2 ELEVATOR ST</t>
  </si>
  <si>
    <t>322 DUFFERIN AVE</t>
  </si>
  <si>
    <t>133 3rd AVE SW</t>
  </si>
  <si>
    <t>302 CAVERS ST</t>
  </si>
  <si>
    <t>50 8TH ST SE</t>
  </si>
  <si>
    <t>17 3RD ST</t>
  </si>
  <si>
    <t>243 PARK AVE</t>
  </si>
  <si>
    <t>117 JAMES ST</t>
  </si>
  <si>
    <t>105 MAIN ST N</t>
  </si>
  <si>
    <t>702 SECOND AVE</t>
  </si>
  <si>
    <t>210 SOURIS ST</t>
  </si>
  <si>
    <t>33 Maple DR</t>
  </si>
  <si>
    <t>72 11TH ST</t>
  </si>
  <si>
    <t>6 Lindell DR</t>
  </si>
  <si>
    <t>714 ROGERS ST</t>
  </si>
  <si>
    <t>327 PTH #83 HWY N</t>
  </si>
  <si>
    <t>411 SOUTH CHESTNUT ST</t>
  </si>
  <si>
    <t>30 ASH DR</t>
  </si>
  <si>
    <t>108 KELSEY BAY</t>
  </si>
  <si>
    <t>114 KELSEY BAY</t>
  </si>
  <si>
    <t>122 KELSEY BAY</t>
  </si>
  <si>
    <t>128 KELSEY BAY</t>
  </si>
  <si>
    <t>127 MAPLE AVE E</t>
  </si>
  <si>
    <t>35 SECOND AVE</t>
  </si>
  <si>
    <t>39 WINNIPEG ST</t>
  </si>
  <si>
    <t>13 CRYSTAL AVE W</t>
  </si>
  <si>
    <t>235 NORTH RAILWAY AVE E</t>
  </si>
  <si>
    <t>600 RAE ST</t>
  </si>
  <si>
    <t>194 PEMBINA ST</t>
  </si>
  <si>
    <t>511 SOURIS AVE</t>
  </si>
  <si>
    <t>82 2ND ST NE</t>
  </si>
  <si>
    <t>65 LILAC AVE E</t>
  </si>
  <si>
    <t>114 HANEY AVE E</t>
  </si>
  <si>
    <t>57 6TH ST SE</t>
  </si>
  <si>
    <t>129 Princess AVE</t>
  </si>
  <si>
    <t>238 JOHNSTON AVE</t>
  </si>
  <si>
    <t>326 ASPEN ST W</t>
  </si>
  <si>
    <t>294 GRIFFIN ST</t>
  </si>
  <si>
    <t>339 1st AVE</t>
  </si>
  <si>
    <t>104 3RD ST SE</t>
  </si>
  <si>
    <t>373 GOSCHEN AVE</t>
  </si>
  <si>
    <t>331 MOFFAT AVE</t>
  </si>
  <si>
    <t>518 COOK ST</t>
  </si>
  <si>
    <t>108 SOUTH CHESTNUT ST</t>
  </si>
  <si>
    <t>110 CAMERON ST W</t>
  </si>
  <si>
    <t>52 BROADWAY ST</t>
  </si>
  <si>
    <t>110 LAWLOR AVE</t>
  </si>
  <si>
    <t>83 Wonderland DR</t>
  </si>
  <si>
    <t>139 FORD ST</t>
  </si>
  <si>
    <t>27-7134</t>
  </si>
  <si>
    <t>301 RENTON AVE</t>
  </si>
  <si>
    <t>17 CHURCH ST</t>
  </si>
  <si>
    <t>111 MOUNTAIN ST S</t>
  </si>
  <si>
    <t>411 LAKE ST</t>
  </si>
  <si>
    <t>39 MINNEWAWA ST</t>
  </si>
  <si>
    <t>211 LAKE AVE</t>
  </si>
  <si>
    <t>123 DOMINION ST</t>
  </si>
  <si>
    <t>116 CHRISTENSEN BEACH DR</t>
  </si>
  <si>
    <t>519 BROADWAY ST</t>
  </si>
  <si>
    <t>204 BOYNE ST</t>
  </si>
  <si>
    <t>28 1ST ST</t>
  </si>
  <si>
    <t>44 BROADWAY ST</t>
  </si>
  <si>
    <t>131 BARR ST</t>
  </si>
  <si>
    <t>206 RAILWAY AVE E</t>
  </si>
  <si>
    <t>144 MATTONNABEE AVE</t>
  </si>
  <si>
    <t>20 FOURTH ST</t>
  </si>
  <si>
    <t>321 NORTON AVE</t>
  </si>
  <si>
    <t>219 BROADWAY ST S</t>
  </si>
  <si>
    <t>125 MORRIS ST</t>
  </si>
  <si>
    <t>124 SIXTH ST</t>
  </si>
  <si>
    <t>11 HOLLY ST</t>
  </si>
  <si>
    <t>305 ANDERSON ST</t>
  </si>
  <si>
    <t>213 FRASER ST</t>
  </si>
  <si>
    <t>553 EGAN ST</t>
  </si>
  <si>
    <t>66 Saskatchewan ST</t>
  </si>
  <si>
    <t>16 ASH DR</t>
  </si>
  <si>
    <t>132 CHURCH ST</t>
  </si>
  <si>
    <t>213 MOUNTAIN ST</t>
  </si>
  <si>
    <t>456 KENT ST</t>
  </si>
  <si>
    <t>DESC 1/4&amp;17/20-20-489</t>
  </si>
  <si>
    <t>166 VALHOP DR</t>
  </si>
  <si>
    <t>246 FIFTH ST</t>
  </si>
  <si>
    <t>82 KLONDIKE AVE</t>
  </si>
  <si>
    <t>413 LYALL ST</t>
  </si>
  <si>
    <t>32 ELM ST</t>
  </si>
  <si>
    <t>305 CHRISTIE ST</t>
  </si>
  <si>
    <t>28 4TH ST NE</t>
  </si>
  <si>
    <t>55 RIVER ST</t>
  </si>
  <si>
    <t>233 MOFFAT AVE</t>
  </si>
  <si>
    <t>657 RAE ST</t>
  </si>
  <si>
    <t>42 Letain ST</t>
  </si>
  <si>
    <t>115 NORTH DR</t>
  </si>
  <si>
    <t>11 BARIL AVE</t>
  </si>
  <si>
    <t>84 KENNEDY RD</t>
  </si>
  <si>
    <t>118 2ND AVE</t>
  </si>
  <si>
    <t>109 SOUTH RAILWAY AVE</t>
  </si>
  <si>
    <t>10 MAPLE ST</t>
  </si>
  <si>
    <t>64 RAILWAY AVE</t>
  </si>
  <si>
    <t>17 FOURTH ST</t>
  </si>
  <si>
    <t>39 SUNWEST DR</t>
  </si>
  <si>
    <t>17 2ND ST</t>
  </si>
  <si>
    <t>157 5TH AVE SW</t>
  </si>
  <si>
    <t>244 CENTENNIAL CRES</t>
  </si>
  <si>
    <t>66 ALICE RD</t>
  </si>
  <si>
    <t>316 BROADWAY AVE</t>
  </si>
  <si>
    <t>126 CONKLIN ST N</t>
  </si>
  <si>
    <t>304 3RD ST NW</t>
  </si>
  <si>
    <t>88 2ND ST NE</t>
  </si>
  <si>
    <t>87 Second ST S</t>
  </si>
  <si>
    <t>DESC 21-7134</t>
  </si>
  <si>
    <t>110 O"BRIEN AVE E</t>
  </si>
  <si>
    <t>316 OAKO BEACH DR</t>
  </si>
  <si>
    <t>27 2ND AVE S</t>
  </si>
  <si>
    <t>241 Miniota RD</t>
  </si>
  <si>
    <t>231 SEVENTH ST</t>
  </si>
  <si>
    <t>29 South Railway ST</t>
  </si>
  <si>
    <t>6 MANITOBA AVE</t>
  </si>
  <si>
    <t>71 THIRD ST</t>
  </si>
  <si>
    <t>23 2ND AVE S</t>
  </si>
  <si>
    <t>131 RUSSELL ST</t>
  </si>
  <si>
    <t>21 FIRST ST E</t>
  </si>
  <si>
    <t>195 PEMBINA ST</t>
  </si>
  <si>
    <t>334 4TH AVE NW</t>
  </si>
  <si>
    <t>108 MOUNTAIN ST S</t>
  </si>
  <si>
    <t>219 CAVERS ST S</t>
  </si>
  <si>
    <t>142 MOUND AVE</t>
  </si>
  <si>
    <t>23 CRYSTAL AVE W</t>
  </si>
  <si>
    <t>703 ROGERS ST</t>
  </si>
  <si>
    <t>129 DUCKER ST</t>
  </si>
  <si>
    <t>51 12TH ST</t>
  </si>
  <si>
    <t>81 Balaton BAY</t>
  </si>
  <si>
    <t>138 2ND AVE W</t>
  </si>
  <si>
    <t>18-1-425P</t>
  </si>
  <si>
    <t>310 MURRAY AVE</t>
  </si>
  <si>
    <t>127 PATRICK ST</t>
  </si>
  <si>
    <t>86 REGGIE LEACH DR</t>
  </si>
  <si>
    <t>202 6TH AVE SW</t>
  </si>
  <si>
    <t>511 THOMPSON ST</t>
  </si>
  <si>
    <t>18 FOURTH ST</t>
  </si>
  <si>
    <t>215 6TH AVE NW</t>
  </si>
  <si>
    <t>113 VETERANS WAY</t>
  </si>
  <si>
    <t>205 MCKENZIE AVE S</t>
  </si>
  <si>
    <t>437 BROADWAY ST</t>
  </si>
  <si>
    <t>15 BIRCH ST</t>
  </si>
  <si>
    <t>1120 WOODBURN ST</t>
  </si>
  <si>
    <t>87 MCDONALD DR</t>
  </si>
  <si>
    <t>22 2ND AVE</t>
  </si>
  <si>
    <t>47 4TH AVE S</t>
  </si>
  <si>
    <t>164 NORTH RAILWAY ST</t>
  </si>
  <si>
    <t>414 SABOURIN ST</t>
  </si>
  <si>
    <t>151 FRANKLIN AVE W</t>
  </si>
  <si>
    <t>41 HENRY AVE</t>
  </si>
  <si>
    <t>361 COOK ST</t>
  </si>
  <si>
    <t>125 DONALD AVE</t>
  </si>
  <si>
    <t>114 Montleith</t>
  </si>
  <si>
    <t>102 MOUNTAIN ST N</t>
  </si>
  <si>
    <t>72 MCINTOSH ST</t>
  </si>
  <si>
    <t>124065 Road 22 E</t>
  </si>
  <si>
    <t>78 LAKEVIEW DR</t>
  </si>
  <si>
    <t>330 OAK DR</t>
  </si>
  <si>
    <t>392 VETERANS-ASSINIBOINE ST W</t>
  </si>
  <si>
    <t>1138 WOODBURN ST</t>
  </si>
  <si>
    <t>1214 VINE ST</t>
  </si>
  <si>
    <t>114 Wonderland DR</t>
  </si>
  <si>
    <t>126 MORRIS ST</t>
  </si>
  <si>
    <t>123 3RD AVE SW</t>
  </si>
  <si>
    <t>3 Campbell ST</t>
  </si>
  <si>
    <t>120 BARR ST</t>
  </si>
  <si>
    <t>80 9TH ST SE</t>
  </si>
  <si>
    <t>146 BEVERIDGE AVE</t>
  </si>
  <si>
    <t>513 COOK ST</t>
  </si>
  <si>
    <t>313 CHRISTIE ST</t>
  </si>
  <si>
    <t>DESC 3/4-10-631</t>
  </si>
  <si>
    <t>104 NORTH ST</t>
  </si>
  <si>
    <t>162 WADDELL AVE W</t>
  </si>
  <si>
    <t>64 2ND ST</t>
  </si>
  <si>
    <t>120 ARTHUR ST</t>
  </si>
  <si>
    <t>225 LAKE AVE</t>
  </si>
  <si>
    <t>50 NORTH ST</t>
  </si>
  <si>
    <t>10 SPRUCE AVE S</t>
  </si>
  <si>
    <t>21 HOLLY ST</t>
  </si>
  <si>
    <t>49 CENTRE ST</t>
  </si>
  <si>
    <t>10 MAIN ST</t>
  </si>
  <si>
    <t>362 ASPEN ST W</t>
  </si>
  <si>
    <t>201 CAVERS ST S</t>
  </si>
  <si>
    <t>86 MCINTOSH AVE</t>
  </si>
  <si>
    <t>17 BIRCH ST</t>
  </si>
  <si>
    <t>59 4TH ST</t>
  </si>
  <si>
    <t>62 KENNEDY RD</t>
  </si>
  <si>
    <t>305 PTH # 83 HWY N</t>
  </si>
  <si>
    <t>330 MCKENZIE ST S</t>
  </si>
  <si>
    <t>44 COLLINS ST</t>
  </si>
  <si>
    <t>122 LETAIN ST</t>
  </si>
  <si>
    <t>110 MAHARG AVE W</t>
  </si>
  <si>
    <t>150 POPLAR ST</t>
  </si>
  <si>
    <t>24 CHRISTENSEN BEACH RD</t>
  </si>
  <si>
    <t>22 2ND AVE S</t>
  </si>
  <si>
    <t>124063 Road 22 E</t>
  </si>
  <si>
    <t>9 South Railway ST</t>
  </si>
  <si>
    <t>187 DUFFERIN ST</t>
  </si>
  <si>
    <t>325 SOURIS AVE</t>
  </si>
  <si>
    <t>111 PR 265  E</t>
  </si>
  <si>
    <t>114 REGGIE LEACH DR</t>
  </si>
  <si>
    <t>207 RUPERT AVE E</t>
  </si>
  <si>
    <t>124 LUXTON AVE E</t>
  </si>
  <si>
    <t>328 MAIN ST W</t>
  </si>
  <si>
    <t>13 CHURCH AVE</t>
  </si>
  <si>
    <t>DESC 4-2-23092</t>
  </si>
  <si>
    <t>223 FIRST ST W</t>
  </si>
  <si>
    <t>3 SPRUCE ST</t>
  </si>
  <si>
    <t>93 BIRCH AVE E</t>
  </si>
  <si>
    <t>38 FOURTH ST</t>
  </si>
  <si>
    <t>47 ALEXANDER ST</t>
  </si>
  <si>
    <t>306 DUDLEY ST</t>
  </si>
  <si>
    <t>17 DOBBYN ST</t>
  </si>
  <si>
    <t>653 EGAN ST</t>
  </si>
  <si>
    <t>307 MARY ST</t>
  </si>
  <si>
    <t>Garrick AVE</t>
  </si>
  <si>
    <t>408 LOVETT ST S</t>
  </si>
  <si>
    <t>143 Wonderland DR</t>
  </si>
  <si>
    <t>139 DENNIS ST</t>
  </si>
  <si>
    <t>41 11TH ST N</t>
  </si>
  <si>
    <t>36 1ST ST E</t>
  </si>
  <si>
    <t>129 THIRD ST</t>
  </si>
  <si>
    <t>125 Stanmore ST</t>
  </si>
  <si>
    <t>424 BROADWAY ST S</t>
  </si>
  <si>
    <t>402 CAVERS ST S</t>
  </si>
  <si>
    <t>320 BEVERIDGE AVE</t>
  </si>
  <si>
    <t>218 MACHRAY AVE E</t>
  </si>
  <si>
    <t>4 THIRD AVE W</t>
  </si>
  <si>
    <t>18 BARIL AVE</t>
  </si>
  <si>
    <t>311 BUCKINGHAM ST</t>
  </si>
  <si>
    <t>134 BLIGHT ST</t>
  </si>
  <si>
    <t>132 4TH ST</t>
  </si>
  <si>
    <t>79 FOURTH ST</t>
  </si>
  <si>
    <t>642 BIRTLE ST</t>
  </si>
  <si>
    <t>302 RICHMOND AVE S</t>
  </si>
  <si>
    <t>224 LAKESHORE DR</t>
  </si>
  <si>
    <t>128 DONALD AVE</t>
  </si>
  <si>
    <t>414 LAKE ST</t>
  </si>
  <si>
    <t>77 MINNEWAWA ST</t>
  </si>
  <si>
    <t>92 FIFTH ST</t>
  </si>
  <si>
    <t>189 Louisa AVE W</t>
  </si>
  <si>
    <t>20163 Road 130 NE</t>
  </si>
  <si>
    <t>14 SOM BEACH RD</t>
  </si>
  <si>
    <t>204 RICHMOND AVE S</t>
  </si>
  <si>
    <t>81 CAMPBELL ST</t>
  </si>
  <si>
    <t>356 EDITH ST</t>
  </si>
  <si>
    <t>118 4TH AVE NW</t>
  </si>
  <si>
    <t>43 McDonald DR</t>
  </si>
  <si>
    <t>420 BROADWAY ST S</t>
  </si>
  <si>
    <t>200 RIVER ST</t>
  </si>
  <si>
    <t>640 FINDLAY ST</t>
  </si>
  <si>
    <t>26 NARROWS AVE</t>
  </si>
  <si>
    <t>111 KILDARE ST</t>
  </si>
  <si>
    <t>56 5TH ST NE</t>
  </si>
  <si>
    <t>9 IRVING ST W</t>
  </si>
  <si>
    <t>347 3RD AVE NW</t>
  </si>
  <si>
    <t>242 WREN AVE W</t>
  </si>
  <si>
    <t>3-2-14225</t>
  </si>
  <si>
    <t>4-2-14225</t>
  </si>
  <si>
    <t>108 CONKLIN ST N</t>
  </si>
  <si>
    <t>43 BROADWAY ST</t>
  </si>
  <si>
    <t>132 SASKATCHEWAN HWY W</t>
  </si>
  <si>
    <t>65 MAIN ST</t>
  </si>
  <si>
    <t>145 DOMINION ST</t>
  </si>
  <si>
    <t>208 SIXTH ST</t>
  </si>
  <si>
    <t>236 VETERANS-ASSINIBOINE ST W</t>
  </si>
  <si>
    <t>352 TIMMERMAN TRL</t>
  </si>
  <si>
    <t>410 BROADWAY  ST S</t>
  </si>
  <si>
    <t>319 LOVETT ST S</t>
  </si>
  <si>
    <t>140 DONAHOE AVE E</t>
  </si>
  <si>
    <t>325 SOUTH CHESTNUT ST</t>
  </si>
  <si>
    <t>202 BROADWAY ST S</t>
  </si>
  <si>
    <t>87 PARK AVE</t>
  </si>
  <si>
    <t>10 BROWN ST S</t>
  </si>
  <si>
    <t>127 SECOND ST</t>
  </si>
  <si>
    <t>101 3RD AVE NE</t>
  </si>
  <si>
    <t>708 4TH AVE</t>
  </si>
  <si>
    <t>66 2ND ST NE</t>
  </si>
  <si>
    <t>75 FOURTH ST</t>
  </si>
  <si>
    <t>22 RIVER AVE</t>
  </si>
  <si>
    <t>603 NORTH RAILWAY AVE</t>
  </si>
  <si>
    <t>153 LAKE AVE</t>
  </si>
  <si>
    <t>62 FOURTH ST</t>
  </si>
  <si>
    <t>420 NORQUAY ST</t>
  </si>
  <si>
    <t>558 STEPHEN ST</t>
  </si>
  <si>
    <t>83 McDonald DR</t>
  </si>
  <si>
    <t>308 GOULD AVE</t>
  </si>
  <si>
    <t>16 THIRD ST N</t>
  </si>
  <si>
    <t>1056 ST CLARE ST</t>
  </si>
  <si>
    <t>362 STEPHEN ST</t>
  </si>
  <si>
    <t>412 THIRD ST</t>
  </si>
  <si>
    <t>11 BIRCH ST</t>
  </si>
  <si>
    <t>112 GRANGE ST</t>
  </si>
  <si>
    <t>39 GOVERNMENT RD</t>
  </si>
  <si>
    <t>317 MOFFAT AVE</t>
  </si>
  <si>
    <t>106 MAIN ST</t>
  </si>
  <si>
    <t>64 ASH ST</t>
  </si>
  <si>
    <t>108 QUEENS RD E</t>
  </si>
  <si>
    <t>224 VETERANS-ASSINIBOINE ST W</t>
  </si>
  <si>
    <t>7 ORIOLE DR</t>
  </si>
  <si>
    <t>306 DONALD AVE</t>
  </si>
  <si>
    <t>104 MAHARG AVE W</t>
  </si>
  <si>
    <t>56 7TH ST SE</t>
  </si>
  <si>
    <t>461 BROADWAY ST</t>
  </si>
  <si>
    <t>194 DUFFERIN ST</t>
  </si>
  <si>
    <t>201 FOURTH AVE W</t>
  </si>
  <si>
    <t>207 GRANGE ST</t>
  </si>
  <si>
    <t>370 STEPHEN ST</t>
  </si>
  <si>
    <t>42 4TH AVE</t>
  </si>
  <si>
    <t>43 12TH ST</t>
  </si>
  <si>
    <t>715 6TH AVE</t>
  </si>
  <si>
    <t>111 MOUNTAIN ST N</t>
  </si>
  <si>
    <t>28 8TH ST SE</t>
  </si>
  <si>
    <t>100 MAPLE ST</t>
  </si>
  <si>
    <t>147 MAIN ST</t>
  </si>
  <si>
    <t>449 BROADWAY ST</t>
  </si>
  <si>
    <t>33 3RD ST</t>
  </si>
  <si>
    <t>63 Saskatchewan ST</t>
  </si>
  <si>
    <t>180 BOYNE ST</t>
  </si>
  <si>
    <t>127 BLIGHT ST</t>
  </si>
  <si>
    <t>409 YORK ST</t>
  </si>
  <si>
    <t>157 CHURCHILL PL</t>
  </si>
  <si>
    <t>219 THIRD ST</t>
  </si>
  <si>
    <t>722 6TH AVE</t>
  </si>
  <si>
    <t>358 VETERANS-ASSINIBOINE ST E</t>
  </si>
  <si>
    <t>133 BARR ST</t>
  </si>
  <si>
    <t>51 5TH ST SE</t>
  </si>
  <si>
    <t>181 MAPLE AVE E</t>
  </si>
  <si>
    <t>585 JOLYS AVE E</t>
  </si>
  <si>
    <t>124 PARK ST</t>
  </si>
  <si>
    <t>50 WINNIPEG ST</t>
  </si>
  <si>
    <t>PR 246</t>
  </si>
  <si>
    <t>183 DUFFERIN ST</t>
  </si>
  <si>
    <t>710 6TH AVE</t>
  </si>
  <si>
    <t>32/34-1-776</t>
  </si>
  <si>
    <t>153 JOHNSTON AVE</t>
  </si>
  <si>
    <t>313 RAILWAY ST</t>
  </si>
  <si>
    <t>11127 PTH 23  W</t>
  </si>
  <si>
    <t>28 MAIN ST</t>
  </si>
  <si>
    <t>459 KERBY AVE</t>
  </si>
  <si>
    <t>86 6TH ST SE</t>
  </si>
  <si>
    <t>18 8TH ST SE</t>
  </si>
  <si>
    <t>123 CHURCHILL PL</t>
  </si>
  <si>
    <t>105 DONAHOE AVE E</t>
  </si>
  <si>
    <t>370 JOHNSON ST</t>
  </si>
  <si>
    <t>167 RAILWAY AVE</t>
  </si>
  <si>
    <t>10 3RD AVE N</t>
  </si>
  <si>
    <t>324 NORQUAY ST</t>
  </si>
  <si>
    <t>225 THIRD ST</t>
  </si>
  <si>
    <t>114 2ND AVE NW</t>
  </si>
  <si>
    <t>107 PTH 83 HWY S</t>
  </si>
  <si>
    <t>309 BROADWAY ST N</t>
  </si>
  <si>
    <t>202 KING ST</t>
  </si>
  <si>
    <t>378 JOHNSON ST</t>
  </si>
  <si>
    <t>369 7TH ST</t>
  </si>
  <si>
    <t>177 NELSON CRES</t>
  </si>
  <si>
    <t>61 FIRST AVE S</t>
  </si>
  <si>
    <t>206 LAKE DR W</t>
  </si>
  <si>
    <t>46 MAIN ST S</t>
  </si>
  <si>
    <t>137 FOURTH ST</t>
  </si>
  <si>
    <t>325 FIRST ST</t>
  </si>
  <si>
    <t>136 BROADWAY ST S</t>
  </si>
  <si>
    <t>328 South Railway AVE</t>
  </si>
  <si>
    <t>649 COOK ST</t>
  </si>
  <si>
    <t>414 ARTHUR ST</t>
  </si>
  <si>
    <t>129 BROADWAY ST S</t>
  </si>
  <si>
    <t>7 MACHRAY AVE W</t>
  </si>
  <si>
    <t>19 5TH ST</t>
  </si>
  <si>
    <t>4 SCHOOL RD</t>
  </si>
  <si>
    <t>123 COCHRANE ST</t>
  </si>
  <si>
    <t>210 KELLETT ST N</t>
  </si>
  <si>
    <t>1125 LUNDY ST</t>
  </si>
  <si>
    <t>231 ELLIS AVE</t>
  </si>
  <si>
    <t>14 Market ST</t>
  </si>
  <si>
    <t>105 CHRISTIE ST</t>
  </si>
  <si>
    <t>113 CHURCH ST</t>
  </si>
  <si>
    <t>130 FIRST ST</t>
  </si>
  <si>
    <t>29 1ST ST</t>
  </si>
  <si>
    <t>97068 PTH 42 (RD 136 W)</t>
  </si>
  <si>
    <t>306 NORTON AVE</t>
  </si>
  <si>
    <t>139 DENNIS ST W</t>
  </si>
  <si>
    <t>203 ELM DR</t>
  </si>
  <si>
    <t>67 12TH ST</t>
  </si>
  <si>
    <t>17 MURRAY CRES</t>
  </si>
  <si>
    <t>64 CHRISTENSEN BEACH RD</t>
  </si>
  <si>
    <t>703 7TH AVE</t>
  </si>
  <si>
    <t>191 BARKWELL PL</t>
  </si>
  <si>
    <t>310 LAKE ST</t>
  </si>
  <si>
    <t>683 WOODBURN ST</t>
  </si>
  <si>
    <t>1144 VINE ST</t>
  </si>
  <si>
    <t>9 2ND AVE S</t>
  </si>
  <si>
    <t>209 RAILWAY AVE S</t>
  </si>
  <si>
    <t>218 4TH AVE NW</t>
  </si>
  <si>
    <t>204 DUNCAN ST</t>
  </si>
  <si>
    <t>300 College AVE</t>
  </si>
  <si>
    <t>632 EGAN ST</t>
  </si>
  <si>
    <t>208 BRADBURN ST</t>
  </si>
  <si>
    <t>215 SIXTH ST</t>
  </si>
  <si>
    <t>205 DAWSON ST</t>
  </si>
  <si>
    <t>114 PLUMAS ST W</t>
  </si>
  <si>
    <t>406 BROADWAY ST</t>
  </si>
  <si>
    <t>284 ASPEN ST W</t>
  </si>
  <si>
    <t>308 DUDLEY ST</t>
  </si>
  <si>
    <t>207 SOUTH RAILWAY AVE E</t>
  </si>
  <si>
    <t>16 BOUNDARY ST</t>
  </si>
  <si>
    <t>420 OAKO BEACH DR</t>
  </si>
  <si>
    <t>11 MAIN ST</t>
  </si>
  <si>
    <t>134 RUSSELL ST</t>
  </si>
  <si>
    <t>1056 LUNDY ST</t>
  </si>
  <si>
    <t>110 CENTRE ST</t>
  </si>
  <si>
    <t>124049 Road 22 E</t>
  </si>
  <si>
    <t>24 CRYSTAL AVE W</t>
  </si>
  <si>
    <t>7 RIVER AVE</t>
  </si>
  <si>
    <t>1238 HILL ST</t>
  </si>
  <si>
    <t>63 FOURTH ST</t>
  </si>
  <si>
    <t>693 STEPHEN ST</t>
  </si>
  <si>
    <t>310 PARK AVE</t>
  </si>
  <si>
    <t>250 THIRD ST</t>
  </si>
  <si>
    <t>50 MORRIS AVE N</t>
  </si>
  <si>
    <t>189 Church AVE</t>
  </si>
  <si>
    <t>107 NORTH DR</t>
  </si>
  <si>
    <t>19 South Railway ST</t>
  </si>
  <si>
    <t>107 LYALL ST</t>
  </si>
  <si>
    <t>316 PARK AVE</t>
  </si>
  <si>
    <t>350 EDITH ST</t>
  </si>
  <si>
    <t>311 ELM AVE</t>
  </si>
  <si>
    <t>60 4TH ST</t>
  </si>
  <si>
    <t>141 3RD ST</t>
  </si>
  <si>
    <t>47 SASKATCHEWAN HWY W</t>
  </si>
  <si>
    <t>413 LAKE ST</t>
  </si>
  <si>
    <t>206 GILLAM DR</t>
  </si>
  <si>
    <t>72 6TH ST SE</t>
  </si>
  <si>
    <t>59 7TH ST SE</t>
  </si>
  <si>
    <t>227 GILLAM DR</t>
  </si>
  <si>
    <t>106 NORQUAY ST</t>
  </si>
  <si>
    <t>17 THIRD AVE E</t>
  </si>
  <si>
    <t>716 ROGERS ST</t>
  </si>
  <si>
    <t>137 2ND AVE SW</t>
  </si>
  <si>
    <t>108 Renton AVE</t>
  </si>
  <si>
    <t>26 IRVING ST W</t>
  </si>
  <si>
    <t>209 STANLEY ST</t>
  </si>
  <si>
    <t>106 DUNCAN ST</t>
  </si>
  <si>
    <t>139 FRONT ST</t>
  </si>
  <si>
    <t>143 DENNIS ST</t>
  </si>
  <si>
    <t>285 ASPEN ST W</t>
  </si>
  <si>
    <t>620 RAE ST</t>
  </si>
  <si>
    <t>92 McDonald DR</t>
  </si>
  <si>
    <t>11 ORIOLE DR</t>
  </si>
  <si>
    <t>121 BARR ST</t>
  </si>
  <si>
    <t>209 Morton  AVE W</t>
  </si>
  <si>
    <t>663 WOODBURN ST</t>
  </si>
  <si>
    <t>201 TOWNSEND DR</t>
  </si>
  <si>
    <t>133 CRYSTAL AVE E</t>
  </si>
  <si>
    <t>688 COOK ST</t>
  </si>
  <si>
    <t>62 ROSS AVE</t>
  </si>
  <si>
    <t>135 CHURCH ST</t>
  </si>
  <si>
    <t>182 VALHOP DR</t>
  </si>
  <si>
    <t>120 CRYSTAL AVE E</t>
  </si>
  <si>
    <t>243 2ND AVE NW</t>
  </si>
  <si>
    <t>210 STATION RD</t>
  </si>
  <si>
    <t>247 ASPEN ST W</t>
  </si>
  <si>
    <t>13 2ND AVE</t>
  </si>
  <si>
    <t>210 DUNCAN ST</t>
  </si>
  <si>
    <t>104 PEMBINA AVE</t>
  </si>
  <si>
    <t>41 MACHRAY AVE W</t>
  </si>
  <si>
    <t>242 FIRST ST</t>
  </si>
  <si>
    <t>526 THOMPSON ST</t>
  </si>
  <si>
    <t>215 GRANGE ST N</t>
  </si>
  <si>
    <t>404 RICHHILL AVE E</t>
  </si>
  <si>
    <t>310 RAILWAY ST E</t>
  </si>
  <si>
    <t>205 RICHMOND AVE S</t>
  </si>
  <si>
    <t>308 LOVETT ST</t>
  </si>
  <si>
    <t>7 SPRUCE ST</t>
  </si>
  <si>
    <t>239 BROADWAY ST</t>
  </si>
  <si>
    <t>27 AQUIN ST</t>
  </si>
  <si>
    <t>252 NINTH ST</t>
  </si>
  <si>
    <t>40 1ST ST</t>
  </si>
  <si>
    <t>307 BLACK AVE W</t>
  </si>
  <si>
    <t>313 MILES ST</t>
  </si>
  <si>
    <t>422 CAVERS ST</t>
  </si>
  <si>
    <t>114 LAKE ST N</t>
  </si>
  <si>
    <t>22 CEDAR ST</t>
  </si>
  <si>
    <t>26 RAILWAY AVE</t>
  </si>
  <si>
    <t>413 EAST AVE</t>
  </si>
  <si>
    <t>306 THIRD AVE</t>
  </si>
  <si>
    <t>85 BRUSSELS ST</t>
  </si>
  <si>
    <t>8 SUMMIT ST</t>
  </si>
  <si>
    <t>DESC 18--7134</t>
  </si>
  <si>
    <t>188 BOYNE ST</t>
  </si>
  <si>
    <t>410 LOVETT ST</t>
  </si>
  <si>
    <t>112 NORTH DR</t>
  </si>
  <si>
    <t>51 FIRST ST E</t>
  </si>
  <si>
    <t>239 SIXTH ST</t>
  </si>
  <si>
    <t>201 4TH AVE SW</t>
  </si>
  <si>
    <t>308 BROADWAY ST</t>
  </si>
  <si>
    <t>350 LAREDO LANE</t>
  </si>
  <si>
    <t>134 MOFFAT AVE</t>
  </si>
  <si>
    <t>103 ELM ST</t>
  </si>
  <si>
    <t>131 DUCKER ST</t>
  </si>
  <si>
    <t>209 JORDAN ST E</t>
  </si>
  <si>
    <t>14 ORIOLE DR</t>
  </si>
  <si>
    <t>314 DUNCAN ST</t>
  </si>
  <si>
    <t>58 COLLINS ST</t>
  </si>
  <si>
    <t>73 SASKATCHEWAN HWY W</t>
  </si>
  <si>
    <t>1 HOLLY ST</t>
  </si>
  <si>
    <t>140 PARK ST</t>
  </si>
  <si>
    <t>205 CAVERS ST S</t>
  </si>
  <si>
    <t>320 STEPHEN ST</t>
  </si>
  <si>
    <t>220 DUFFERIN AVE</t>
  </si>
  <si>
    <t>226 BROADWAY ST</t>
  </si>
  <si>
    <t>695 JOHNSON ST</t>
  </si>
  <si>
    <t>52 4TH ST</t>
  </si>
  <si>
    <t>15 MANN PL</t>
  </si>
  <si>
    <t>328 SOUTH CHESTNUT ST</t>
  </si>
  <si>
    <t>316 DUDLEY ST</t>
  </si>
  <si>
    <t>502 COOK ST</t>
  </si>
  <si>
    <t>204 Second ST</t>
  </si>
  <si>
    <t>650 VALLEY ST</t>
  </si>
  <si>
    <t>117 SECOND ST</t>
  </si>
  <si>
    <t>312 LAKESHORE DR</t>
  </si>
  <si>
    <t>174 JAMES AVE</t>
  </si>
  <si>
    <t>405 LOVETT ST S</t>
  </si>
  <si>
    <t>32 CEDAR ST</t>
  </si>
  <si>
    <t>358 MAIN ST</t>
  </si>
  <si>
    <t>135 2ND AVE W</t>
  </si>
  <si>
    <t>411 YORK ST</t>
  </si>
  <si>
    <t>139 5th ST SE</t>
  </si>
  <si>
    <t>620 SECOND AVE</t>
  </si>
  <si>
    <t>122 PTH #83 HWY N</t>
  </si>
  <si>
    <t>221 BURROWS AVE S</t>
  </si>
  <si>
    <t>93 7TH ST SE</t>
  </si>
  <si>
    <t>55 ASH ST</t>
  </si>
  <si>
    <t>39 KING ST</t>
  </si>
  <si>
    <t>BAIE VALCOURT AVE</t>
  </si>
  <si>
    <t>52 4TH AVE SW</t>
  </si>
  <si>
    <t>209 BROADWAY ST</t>
  </si>
  <si>
    <t>402 DONALD AVE</t>
  </si>
  <si>
    <t>201 RAILWAY AVE S</t>
  </si>
  <si>
    <t>105 CENTRE ST</t>
  </si>
  <si>
    <t>62 WOODS AVE</t>
  </si>
  <si>
    <t>57 MAIN ST</t>
  </si>
  <si>
    <t>13 FIRST AVE</t>
  </si>
  <si>
    <t>334 THIRD ST</t>
  </si>
  <si>
    <t>31 3RD ST</t>
  </si>
  <si>
    <t>416 MOUNTAIN ST</t>
  </si>
  <si>
    <t>85 FIFTH ST</t>
  </si>
  <si>
    <t>285 MANIPOGO BEACH RD</t>
  </si>
  <si>
    <t>206 CARON ST</t>
  </si>
  <si>
    <t>319 NINTH ST</t>
  </si>
  <si>
    <t>224 RAILWAY AVE</t>
  </si>
  <si>
    <t>302 KELLETT ST</t>
  </si>
  <si>
    <t>133 Garland AVE</t>
  </si>
  <si>
    <t>42 MacLean ST</t>
  </si>
  <si>
    <t>162 JAMES AVE</t>
  </si>
  <si>
    <t>316 JORDAN ST E</t>
  </si>
  <si>
    <t>13 CHERRY ST</t>
  </si>
  <si>
    <t>244 KING ST</t>
  </si>
  <si>
    <t>25 RIVER AVE</t>
  </si>
  <si>
    <t>195 DUFFERIN ST</t>
  </si>
  <si>
    <t>333 PTH #83 HWY N</t>
  </si>
  <si>
    <t>23 GOVERNMENT RD</t>
  </si>
  <si>
    <t>555 JOHNSON ST</t>
  </si>
  <si>
    <t>312 JAMES ST</t>
  </si>
  <si>
    <t>310 DUDLEY ST</t>
  </si>
  <si>
    <t>127 PEMBINA AVE</t>
  </si>
  <si>
    <t>316 DONALD ST</t>
  </si>
  <si>
    <t>22 4TH ST W</t>
  </si>
  <si>
    <t>378 COOK ST</t>
  </si>
  <si>
    <t>37 2ND ST</t>
  </si>
  <si>
    <t>248 CAMERON ST W</t>
  </si>
  <si>
    <t>132 SCOTT ST</t>
  </si>
  <si>
    <t>118 RAILWAY ST W</t>
  </si>
  <si>
    <t>38 5TH ST SE</t>
  </si>
  <si>
    <t>213 SECOND AVE</t>
  </si>
  <si>
    <t>122 MCKENZIE ST S</t>
  </si>
  <si>
    <t>153 BROADWAY ST</t>
  </si>
  <si>
    <t>84 9TH ST SE</t>
  </si>
  <si>
    <t>290 SOUTH ST</t>
  </si>
  <si>
    <t>777 MILL RD</t>
  </si>
  <si>
    <t>653 BROADWAY ST</t>
  </si>
  <si>
    <t>739 STEPHEN ST</t>
  </si>
  <si>
    <t>206 5TH AVE NW</t>
  </si>
  <si>
    <t>155 Birch AVE</t>
  </si>
  <si>
    <t>42 FOURTH ST</t>
  </si>
  <si>
    <t>210 CAVERS ST N</t>
  </si>
  <si>
    <t>257 PARK AVE</t>
  </si>
  <si>
    <t>404 COCHRANE ST</t>
  </si>
  <si>
    <t>208 KELLETT ST N</t>
  </si>
  <si>
    <t>230 LAKE DR W</t>
  </si>
  <si>
    <t>328 BROADWAY AVE</t>
  </si>
  <si>
    <t>615 VALLEY ST</t>
  </si>
  <si>
    <t>343 MARY ST</t>
  </si>
  <si>
    <t>86 BROADFOOT ST</t>
  </si>
  <si>
    <t>26 SPRUCE ST</t>
  </si>
  <si>
    <t>255 2ND ST NW</t>
  </si>
  <si>
    <t>304 OAK DR</t>
  </si>
  <si>
    <t>201 MILES ST</t>
  </si>
  <si>
    <t>408 DONALD  AVE</t>
  </si>
  <si>
    <t>3 SECOND ST</t>
  </si>
  <si>
    <t>329 ELM DR</t>
  </si>
  <si>
    <t>14 FOURTH ST</t>
  </si>
  <si>
    <t>5 POPLAR ST</t>
  </si>
  <si>
    <t>238 GILLAM DR</t>
  </si>
  <si>
    <t>123 NELSON AVE</t>
  </si>
  <si>
    <t>110 3RD ST SE</t>
  </si>
  <si>
    <t>11 2ND AVE N</t>
  </si>
  <si>
    <t>33 RUPERT AVE W</t>
  </si>
  <si>
    <t>42 DONAHOE AVE W</t>
  </si>
  <si>
    <t>24 LOEWEN AVE</t>
  </si>
  <si>
    <t>320 SOURIS AVE</t>
  </si>
  <si>
    <t>109 LOVETT ST N</t>
  </si>
  <si>
    <t>93 Maple DR</t>
  </si>
  <si>
    <t>75 MORRIS ST N</t>
  </si>
  <si>
    <t>165 SOURIS ST</t>
  </si>
  <si>
    <t>115 WILLIAM AVE</t>
  </si>
  <si>
    <t>710 7TH AVE</t>
  </si>
  <si>
    <t>DESC NE27-4-23W</t>
  </si>
  <si>
    <t>4 WALNUT ST</t>
  </si>
  <si>
    <t>19 1ST ST S</t>
  </si>
  <si>
    <t>319 JAMES ST</t>
  </si>
  <si>
    <t>20 BIRCH ST</t>
  </si>
  <si>
    <t>30 MACHRAY AVE W</t>
  </si>
  <si>
    <t>20 DONAHOE AVE E</t>
  </si>
  <si>
    <t>213 LAW ST</t>
  </si>
  <si>
    <t>517 SOURIS AVE</t>
  </si>
  <si>
    <t>1116 NORTH RAILWAY AVE</t>
  </si>
  <si>
    <t>204 BROADWAY ST</t>
  </si>
  <si>
    <t>57 LETAIN ST</t>
  </si>
  <si>
    <t>417 LOVETT ST</t>
  </si>
  <si>
    <t>69 1ST ST S</t>
  </si>
  <si>
    <t>20159 Road 130 NE</t>
  </si>
  <si>
    <t>DESC 13/14--6796</t>
  </si>
  <si>
    <t>561 NORTON AVE</t>
  </si>
  <si>
    <t>146 PATRICK ST</t>
  </si>
  <si>
    <t>327 ARTHUR ST</t>
  </si>
  <si>
    <t>110 FOURTH ST</t>
  </si>
  <si>
    <t>216 CHURCH AVE S</t>
  </si>
  <si>
    <t>210 SOUTH RAILWAY AVE</t>
  </si>
  <si>
    <t>109 KELLETT ST</t>
  </si>
  <si>
    <t>73 RIVER ST</t>
  </si>
  <si>
    <t>141 DOMINION ST</t>
  </si>
  <si>
    <t>124 RUE CARON AVE</t>
  </si>
  <si>
    <t>22 Mountain ST</t>
  </si>
  <si>
    <t>420 CAVERS ST</t>
  </si>
  <si>
    <t>66 11TH ST</t>
  </si>
  <si>
    <t>182 LAKEVIEW DR</t>
  </si>
  <si>
    <t>116 NORTH RAILWAY ST</t>
  </si>
  <si>
    <t>5 South Railway ST</t>
  </si>
  <si>
    <t>139 MAYFAIR ST</t>
  </si>
  <si>
    <t>200 GILLAM DR</t>
  </si>
  <si>
    <t>128 DENNIS ST</t>
  </si>
  <si>
    <t>205 LUCY AVE</t>
  </si>
  <si>
    <t>12 SASKATCHEWAN ST</t>
  </si>
  <si>
    <t>266 CAMERON ST W</t>
  </si>
  <si>
    <t>63 BIRCH AVE E</t>
  </si>
  <si>
    <t>301 Garland AVE</t>
  </si>
  <si>
    <t>28 DONAHOE AVE W</t>
  </si>
  <si>
    <t>9 Main ST</t>
  </si>
  <si>
    <t>202 OAK DR</t>
  </si>
  <si>
    <t>163 ASPEN ST W</t>
  </si>
  <si>
    <t>306 MURRAY AVE</t>
  </si>
  <si>
    <t>215 Broadway  ST S</t>
  </si>
  <si>
    <t>229 TOWNSEND DR</t>
  </si>
  <si>
    <t>113 NELSON CRES</t>
  </si>
  <si>
    <t>65 Wonderland DR</t>
  </si>
  <si>
    <t>54 RAILWAY AVE</t>
  </si>
  <si>
    <t>24 Eirikson DR</t>
  </si>
  <si>
    <t>101 THIRD ST N</t>
  </si>
  <si>
    <t>23 5TH ST SE</t>
  </si>
  <si>
    <t>81 MCINTOSH ST</t>
  </si>
  <si>
    <t>3 DUPONT ST</t>
  </si>
  <si>
    <t>23 AVE CENTRE AVE</t>
  </si>
  <si>
    <t>144 MOUNTAIN AVE</t>
  </si>
  <si>
    <t>33 FOURTH ST</t>
  </si>
  <si>
    <t>69 REGENT ST</t>
  </si>
  <si>
    <t>23 4TH ST W</t>
  </si>
  <si>
    <t>49 5TH ST</t>
  </si>
  <si>
    <t>141-143 MAYFAIR ST</t>
  </si>
  <si>
    <t>421 CAVERS ST</t>
  </si>
  <si>
    <t>168 SUMMIT ST</t>
  </si>
  <si>
    <t>38 2ND AVE S</t>
  </si>
  <si>
    <t>214 GILLAM DR</t>
  </si>
  <si>
    <t>57 GREENWOOD AVE</t>
  </si>
  <si>
    <t>83 FIRST AVE S</t>
  </si>
  <si>
    <t>302 JOHNSON ST</t>
  </si>
  <si>
    <t>333 JOHNSON ST</t>
  </si>
  <si>
    <t>321 STRUTHERS ST</t>
  </si>
  <si>
    <t>209 MOUNTAIN ST N</t>
  </si>
  <si>
    <t>9 MURRAY CRES</t>
  </si>
  <si>
    <t>16 FIRST AVE SW</t>
  </si>
  <si>
    <t>301 STUART AVE E</t>
  </si>
  <si>
    <t>21 2ND ST SW</t>
  </si>
  <si>
    <t>244 GILLAM DR</t>
  </si>
  <si>
    <t>305 BROADWAY AVE</t>
  </si>
  <si>
    <t>205 2ND AVE NE</t>
  </si>
  <si>
    <t>141 5TH AVE SW</t>
  </si>
  <si>
    <t>Make</t>
  </si>
  <si>
    <t>Model</t>
  </si>
  <si>
    <t>Package</t>
  </si>
  <si>
    <t>RepairItem</t>
  </si>
  <si>
    <t>CostLOW</t>
  </si>
  <si>
    <t>CostHIGH</t>
  </si>
  <si>
    <t>TimeLOW</t>
  </si>
  <si>
    <t>TimeHIGH</t>
  </si>
  <si>
    <t>QTY</t>
  </si>
  <si>
    <t>Subvoof</t>
  </si>
  <si>
    <t>Oracle</t>
  </si>
  <si>
    <t>Oil Change</t>
  </si>
  <si>
    <t>Spill across columns:</t>
  </si>
  <si>
    <t>Unxop</t>
  </si>
  <si>
    <t>Aura</t>
  </si>
  <si>
    <t>Tire Rotation</t>
  </si>
  <si>
    <t>Cost</t>
  </si>
  <si>
    <t>Time</t>
  </si>
  <si>
    <t>xiw</t>
  </si>
  <si>
    <t>Capital</t>
  </si>
  <si>
    <t>Wheel Alignment</t>
  </si>
  <si>
    <t>thruma</t>
  </si>
  <si>
    <t>Sliver</t>
  </si>
  <si>
    <t>Engine Air Filter Replacement</t>
  </si>
  <si>
    <t>stifoom</t>
  </si>
  <si>
    <t>Inception</t>
  </si>
  <si>
    <t>Cabin Air Filter Replacement</t>
  </si>
  <si>
    <t>clirted</t>
  </si>
  <si>
    <t>Trailblazer</t>
  </si>
  <si>
    <t>Wiper Blade Replacement (Pair)</t>
  </si>
  <si>
    <t>Init</t>
  </si>
  <si>
    <t>Blend</t>
  </si>
  <si>
    <t>Brake Fluid Flush</t>
  </si>
  <si>
    <t>Outoat</t>
  </si>
  <si>
    <t>Presence</t>
  </si>
  <si>
    <t>Coolant (Antifreeze) Flush</t>
  </si>
  <si>
    <t>Intervop</t>
  </si>
  <si>
    <t>Thunder</t>
  </si>
  <si>
    <t>Transmission Fluid Change</t>
  </si>
  <si>
    <t>iapu</t>
  </si>
  <si>
    <t>Astral</t>
  </si>
  <si>
    <t>Power Steering Fluid Flush</t>
  </si>
  <si>
    <t>Posttist</t>
  </si>
  <si>
    <t>Spire</t>
  </si>
  <si>
    <t>New Tires (Set of 4, All-Season)</t>
  </si>
  <si>
    <t>2 or 4</t>
  </si>
  <si>
    <t>Antibest</t>
  </si>
  <si>
    <t>Tire Mount &amp; Balance (Set of 4)</t>
  </si>
  <si>
    <t>wucko</t>
  </si>
  <si>
    <t>Fragment</t>
  </si>
  <si>
    <t>Tire Repair (Plug)</t>
  </si>
  <si>
    <t>prup</t>
  </si>
  <si>
    <t>Freedom</t>
  </si>
  <si>
    <t>Brake Pad Replacement</t>
  </si>
  <si>
    <t>kuwife</t>
  </si>
  <si>
    <t>Mythic</t>
  </si>
  <si>
    <t>Brake Rotors</t>
  </si>
  <si>
    <t>mileel</t>
  </si>
  <si>
    <t>Dusk</t>
  </si>
  <si>
    <t>Brake Caliper Replacement (Pair)</t>
  </si>
  <si>
    <t>Proat</t>
  </si>
  <si>
    <t>Mystery</t>
  </si>
  <si>
    <t>Battery Replacement</t>
  </si>
  <si>
    <t>Inake</t>
  </si>
  <si>
    <t>Tigress</t>
  </si>
  <si>
    <t>Spark Plug Replacement (full set)</t>
  </si>
  <si>
    <t>4 or 6</t>
  </si>
  <si>
    <t>Contragon</t>
  </si>
  <si>
    <t>Vision</t>
  </si>
  <si>
    <t>Serpentine Belt Replacement</t>
  </si>
  <si>
    <t>aqa</t>
  </si>
  <si>
    <t>Excursion</t>
  </si>
  <si>
    <t>Timing Belt Replacement</t>
  </si>
  <si>
    <t>Autocife</t>
  </si>
  <si>
    <t>Prodigy</t>
  </si>
  <si>
    <t>Ignition Coil Replacement (One)</t>
  </si>
  <si>
    <t>Nonxine</t>
  </si>
  <si>
    <t>Vulture</t>
  </si>
  <si>
    <t>Alternator Replacement</t>
  </si>
  <si>
    <t>Inferno</t>
  </si>
  <si>
    <t>Starter Motor Replacement</t>
  </si>
  <si>
    <t>xim</t>
  </si>
  <si>
    <t>Formula</t>
  </si>
  <si>
    <t>Diagnostic Check (Scan Tool)</t>
  </si>
  <si>
    <t>solion</t>
  </si>
  <si>
    <t>Essence</t>
  </si>
  <si>
    <t>O2 Sensor Replacement</t>
  </si>
  <si>
    <t>zlohook</t>
  </si>
  <si>
    <t>Desire</t>
  </si>
  <si>
    <t>Headlight Bulb Replacement (pair)</t>
  </si>
  <si>
    <t>Charish</t>
  </si>
  <si>
    <t>Roamer</t>
  </si>
  <si>
    <t>Mass Air Flow (MAF) Sensor</t>
  </si>
  <si>
    <t>Biate</t>
  </si>
  <si>
    <t>Water Pump Replacement</t>
  </si>
  <si>
    <t>Carbass</t>
  </si>
  <si>
    <t>Tradition</t>
  </si>
  <si>
    <t>Radiator Replacement</t>
  </si>
  <si>
    <t>ugeu</t>
  </si>
  <si>
    <t>Fuel Pump Replacement</t>
  </si>
  <si>
    <t>Trannore</t>
  </si>
  <si>
    <t>Pinnacle</t>
  </si>
  <si>
    <t>A/C Compressor Replacement</t>
  </si>
  <si>
    <t>Comsink</t>
  </si>
  <si>
    <t>Vagabond</t>
  </si>
  <si>
    <t>Muffler Replacement</t>
  </si>
  <si>
    <t>gholdu</t>
  </si>
  <si>
    <t>Baron</t>
  </si>
  <si>
    <t>Catalytic Converter Replacement</t>
  </si>
  <si>
    <t>pind</t>
  </si>
  <si>
    <t>Serpent</t>
  </si>
  <si>
    <t>Shocks and Struts Replacement (Pair)</t>
  </si>
  <si>
    <t>teline</t>
  </si>
  <si>
    <t>Deputy</t>
  </si>
  <si>
    <t>CV Axle Replacement</t>
  </si>
  <si>
    <t>1 or 2</t>
  </si>
  <si>
    <t>vuhoom</t>
  </si>
  <si>
    <t>Avalanche</t>
  </si>
  <si>
    <t>Wheel Bearing Replacement (One)</t>
  </si>
  <si>
    <t>1 to 4</t>
  </si>
  <si>
    <t>Monooat</t>
  </si>
  <si>
    <t>Phantom</t>
  </si>
  <si>
    <t>Head Gasket Repair</t>
  </si>
  <si>
    <t>Resought</t>
  </si>
  <si>
    <t>Virtue</t>
  </si>
  <si>
    <t>Exbusm</t>
  </si>
  <si>
    <t>Basilisk</t>
  </si>
  <si>
    <t>evle</t>
  </si>
  <si>
    <t>Inlter</t>
  </si>
  <si>
    <t>Ranger</t>
  </si>
  <si>
    <t>Subgies</t>
  </si>
  <si>
    <t>Gallop</t>
  </si>
  <si>
    <t>trappi</t>
  </si>
  <si>
    <t>Adventure</t>
  </si>
  <si>
    <t>glel</t>
  </si>
  <si>
    <t>smimion</t>
  </si>
  <si>
    <t>Icon</t>
  </si>
  <si>
    <t>clubty</t>
  </si>
  <si>
    <t>Might</t>
  </si>
  <si>
    <t>Carion</t>
  </si>
  <si>
    <t>Ethereal</t>
  </si>
  <si>
    <t>Omniip</t>
  </si>
  <si>
    <t>Bolt</t>
  </si>
  <si>
    <t>Semigar</t>
  </si>
  <si>
    <t>Crown</t>
  </si>
  <si>
    <t>otea</t>
  </si>
  <si>
    <t>Titan</t>
  </si>
  <si>
    <t>Subsank</t>
  </si>
  <si>
    <t>Blitz</t>
  </si>
  <si>
    <t>Monosall</t>
  </si>
  <si>
    <t>Storm</t>
  </si>
  <si>
    <t>zwozo</t>
  </si>
  <si>
    <t>pamp</t>
  </si>
  <si>
    <t>Instinct</t>
  </si>
  <si>
    <t>sakive</t>
  </si>
  <si>
    <t>Motion</t>
  </si>
  <si>
    <t>dhipate</t>
  </si>
  <si>
    <t>Evolution</t>
  </si>
  <si>
    <t>Plosain</t>
  </si>
  <si>
    <t>Supreme</t>
  </si>
  <si>
    <t>Enter</t>
  </si>
  <si>
    <t>Curiosity</t>
  </si>
  <si>
    <t>Trifem</t>
  </si>
  <si>
    <t>Centurion</t>
  </si>
  <si>
    <t>olo</t>
  </si>
  <si>
    <t>Whirlpool</t>
  </si>
  <si>
    <t>Strihen</t>
  </si>
  <si>
    <t>Behemoth</t>
  </si>
  <si>
    <t>Intrafism</t>
  </si>
  <si>
    <t>tocke</t>
  </si>
  <si>
    <t>Magic</t>
  </si>
  <si>
    <t>prese</t>
  </si>
  <si>
    <t>Aeon</t>
  </si>
  <si>
    <t>mumock</t>
  </si>
  <si>
    <t>Phenomenom</t>
  </si>
  <si>
    <t>cohier</t>
  </si>
  <si>
    <t>Quinfy</t>
  </si>
  <si>
    <t>Prestige</t>
  </si>
  <si>
    <t>Charank</t>
  </si>
  <si>
    <t>Warrior</t>
  </si>
  <si>
    <t>Contrafic</t>
  </si>
  <si>
    <t>Inquiry</t>
  </si>
  <si>
    <t>eca</t>
  </si>
  <si>
    <t>Binpted</t>
  </si>
  <si>
    <t>Quête</t>
  </si>
  <si>
    <t>Spinrat</t>
  </si>
  <si>
    <t>Envie</t>
  </si>
  <si>
    <t>mowne</t>
  </si>
  <si>
    <t>Zèle</t>
  </si>
  <si>
    <t>ralo</t>
  </si>
  <si>
    <t>Royaume</t>
  </si>
  <si>
    <t>zumay</t>
  </si>
  <si>
    <t>Tonnerre</t>
  </si>
  <si>
    <t>vraxence</t>
  </si>
  <si>
    <t>Parangon</t>
  </si>
  <si>
    <t>Ilence</t>
  </si>
  <si>
    <t>Lune</t>
  </si>
  <si>
    <t>Subal</t>
  </si>
  <si>
    <t>Domination</t>
  </si>
  <si>
    <t>Autogurs</t>
  </si>
  <si>
    <t>Mystère</t>
  </si>
  <si>
    <t>ouschuu</t>
  </si>
  <si>
    <t>Renaissance</t>
  </si>
  <si>
    <t>Tribest</t>
  </si>
  <si>
    <t>Amour</t>
  </si>
  <si>
    <t>Awise</t>
  </si>
  <si>
    <t>Galop</t>
  </si>
  <si>
    <t>snoth</t>
  </si>
  <si>
    <t>Millénaire</t>
  </si>
  <si>
    <t>fewno</t>
  </si>
  <si>
    <t>Perspective</t>
  </si>
  <si>
    <t>duhoon</t>
  </si>
  <si>
    <t>Augure</t>
  </si>
  <si>
    <t>zlatack</t>
  </si>
  <si>
    <t>Moment</t>
  </si>
  <si>
    <t>Tranful</t>
  </si>
  <si>
    <t>Climax</t>
  </si>
  <si>
    <t>Semity</t>
  </si>
  <si>
    <t>Guerrier</t>
  </si>
  <si>
    <t>Chahosh</t>
  </si>
  <si>
    <t>Épiphanie</t>
  </si>
  <si>
    <t>espro</t>
  </si>
  <si>
    <t>Poursuite</t>
  </si>
  <si>
    <t>Extralot</t>
  </si>
  <si>
    <t>Binnoom</t>
  </si>
  <si>
    <t>Encounter</t>
  </si>
  <si>
    <t>nil</t>
  </si>
  <si>
    <t>Heirloom</t>
  </si>
  <si>
    <t>dloyo</t>
  </si>
  <si>
    <t>Zeal</t>
  </si>
  <si>
    <t>picine</t>
  </si>
  <si>
    <t>gnekit</t>
  </si>
  <si>
    <t>Stardust</t>
  </si>
  <si>
    <t>Subious</t>
  </si>
  <si>
    <t>Quest</t>
  </si>
  <si>
    <t>Scarug</t>
  </si>
  <si>
    <t>Union</t>
  </si>
  <si>
    <t>Dunuz</t>
  </si>
  <si>
    <t>emio</t>
  </si>
  <si>
    <t>Nebula</t>
  </si>
  <si>
    <t>BusinessName</t>
  </si>
  <si>
    <t>The Watchtower Concert Hall</t>
  </si>
  <si>
    <t>The Downtown Assembly Hall</t>
  </si>
  <si>
    <t>The Stellar Opera House</t>
  </si>
  <si>
    <t>The Velvet Theater</t>
  </si>
  <si>
    <t>The Sapphire Opera House</t>
  </si>
  <si>
    <t>The Luminus Assembly Hall</t>
  </si>
  <si>
    <t>The Aura Theatre</t>
  </si>
  <si>
    <t>The Melody Amphitheater</t>
  </si>
  <si>
    <t>The Paramount Theater</t>
  </si>
  <si>
    <t>The Century Theater</t>
  </si>
  <si>
    <t>The Bluebell Opera House</t>
  </si>
  <si>
    <t>The Beacon Opera House</t>
  </si>
  <si>
    <t>The Grand Centre Assembly Hall</t>
  </si>
  <si>
    <t>The Emerald Assembly Hall</t>
  </si>
  <si>
    <t>The Ambassador Amphitheater</t>
  </si>
  <si>
    <t>The Regal Amphitheater</t>
  </si>
  <si>
    <t>The Royal Amphitheater</t>
  </si>
  <si>
    <t>The Moonlight Theater</t>
  </si>
  <si>
    <t>The Citadel Opera House</t>
  </si>
  <si>
    <t>The Prestige Amphitheater</t>
  </si>
  <si>
    <t>The Summer Garden Cinema</t>
  </si>
  <si>
    <t>The Platinum Opera House</t>
  </si>
  <si>
    <t>The Songbird Concert Hall</t>
  </si>
  <si>
    <t>The Sunset Opera House</t>
  </si>
  <si>
    <t>The Eclipse Assembly Hall</t>
  </si>
  <si>
    <t>The Alliance Cinema</t>
  </si>
  <si>
    <t>The Lionheart Opera House</t>
  </si>
  <si>
    <t>The Eminence Theater</t>
  </si>
  <si>
    <t>The Prism Amphitheater</t>
  </si>
  <si>
    <t>The Spring Garden Amphitheater</t>
  </si>
  <si>
    <t>The Dreamland Theatre</t>
  </si>
  <si>
    <t>The Capital Amphitheater</t>
  </si>
  <si>
    <t>The Exalted Assembly Hall</t>
  </si>
  <si>
    <t>The Mercury Amphitheater</t>
  </si>
  <si>
    <t>The Climax Concert Hall</t>
  </si>
  <si>
    <t>The Capital Theater</t>
  </si>
  <si>
    <t>The Prestige Concert Hall</t>
  </si>
  <si>
    <t>The Magister Theatre</t>
  </si>
  <si>
    <t>The Solstice Concert Hall</t>
  </si>
  <si>
    <t>The Legend Opera House</t>
  </si>
  <si>
    <t>The Aurora Assembly Hall</t>
  </si>
  <si>
    <t>The Galaxy Theatre</t>
  </si>
  <si>
    <t>The Pyramid Opera House</t>
  </si>
  <si>
    <t>The Grand River Amphitheater</t>
  </si>
  <si>
    <t>The Cerberus Assembly Hall</t>
  </si>
  <si>
    <t>The Animus Assembly Hall</t>
  </si>
  <si>
    <t>The Phenomenon Cinema</t>
  </si>
  <si>
    <t>The Grand Centre Theatre</t>
  </si>
  <si>
    <t>The Grand River Cinema</t>
  </si>
  <si>
    <t>Course Title</t>
  </si>
  <si>
    <t>2D Animation</t>
  </si>
  <si>
    <t>Accounting Essentials</t>
  </si>
  <si>
    <t>American Sign Language</t>
  </si>
  <si>
    <t>Applied Math</t>
  </si>
  <si>
    <t>Applied Mathematics</t>
  </si>
  <si>
    <t>Band</t>
  </si>
  <si>
    <t>Biology</t>
  </si>
  <si>
    <t>Canada in the Contemporary World</t>
  </si>
  <si>
    <t>Chemistry</t>
  </si>
  <si>
    <t>Choral Music</t>
  </si>
  <si>
    <t>Cinema as a Witness to Modern History</t>
  </si>
  <si>
    <t>Comprehensive ELA</t>
  </si>
  <si>
    <t>Computer Science</t>
  </si>
  <si>
    <t>Dance</t>
  </si>
  <si>
    <t>Digital Pictures</t>
  </si>
  <si>
    <t>Drama</t>
  </si>
  <si>
    <t>Economics</t>
  </si>
  <si>
    <t>ELA Literary Focus</t>
  </si>
  <si>
    <t>English Language Arts</t>
  </si>
  <si>
    <t>Essential Mathematics</t>
  </si>
  <si>
    <t>French</t>
  </si>
  <si>
    <t>Global Issues</t>
  </si>
  <si>
    <t>Guitar</t>
  </si>
  <si>
    <t>History of Canada</t>
  </si>
  <si>
    <t>History of Western Civilization</t>
  </si>
  <si>
    <t>Human Geography</t>
  </si>
  <si>
    <t>Introduction to Calculus</t>
  </si>
  <si>
    <t>Jazz Band</t>
  </si>
  <si>
    <t>Latin</t>
  </si>
  <si>
    <t>Law</t>
  </si>
  <si>
    <t>Math</t>
  </si>
  <si>
    <t>Music</t>
  </si>
  <si>
    <t>Physical Education</t>
  </si>
  <si>
    <t>Physical Geography</t>
  </si>
  <si>
    <t>Physics</t>
  </si>
  <si>
    <t>Pre‑Calculus Mathematics</t>
  </si>
  <si>
    <t>Psychology</t>
  </si>
  <si>
    <t>Science</t>
  </si>
  <si>
    <t>Transactional ELA</t>
  </si>
  <si>
    <t>Visual Art</t>
  </si>
  <si>
    <t>World Issues</t>
  </si>
  <si>
    <t>Business Innovations</t>
  </si>
  <si>
    <t>Summer Job Descriptions</t>
  </si>
  <si>
    <t>picking berries</t>
  </si>
  <si>
    <t>cutting grass</t>
  </si>
  <si>
    <t>walking dogs</t>
  </si>
  <si>
    <t>cleaning cars</t>
  </si>
  <si>
    <t>scooping ice cream</t>
  </si>
  <si>
    <t>waiting tables</t>
  </si>
  <si>
    <t>washing dishes</t>
  </si>
  <si>
    <t>stocking shelves</t>
  </si>
  <si>
    <t>working as a cashier</t>
  </si>
  <si>
    <t>lifeguarding at a pool</t>
  </si>
  <si>
    <t>counseling at a camp</t>
  </si>
  <si>
    <t>babysitting children</t>
  </si>
  <si>
    <t>painting houses</t>
  </si>
  <si>
    <t>working as a barista</t>
  </si>
  <si>
    <t>delivering newspapers</t>
  </si>
  <si>
    <t>tutoring younger students</t>
  </si>
  <si>
    <t>shelving books at a library</t>
  </si>
  <si>
    <t>answering phones</t>
  </si>
  <si>
    <t>doing data entry</t>
  </si>
  <si>
    <t>helping on a farm</t>
  </si>
  <si>
    <t>working in a greenhouse</t>
  </si>
  <si>
    <t>filing documents</t>
  </si>
  <si>
    <t>cleaning hotel rooms</t>
  </si>
  <si>
    <t>working as a park attendant</t>
  </si>
  <si>
    <t>refereeing sports games</t>
  </si>
  <si>
    <t>assembling products</t>
  </si>
  <si>
    <t>working at a concession stand</t>
  </si>
  <si>
    <t>packing groceries</t>
  </si>
  <si>
    <t>assisting with landscaping</t>
  </si>
  <si>
    <t>working as a tour guide</t>
  </si>
  <si>
    <t>helping with construction</t>
  </si>
  <si>
    <t>serving fast food</t>
  </si>
  <si>
    <t>greeting customers</t>
  </si>
  <si>
    <t>bussing tables</t>
  </si>
  <si>
    <t>washing windows</t>
  </si>
  <si>
    <t>detailing boats</t>
  </si>
  <si>
    <t>working at a movie theatre</t>
  </si>
  <si>
    <t>renting out equipment</t>
  </si>
  <si>
    <t>coaching a kids' team</t>
  </si>
  <si>
    <t>pet sitting</t>
  </si>
  <si>
    <t>delivering flyers</t>
  </si>
  <si>
    <t>helping in a kitchen</t>
  </si>
  <si>
    <t>working at a golf course</t>
  </si>
  <si>
    <t>selling tickets</t>
  </si>
  <si>
    <t>setting up for events</t>
  </si>
  <si>
    <t>working at a car wash</t>
  </si>
  <si>
    <t>assisting in a retail store</t>
  </si>
  <si>
    <t>planting trees</t>
  </si>
  <si>
    <t>running a cash register</t>
  </si>
  <si>
    <t>taking food orders</t>
  </si>
  <si>
    <t>Canadian Dollar▲</t>
  </si>
  <si>
    <t>1.00 CAD▲▼</t>
  </si>
  <si>
    <t>inv. 1.00 CAD▲▼</t>
  </si>
  <si>
    <t>Country</t>
  </si>
  <si>
    <t>CurrencyCode</t>
  </si>
  <si>
    <t>Argentine Peso</t>
  </si>
  <si>
    <t>ARS</t>
  </si>
  <si>
    <t>Australian Dollar</t>
  </si>
  <si>
    <t>AUD</t>
  </si>
  <si>
    <t>Bahraini Dinar</t>
  </si>
  <si>
    <t>BHD</t>
  </si>
  <si>
    <t>Botswana Pula</t>
  </si>
  <si>
    <t>BWP</t>
  </si>
  <si>
    <t>Brazilian Real</t>
  </si>
  <si>
    <t>BRL</t>
  </si>
  <si>
    <t>British Pound</t>
  </si>
  <si>
    <t>GBP</t>
  </si>
  <si>
    <t>Bruneian Dollar</t>
  </si>
  <si>
    <t>BND</t>
  </si>
  <si>
    <t>Bulgarian Lev</t>
  </si>
  <si>
    <t>BGN</t>
  </si>
  <si>
    <t>Chilean Peso</t>
  </si>
  <si>
    <t>CLF</t>
  </si>
  <si>
    <t>Chinese Yuan Renminbi</t>
  </si>
  <si>
    <t>CNY</t>
  </si>
  <si>
    <t>Colombian Peso</t>
  </si>
  <si>
    <t>COP</t>
  </si>
  <si>
    <t>Czech Koruna</t>
  </si>
  <si>
    <t>CZK</t>
  </si>
  <si>
    <t>Danish Krone</t>
  </si>
  <si>
    <t>DKK</t>
  </si>
  <si>
    <t>Emirati Dirham</t>
  </si>
  <si>
    <t>AED</t>
  </si>
  <si>
    <t>Euro</t>
  </si>
  <si>
    <t>EUR</t>
  </si>
  <si>
    <t>Hong Kong Dollar</t>
  </si>
  <si>
    <t>HKD</t>
  </si>
  <si>
    <t>Hungarian Forint</t>
  </si>
  <si>
    <t>HUF</t>
  </si>
  <si>
    <t>Icelandic Krona</t>
  </si>
  <si>
    <t>ISK</t>
  </si>
  <si>
    <t>Indian Rupee</t>
  </si>
  <si>
    <t>INR</t>
  </si>
  <si>
    <t>Indonesian Rupiah</t>
  </si>
  <si>
    <t>IDR</t>
  </si>
  <si>
    <t>Iranian Rial</t>
  </si>
  <si>
    <t>IRR</t>
  </si>
  <si>
    <t>Israeli Shekel</t>
  </si>
  <si>
    <t>ILS</t>
  </si>
  <si>
    <t>Japanese Yen</t>
  </si>
  <si>
    <t>JPY</t>
  </si>
  <si>
    <t>Kazakhstani Tenge</t>
  </si>
  <si>
    <t>KZT</t>
  </si>
  <si>
    <t>Kuwaiti Dinar</t>
  </si>
  <si>
    <t>KWD</t>
  </si>
  <si>
    <t>Libyan Dinar</t>
  </si>
  <si>
    <t>LYD</t>
  </si>
  <si>
    <t>Malaysian Ringgit</t>
  </si>
  <si>
    <t>MYR</t>
  </si>
  <si>
    <t>Mauritian Rupee</t>
  </si>
  <si>
    <t>MRU</t>
  </si>
  <si>
    <t>Mexican Peso</t>
  </si>
  <si>
    <t>MXN</t>
  </si>
  <si>
    <t>Nepalese Rupee</t>
  </si>
  <si>
    <t>NPR</t>
  </si>
  <si>
    <t>New Zealand Dollar</t>
  </si>
  <si>
    <t>NZD</t>
  </si>
  <si>
    <t>Norwegian Krone</t>
  </si>
  <si>
    <t>NOK</t>
  </si>
  <si>
    <t>Omani Rial</t>
  </si>
  <si>
    <t>OMR</t>
  </si>
  <si>
    <t>Pakistani Rupee</t>
  </si>
  <si>
    <t>PKR</t>
  </si>
  <si>
    <t>Philippine Peso</t>
  </si>
  <si>
    <t>PHP</t>
  </si>
  <si>
    <t>Polish Zloty</t>
  </si>
  <si>
    <t>PLN</t>
  </si>
  <si>
    <t>Qatari Riyal</t>
  </si>
  <si>
    <t>QAR</t>
  </si>
  <si>
    <t>Romanian New Leu</t>
  </si>
  <si>
    <t>RON</t>
  </si>
  <si>
    <t>Russian Ruble</t>
  </si>
  <si>
    <t>RUB</t>
  </si>
  <si>
    <t>Saudi Arabian Riyal</t>
  </si>
  <si>
    <t>SAR</t>
  </si>
  <si>
    <t>Singapore Dollar</t>
  </si>
  <si>
    <t>SGD</t>
  </si>
  <si>
    <t>South African Rand</t>
  </si>
  <si>
    <t>ZAR</t>
  </si>
  <si>
    <t>South Korean Won</t>
  </si>
  <si>
    <t>KRW</t>
  </si>
  <si>
    <t>Sri Lankan Rupee</t>
  </si>
  <si>
    <t>LKR</t>
  </si>
  <si>
    <t>Swedish Krona</t>
  </si>
  <si>
    <t>SEK</t>
  </si>
  <si>
    <t>Swiss Franc</t>
  </si>
  <si>
    <t>CHF</t>
  </si>
  <si>
    <t>Taiwan New Dollar</t>
  </si>
  <si>
    <t>TWD</t>
  </si>
  <si>
    <t>Thai Baht</t>
  </si>
  <si>
    <t>THB</t>
  </si>
  <si>
    <t>Trinidadian Dollar</t>
  </si>
  <si>
    <t>TTD</t>
  </si>
  <si>
    <t>Turkish Lira</t>
  </si>
  <si>
    <t>TRL</t>
  </si>
  <si>
    <t>US Dollar</t>
  </si>
  <si>
    <t>USD</t>
  </si>
  <si>
    <t>City</t>
  </si>
  <si>
    <t>Province/Territory</t>
  </si>
  <si>
    <t>Population (2021)</t>
  </si>
  <si>
    <t>Average July Temp (°C)</t>
  </si>
  <si>
    <t>Avg. Monthly Precip. (mm)</t>
  </si>
  <si>
    <t>Abbr</t>
  </si>
  <si>
    <t>Edmonton</t>
  </si>
  <si>
    <t>Alberta</t>
  </si>
  <si>
    <t>AB</t>
  </si>
  <si>
    <t>Calgary</t>
  </si>
  <si>
    <t>Banff</t>
  </si>
  <si>
    <t>Jasper</t>
  </si>
  <si>
    <t>Lethbridge</t>
  </si>
  <si>
    <t>Red Deer</t>
  </si>
  <si>
    <t>Medicine Hat</t>
  </si>
  <si>
    <t>Fort McMurray</t>
  </si>
  <si>
    <t>Canmore</t>
  </si>
  <si>
    <t>Drumheller</t>
  </si>
  <si>
    <t>Grande Prairie</t>
  </si>
  <si>
    <t>Victoria</t>
  </si>
  <si>
    <t>British Columbia</t>
  </si>
  <si>
    <t>BC</t>
  </si>
  <si>
    <t>Vancouver</t>
  </si>
  <si>
    <t>Whistler</t>
  </si>
  <si>
    <t>Kelowna</t>
  </si>
  <si>
    <t>Kamloops</t>
  </si>
  <si>
    <t>Prince George</t>
  </si>
  <si>
    <t>Nanaimo</t>
  </si>
  <si>
    <t>Tofino</t>
  </si>
  <si>
    <t>Richmond</t>
  </si>
  <si>
    <t>Burnaby</t>
  </si>
  <si>
    <t>Surrey</t>
  </si>
  <si>
    <t>Chilliwack</t>
  </si>
  <si>
    <t>Squamish</t>
  </si>
  <si>
    <t>Winnipeg</t>
  </si>
  <si>
    <t>Manitoba</t>
  </si>
  <si>
    <t>MB</t>
  </si>
  <si>
    <t>Brandon</t>
  </si>
  <si>
    <t>Churchill</t>
  </si>
  <si>
    <t>Flin Flon</t>
  </si>
  <si>
    <t>Steinbach</t>
  </si>
  <si>
    <t>Winkler</t>
  </si>
  <si>
    <t>St. Pierre-Jolys</t>
  </si>
  <si>
    <t>Fredericton</t>
  </si>
  <si>
    <t>New Brunswick</t>
  </si>
  <si>
    <t>NB</t>
  </si>
  <si>
    <t>Moncton</t>
  </si>
  <si>
    <t>Saint John</t>
  </si>
  <si>
    <t>Miramichi</t>
  </si>
  <si>
    <t>St. John's</t>
  </si>
  <si>
    <t>Newfoundland and Labrador</t>
  </si>
  <si>
    <t>NF</t>
  </si>
  <si>
    <t>Gander</t>
  </si>
  <si>
    <t>Corner Brook</t>
  </si>
  <si>
    <t>Yellowknife</t>
  </si>
  <si>
    <t>Northwest Territories</t>
  </si>
  <si>
    <t>NT</t>
  </si>
  <si>
    <t>Inuvik</t>
  </si>
  <si>
    <t>Hay River</t>
  </si>
  <si>
    <t>Fort Smith</t>
  </si>
  <si>
    <t>Fort Simpson</t>
  </si>
  <si>
    <t>Norman Wells</t>
  </si>
  <si>
    <t>Halifax</t>
  </si>
  <si>
    <t>Nova Scotia</t>
  </si>
  <si>
    <t>NS</t>
  </si>
  <si>
    <t>Lunenburg</t>
  </si>
  <si>
    <t>Sydney</t>
  </si>
  <si>
    <t>Peggy's Cove</t>
  </si>
  <si>
    <t>Truro</t>
  </si>
  <si>
    <t>Iqaluit</t>
  </si>
  <si>
    <t>Nunavut</t>
  </si>
  <si>
    <t>NU</t>
  </si>
  <si>
    <t>Rankin Inlet</t>
  </si>
  <si>
    <t>Cambridge Bay</t>
  </si>
  <si>
    <t>Baker Lake</t>
  </si>
  <si>
    <t>Cape Dorset</t>
  </si>
  <si>
    <t>Arviat</t>
  </si>
  <si>
    <t>Pond Inlet</t>
  </si>
  <si>
    <t>Ottawa</t>
  </si>
  <si>
    <t>Ontario</t>
  </si>
  <si>
    <t>ON</t>
  </si>
  <si>
    <t>Toronto</t>
  </si>
  <si>
    <t>Mississauga</t>
  </si>
  <si>
    <t>Brampton</t>
  </si>
  <si>
    <t>Hamilton</t>
  </si>
  <si>
    <t>Niagara Falls</t>
  </si>
  <si>
    <t>London</t>
  </si>
  <si>
    <t>Kingston</t>
  </si>
  <si>
    <t>Windsor</t>
  </si>
  <si>
    <t>Sudbury</t>
  </si>
  <si>
    <t>Thunder Bay</t>
  </si>
  <si>
    <t>Stratford</t>
  </si>
  <si>
    <t>Peterborough</t>
  </si>
  <si>
    <t>North Bay</t>
  </si>
  <si>
    <t>Sault Ste. Marie</t>
  </si>
  <si>
    <t>Charlottetown</t>
  </si>
  <si>
    <t>Prince Edward Island</t>
  </si>
  <si>
    <t>PE</t>
  </si>
  <si>
    <t>Summerside</t>
  </si>
  <si>
    <t>Cavendish</t>
  </si>
  <si>
    <t>Quebec City</t>
  </si>
  <si>
    <t>Quebec</t>
  </si>
  <si>
    <t>PQ</t>
  </si>
  <si>
    <t>Montreal</t>
  </si>
  <si>
    <t>Trois-Rivières</t>
  </si>
  <si>
    <t>Sherbrooke</t>
  </si>
  <si>
    <t>Gaspé</t>
  </si>
  <si>
    <t>Saguenay</t>
  </si>
  <si>
    <t>Mont-Tremblant</t>
  </si>
  <si>
    <t>Saint-Hyacinthe</t>
  </si>
  <si>
    <t>Shawinigan</t>
  </si>
  <si>
    <t>Regina</t>
  </si>
  <si>
    <t>Saskatchewan</t>
  </si>
  <si>
    <t>SK</t>
  </si>
  <si>
    <t>Saskatoon</t>
  </si>
  <si>
    <t>Moose Jaw</t>
  </si>
  <si>
    <t>Prince Albert</t>
  </si>
  <si>
    <t>Swift Current</t>
  </si>
  <si>
    <t>Yorkton</t>
  </si>
  <si>
    <t>Estevan</t>
  </si>
  <si>
    <t>Weyburn</t>
  </si>
  <si>
    <t>Whitehorse</t>
  </si>
  <si>
    <t>Yukon</t>
  </si>
  <si>
    <t>YK</t>
  </si>
  <si>
    <t>Dawson City</t>
  </si>
  <si>
    <t>Watson Lake</t>
  </si>
  <si>
    <t>Haines Junction</t>
  </si>
  <si>
    <t>Carcross</t>
  </si>
  <si>
    <t>Nation</t>
  </si>
  <si>
    <t>Population</t>
  </si>
  <si>
    <t>Baghdad</t>
  </si>
  <si>
    <t>Iraq</t>
  </si>
  <si>
    <t>Bangkok</t>
  </si>
  <si>
    <t>Thailand</t>
  </si>
  <si>
    <t>Beijing</t>
  </si>
  <si>
    <t>China</t>
  </si>
  <si>
    <t>Bogotá</t>
  </si>
  <si>
    <t>Colombia</t>
  </si>
  <si>
    <t>Buenos Aires</t>
  </si>
  <si>
    <t>Argentina</t>
  </si>
  <si>
    <t>Cairo</t>
  </si>
  <si>
    <t>Egypt</t>
  </si>
  <si>
    <t>Dhaka</t>
  </si>
  <si>
    <t>Bangladesh</t>
  </si>
  <si>
    <t>Jakarta</t>
  </si>
  <si>
    <t>Indonesia</t>
  </si>
  <si>
    <t>Khartoum</t>
  </si>
  <si>
    <t>Sudan</t>
  </si>
  <si>
    <t>Kinshasa</t>
  </si>
  <si>
    <t>DR Congo</t>
  </si>
  <si>
    <t>Kuala Lumpur</t>
  </si>
  <si>
    <t>Malaysia</t>
  </si>
  <si>
    <t>Lima</t>
  </si>
  <si>
    <t>Peru</t>
  </si>
  <si>
    <t>United Kingdom</t>
  </si>
  <si>
    <t>Luanda</t>
  </si>
  <si>
    <t>Angola</t>
  </si>
  <si>
    <t>Madrid</t>
  </si>
  <si>
    <t>Spain</t>
  </si>
  <si>
    <t>Mexico City</t>
  </si>
  <si>
    <t>Mexico</t>
  </si>
  <si>
    <t>Moscow</t>
  </si>
  <si>
    <t>Russia</t>
  </si>
  <si>
    <t>New Delhi (Delhi)</t>
  </si>
  <si>
    <t>India</t>
  </si>
  <si>
    <t>Paris</t>
  </si>
  <si>
    <t>France</t>
  </si>
  <si>
    <t>Riyadh</t>
  </si>
  <si>
    <t>Saudi Arabia</t>
  </si>
  <si>
    <t>Santiago</t>
  </si>
  <si>
    <t>Chile</t>
  </si>
  <si>
    <t>Seoul</t>
  </si>
  <si>
    <t>South Korea</t>
  </si>
  <si>
    <t>Singapore</t>
  </si>
  <si>
    <t>Tehran</t>
  </si>
  <si>
    <t>Iran</t>
  </si>
  <si>
    <t>Tokyo</t>
  </si>
  <si>
    <t>Japan</t>
  </si>
  <si>
    <t>Sandwiches</t>
  </si>
  <si>
    <t>Avocado Toast Sandwiches</t>
  </si>
  <si>
    <t>Bacon Cheeseburgers</t>
  </si>
  <si>
    <t>Bacon, Lettuce and Tomato Sandwiches</t>
  </si>
  <si>
    <t>Banh Mi Sandwiches</t>
  </si>
  <si>
    <t>BBQ Burgers</t>
  </si>
  <si>
    <t>Bison Burgers</t>
  </si>
  <si>
    <t>Black Bean Burgers</t>
  </si>
  <si>
    <t>BLT Sandwiches</t>
  </si>
  <si>
    <t>California Burgers</t>
  </si>
  <si>
    <t>Caprese Sandwiches</t>
  </si>
  <si>
    <t>Carolina Burgers</t>
  </si>
  <si>
    <t>Chickpea Salad</t>
  </si>
  <si>
    <t>Chili Burgers</t>
  </si>
  <si>
    <t>Club Sandwiches</t>
  </si>
  <si>
    <t>Croque Sandwiches</t>
  </si>
  <si>
    <t>Cuban Sandwiches</t>
  </si>
  <si>
    <t>Cucumber Tea Sandwich</t>
  </si>
  <si>
    <t>Double Cheeseburger</t>
  </si>
  <si>
    <t>Egg Salad Salad Sandwiches</t>
  </si>
  <si>
    <t>Falafel Pita</t>
  </si>
  <si>
    <t>French Dip Sandwiches</t>
  </si>
  <si>
    <t>Fried Egg Sandwiches</t>
  </si>
  <si>
    <t>Frisco Burgers</t>
  </si>
  <si>
    <t>Grilled Cheese Sandwiches</t>
  </si>
  <si>
    <t>Gyro Sandwiches</t>
  </si>
  <si>
    <t>Halloumi Sandwiches</t>
  </si>
  <si>
    <t>Ham and Cheese Sandwiches</t>
  </si>
  <si>
    <t>Hawaiian Burgers</t>
  </si>
  <si>
    <t>Hummus and Veggie Sandwiches</t>
  </si>
  <si>
    <t>Lobster Sandwiches</t>
  </si>
  <si>
    <t>Meatball Sandwiches</t>
  </si>
  <si>
    <t>Monte Cristo Sandwiches</t>
  </si>
  <si>
    <t>Mushroom Swiss Burgers</t>
  </si>
  <si>
    <t>Panini Sandwiches</t>
  </si>
  <si>
    <t>Patty Melts</t>
  </si>
  <si>
    <t>Peanut Butter and Jelly Sandwiches</t>
  </si>
  <si>
    <t>Philly Cheese Steak Sandwiches</t>
  </si>
  <si>
    <t>Pimento Cheese Sandwiches</t>
  </si>
  <si>
    <t>Portobello Mushroom Burgers</t>
  </si>
  <si>
    <t>Reuben Sandwiches</t>
  </si>
  <si>
    <t>Roast Beef Sandwiches</t>
  </si>
  <si>
    <t>Roasted Vegetable Panini</t>
  </si>
  <si>
    <t>Salmon Burgers</t>
  </si>
  <si>
    <t>Shawarma Sandwiches</t>
  </si>
  <si>
    <t>Tofu Banh Mi Sandwiches</t>
  </si>
  <si>
    <t>Tomato Sandwiches</t>
  </si>
  <si>
    <t>Tuna Sandwiches</t>
  </si>
  <si>
    <t>Turkey Burgers</t>
  </si>
  <si>
    <t>Turkey Club Sandwiches</t>
  </si>
  <si>
    <t>Veggie Burgers</t>
  </si>
  <si>
    <t>Veggie Sandwiches</t>
  </si>
  <si>
    <t>IMPROVEMENT</t>
  </si>
  <si>
    <t>TERMYEARS</t>
  </si>
  <si>
    <t>LEVYFRONTAGEFOOT</t>
  </si>
  <si>
    <t>Asphalt Surface Roadways</t>
  </si>
  <si>
    <t>Boulevards</t>
  </si>
  <si>
    <t>Concrete Lane Pavement</t>
  </si>
  <si>
    <t>Concrete Sidewalk</t>
  </si>
  <si>
    <t>Concrete Street Pavement</t>
  </si>
  <si>
    <t>Granular Surface Lanes</t>
  </si>
  <si>
    <t>Lane Lighting on Wood Poles</t>
  </si>
  <si>
    <t>Lane Oiling</t>
  </si>
  <si>
    <t>Ornamental Lights Lane</t>
  </si>
  <si>
    <t>Ornamental Lights Street</t>
  </si>
  <si>
    <t>Road Oiling</t>
  </si>
  <si>
    <t>Wastewater Sewers</t>
  </si>
  <si>
    <t>Watermains</t>
  </si>
  <si>
    <t>Abernathy's</t>
  </si>
  <si>
    <t>Adler &amp; Frost</t>
  </si>
  <si>
    <t>Apex &amp; Co.</t>
  </si>
  <si>
    <t>Arcane Cloud</t>
  </si>
  <si>
    <t>Ashworth &amp; Browne</t>
  </si>
  <si>
    <t>Bainbridge's</t>
  </si>
  <si>
    <t>Barrow &amp; Kent</t>
  </si>
  <si>
    <t>Bayside Traders</t>
  </si>
  <si>
    <t>Beaumont &amp; Crest</t>
  </si>
  <si>
    <t>Beckett &amp; Thorne</t>
  </si>
  <si>
    <t>Beedle Microsystems</t>
  </si>
  <si>
    <t>Bremmer's</t>
  </si>
  <si>
    <t>Buck Motors</t>
  </si>
  <si>
    <t>Caldwell's</t>
  </si>
  <si>
    <t>Cannonshade</t>
  </si>
  <si>
    <t>Cavewell</t>
  </si>
  <si>
    <t>Century Plaza</t>
  </si>
  <si>
    <t>Cerulean Square</t>
  </si>
  <si>
    <t>Chadwick's</t>
  </si>
  <si>
    <t>Civic Square</t>
  </si>
  <si>
    <t>Clover Asset Distribution</t>
  </si>
  <si>
    <t>Crestwood &amp; Moore</t>
  </si>
  <si>
    <t>Cryptic Solutions</t>
  </si>
  <si>
    <t>Curate</t>
  </si>
  <si>
    <t>Current</t>
  </si>
  <si>
    <t>Davenport's</t>
  </si>
  <si>
    <t>Dawson &amp; Reed</t>
  </si>
  <si>
    <t>Desire Square</t>
  </si>
  <si>
    <t>Dinosaur Systems</t>
  </si>
  <si>
    <t>Dreammedia</t>
  </si>
  <si>
    <t>Dynamic Cloud</t>
  </si>
  <si>
    <t>Echelon</t>
  </si>
  <si>
    <t>Ellington's</t>
  </si>
  <si>
    <t>Ellison's</t>
  </si>
  <si>
    <t>Energence</t>
  </si>
  <si>
    <t>Epiphany Plaza</t>
  </si>
  <si>
    <t>Fairbanks</t>
  </si>
  <si>
    <t>Finch</t>
  </si>
  <si>
    <t>Finley &amp; Clarke</t>
  </si>
  <si>
    <t>FlamingApple Industries</t>
  </si>
  <si>
    <t>Fletcher &amp; Gable</t>
  </si>
  <si>
    <t>Garrison's</t>
  </si>
  <si>
    <t>Gemstone Square</t>
  </si>
  <si>
    <t>Gentry's</t>
  </si>
  <si>
    <t>Golbrews</t>
  </si>
  <si>
    <t>Grand Harbor Square</t>
  </si>
  <si>
    <t>Grand Palace Plaza</t>
  </si>
  <si>
    <t>Grand Palace Square</t>
  </si>
  <si>
    <t>Halloway &amp; Sons</t>
  </si>
  <si>
    <t>Harborview</t>
  </si>
  <si>
    <t>Hargrove's</t>
  </si>
  <si>
    <t>Harrington &amp; Poe</t>
  </si>
  <si>
    <t>Hatchworks</t>
  </si>
  <si>
    <t>High Tide Industries</t>
  </si>
  <si>
    <t>Homebar Sense</t>
  </si>
  <si>
    <t>Hookforce</t>
  </si>
  <si>
    <t>Hurricane Networks</t>
  </si>
  <si>
    <t>Icecap Coms</t>
  </si>
  <si>
    <t>Index Ltd. Co.</t>
  </si>
  <si>
    <t>Inspiration Square</t>
  </si>
  <si>
    <t>Karmanite</t>
  </si>
  <si>
    <t>Kensington Dry Goods</t>
  </si>
  <si>
    <t>Kincaid's</t>
  </si>
  <si>
    <t>Langley &amp; Shaw</t>
  </si>
  <si>
    <t>LionNetworks</t>
  </si>
  <si>
    <t>Loom Productions</t>
  </si>
  <si>
    <t>Luxury Plaza</t>
  </si>
  <si>
    <t>Market Street Mercantile</t>
  </si>
  <si>
    <t>Memorial Square</t>
  </si>
  <si>
    <t>Miller &amp; Paine</t>
  </si>
  <si>
    <t>Miracle Square</t>
  </si>
  <si>
    <t>Mode Merchandise</t>
  </si>
  <si>
    <t>Monolith Square</t>
  </si>
  <si>
    <t>Monroe &amp; Main</t>
  </si>
  <si>
    <t>Montgomery's</t>
  </si>
  <si>
    <t>Motionair</t>
  </si>
  <si>
    <t>Nebula Square</t>
  </si>
  <si>
    <t>Nexus</t>
  </si>
  <si>
    <t>Opulence Plaza</t>
  </si>
  <si>
    <t>Oracle Square</t>
  </si>
  <si>
    <t>Orc Limited</t>
  </si>
  <si>
    <t>Paragon Collective</t>
  </si>
  <si>
    <t>Paragon Square</t>
  </si>
  <si>
    <t>Parkview Galleria</t>
  </si>
  <si>
    <t>Peace Blossom Plaza</t>
  </si>
  <si>
    <t>Pendergast &amp; Co.</t>
  </si>
  <si>
    <t>Penfield's</t>
  </si>
  <si>
    <t>Phenomenologies</t>
  </si>
  <si>
    <t>Pilgrimage Square</t>
  </si>
  <si>
    <t>Pillar Products</t>
  </si>
  <si>
    <t>Pride Productions</t>
  </si>
  <si>
    <t>Primeworth</t>
  </si>
  <si>
    <t>Ridge Corporation</t>
  </si>
  <si>
    <t>Riverfront Collective</t>
  </si>
  <si>
    <t>Robinwheels</t>
  </si>
  <si>
    <t>Root Technologies</t>
  </si>
  <si>
    <t>Rosecurity</t>
  </si>
  <si>
    <t>Rothman's</t>
  </si>
  <si>
    <t>Rutherford's</t>
  </si>
  <si>
    <t>Sanguine Plaza</t>
  </si>
  <si>
    <t>Scope Suppliers</t>
  </si>
  <si>
    <t>Silver Oak Square</t>
  </si>
  <si>
    <t>Sinclair &amp; Dunn</t>
  </si>
  <si>
    <t>Slickops</t>
  </si>
  <si>
    <t>Sloane &amp; Rutherford</t>
  </si>
  <si>
    <t>Smart Technologies</t>
  </si>
  <si>
    <t>Smile Distributing</t>
  </si>
  <si>
    <t>Solace Wholesale</t>
  </si>
  <si>
    <t>Spirit Enterprises</t>
  </si>
  <si>
    <t>Spirite Technologies</t>
  </si>
  <si>
    <t>Stanhope's</t>
  </si>
  <si>
    <t>Sterling &amp; Price</t>
  </si>
  <si>
    <t>Sunlight Industries</t>
  </si>
  <si>
    <t>Surge Enterprises</t>
  </si>
  <si>
    <t>Tempest Technologies</t>
  </si>
  <si>
    <t>Temple Plaza</t>
  </si>
  <si>
    <t>Troncheim Plaza</t>
  </si>
  <si>
    <t>The Anchor</t>
  </si>
  <si>
    <t>The Arcadian</t>
  </si>
  <si>
    <t>The Bell Tower</t>
  </si>
  <si>
    <t>The Boulevard</t>
  </si>
  <si>
    <t>The Capitol</t>
  </si>
  <si>
    <t>The City Centre</t>
  </si>
  <si>
    <t>The Commonwealth</t>
  </si>
  <si>
    <t>The Compass</t>
  </si>
  <si>
    <t>The Conclave</t>
  </si>
  <si>
    <t>The Copper Loom</t>
  </si>
  <si>
    <t>The Corner Collection</t>
  </si>
  <si>
    <t>The Criterion</t>
  </si>
  <si>
    <t>The Emporium</t>
  </si>
  <si>
    <t>The Exchange</t>
  </si>
  <si>
    <t>The Fifth Avenue Exchange</t>
  </si>
  <si>
    <t>The Foundation</t>
  </si>
  <si>
    <t>The Galleria</t>
  </si>
  <si>
    <t>The Gilded Griffin</t>
  </si>
  <si>
    <t>The Golden Lion</t>
  </si>
  <si>
    <t>The Grand Mercantile</t>
  </si>
  <si>
    <t>The Hive</t>
  </si>
  <si>
    <t>The Landmark</t>
  </si>
  <si>
    <t>The Lantern</t>
  </si>
  <si>
    <t>The Mainstay</t>
  </si>
  <si>
    <t>The Metropolis</t>
  </si>
  <si>
    <t>The Oak Tree</t>
  </si>
  <si>
    <t>The Pinnacle</t>
  </si>
  <si>
    <t>The Plaza</t>
  </si>
  <si>
    <t>The Prestige</t>
  </si>
  <si>
    <t>The Silver Spire</t>
  </si>
  <si>
    <t>The Silver Swan</t>
  </si>
  <si>
    <t>The Sovereign</t>
  </si>
  <si>
    <t>The Standard</t>
  </si>
  <si>
    <t>The Uptown</t>
  </si>
  <si>
    <t>Trace Technologies</t>
  </si>
  <si>
    <t>Tribute Plaza</t>
  </si>
  <si>
    <t>Tribute Square</t>
  </si>
  <si>
    <t>Union Square Goods</t>
  </si>
  <si>
    <t>Utopia Plaza</t>
  </si>
  <si>
    <t>Vale Wholesale</t>
  </si>
  <si>
    <t>Vander's</t>
  </si>
  <si>
    <t>Verity Warehouse</t>
  </si>
  <si>
    <t>Verve Warehouse</t>
  </si>
  <si>
    <t>Vineyard Square</t>
  </si>
  <si>
    <t>Vortex Co.</t>
  </si>
  <si>
    <t>Wainwright's</t>
  </si>
  <si>
    <t>Warren &amp; Vick's</t>
  </si>
  <si>
    <t>Whitfield &amp; Hayes</t>
  </si>
  <si>
    <t>Worldworks</t>
  </si>
  <si>
    <t>Zenith Goods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</si>
</sst>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  <font>
      <sz val="11.0"/>
      <color rgb="FF000000"/>
      <name val="Aptos Narrow"/>
    </font>
    <font>
      <sz val="11.0"/>
      <color theme="1"/>
      <name val="Aptos Narrow"/>
    </font>
    <font>
      <sz val="10.0"/>
      <color theme="1"/>
      <name val="Arimo"/>
    </font>
    <font>
      <sz val="10.0"/>
      <color theme="1"/>
      <name val="Arial"/>
    </font>
    <font>
      <sz val="8.0"/>
      <color rgb="FFFFFFFF"/>
      <name val="Aptos Narrow"/>
    </font>
    <font>
      <sz val="8.0"/>
      <color theme="1"/>
      <name val="Aptos Narrow"/>
    </font>
    <font>
      <sz val="8.0"/>
      <color rgb="FFFFFFFF"/>
      <name val="Arial"/>
    </font>
    <font>
      <sz val="8.0"/>
      <color theme="1"/>
      <name val="Arial"/>
    </font>
    <font>
      <sz val="10.0"/>
      <color rgb="FFFFFFFF"/>
      <name val="Arial"/>
    </font>
    <font>
      <b/>
      <sz val="8.0"/>
      <color theme="1"/>
      <name val="Aptos Narrow"/>
    </font>
    <font>
      <sz val="11.0"/>
      <color rgb="FF1B1C1D"/>
      <name val="Arial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top style="medium">
        <color rgb="FFCCCCCC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Font="1"/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" fillId="0" fontId="6" numFmtId="0" xfId="0" applyAlignment="1" applyBorder="1" applyFont="1">
      <alignment horizontal="right" shrinkToFit="0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vertical="center"/>
    </xf>
    <xf borderId="2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horizontal="right" shrinkToFit="0" wrapText="1"/>
    </xf>
    <xf borderId="0" fillId="0" fontId="7" numFmtId="0" xfId="0" applyFont="1"/>
    <xf borderId="0" fillId="0" fontId="8" numFmtId="0" xfId="0" applyFont="1"/>
    <xf borderId="1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0" fillId="0" fontId="10" numFmtId="0" xfId="0" applyAlignment="1" applyFont="1">
      <alignment shrinkToFit="0" wrapText="1"/>
    </xf>
    <xf borderId="0" fillId="0" fontId="8" numFmtId="0" xfId="0" applyFont="1"/>
    <xf borderId="1" fillId="0" fontId="10" numFmtId="0" xfId="0" applyAlignment="1" applyBorder="1" applyFont="1">
      <alignment shrinkToFit="0" wrapText="1"/>
    </xf>
    <xf borderId="1" fillId="0" fontId="10" numFmtId="0" xfId="0" applyAlignment="1" applyBorder="1" applyFont="1">
      <alignment horizontal="right" shrinkToFit="0" wrapText="1"/>
    </xf>
    <xf borderId="3" fillId="0" fontId="10" numFmtId="0" xfId="0" applyAlignment="1" applyBorder="1" applyFont="1">
      <alignment horizontal="right" shrinkToFit="0" wrapText="1"/>
    </xf>
    <xf borderId="0" fillId="0" fontId="10" numFmtId="0" xfId="0" applyAlignment="1" applyFont="1">
      <alignment horizontal="right" shrinkToFit="0" wrapText="1"/>
    </xf>
    <xf borderId="3" fillId="0" fontId="11" numFmtId="0" xfId="0" applyAlignment="1" applyBorder="1" applyFont="1">
      <alignment vertical="center"/>
    </xf>
    <xf borderId="3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vertical="center"/>
    </xf>
    <xf borderId="4" fillId="0" fontId="11" numFmtId="0" xfId="0" applyAlignment="1" applyBorder="1" applyFont="1">
      <alignment shrinkToFit="0" wrapText="1"/>
    </xf>
    <xf borderId="5" fillId="0" fontId="11" numFmtId="0" xfId="0" applyAlignment="1" applyBorder="1" applyFont="1">
      <alignment shrinkToFit="0" wrapText="1"/>
    </xf>
    <xf borderId="6" fillId="0" fontId="11" numFmtId="0" xfId="0" applyAlignment="1" applyBorder="1" applyFont="1">
      <alignment vertical="center"/>
    </xf>
    <xf borderId="7" fillId="0" fontId="6" numFmtId="0" xfId="0" applyAlignment="1" applyBorder="1" applyFont="1">
      <alignment shrinkToFit="0" wrapText="1"/>
    </xf>
    <xf borderId="1" fillId="0" fontId="6" numFmtId="3" xfId="0" applyAlignment="1" applyBorder="1" applyFont="1" applyNumberFormat="1">
      <alignment horizontal="right" shrinkToFit="0" wrapText="1"/>
    </xf>
    <xf borderId="3" fillId="0" fontId="6" numFmtId="0" xfId="0" applyAlignment="1" applyBorder="1" applyFont="1">
      <alignment horizontal="right" shrinkToFit="0" wrapText="1"/>
    </xf>
    <xf borderId="8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horizontal="right" shrinkToFit="0" wrapText="1"/>
    </xf>
    <xf borderId="10" fillId="0" fontId="6" numFmtId="0" xfId="0" applyAlignment="1" applyBorder="1" applyFont="1">
      <alignment horizontal="right" shrinkToFit="0" wrapText="1"/>
    </xf>
    <xf borderId="0" fillId="0" fontId="12" numFmtId="0" xfId="0" applyFont="1"/>
    <xf borderId="0" fillId="0" fontId="13" numFmtId="0" xfId="0" applyAlignment="1" applyFont="1">
      <alignment horizontal="left" readingOrder="1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</dxfs>
  <tableStyles count="17">
    <tableStyle count="3" pivot="0" name="Query1-style">
      <tableStyleElement dxfId="1" type="headerRow"/>
      <tableStyleElement dxfId="2" type="firstRowStripe"/>
      <tableStyleElement dxfId="3" type="secondRowStripe"/>
    </tableStyle>
    <tableStyle count="3" pivot="0" name="Names-style">
      <tableStyleElement dxfId="4" type="headerRow"/>
      <tableStyleElement dxfId="5" type="firstRowStripe"/>
      <tableStyleElement dxfId="3" type="secondRowStripe"/>
    </tableStyle>
    <tableStyle count="3" pivot="0" name="AssetServiceCosts-style">
      <tableStyleElement dxfId="4" type="headerRow"/>
      <tableStyleElement dxfId="5" type="firstRowStripe"/>
      <tableStyleElement dxfId="3" type="secondRowStripe"/>
    </tableStyle>
    <tableStyle count="3" pivot="0" name="ObjectUserCosts-style">
      <tableStyleElement dxfId="4" type="headerRow"/>
      <tableStyleElement dxfId="5" type="firstRowStripe"/>
      <tableStyleElement dxfId="3" type="secondRowStripe"/>
    </tableStyle>
    <tableStyle count="3" pivot="0" name="RateScenarios-style">
      <tableStyleElement dxfId="4" type="headerRow"/>
      <tableStyleElement dxfId="5" type="firstRowStripe"/>
      <tableStyleElement dxfId="3" type="secondRowStripe"/>
    </tableStyle>
    <tableStyle count="3" pivot="0" name="Municipalities-style">
      <tableStyleElement dxfId="4" type="headerRow"/>
      <tableStyleElement dxfId="5" type="firstRowStripe"/>
      <tableStyleElement dxfId="3" type="secondRowStripe"/>
    </tableStyle>
    <tableStyle count="3" pivot="0" name="Vehicles-style">
      <tableStyleElement dxfId="4" type="headerRow"/>
      <tableStyleElement dxfId="5" type="firstRowStripe"/>
      <tableStyleElement dxfId="3" type="secondRowStripe"/>
    </tableStyle>
    <tableStyle count="3" pivot="0" name="Vehicles-style 2">
      <tableStyleElement dxfId="4" type="headerRow"/>
      <tableStyleElement dxfId="5" type="firstRowStripe"/>
      <tableStyleElement dxfId="3" type="secondRowStripe"/>
    </tableStyle>
    <tableStyle count="3" pivot="0" name="Theaters-style">
      <tableStyleElement dxfId="4" type="headerRow"/>
      <tableStyleElement dxfId="5" type="firstRowStripe"/>
      <tableStyleElement dxfId="3" type="secondRowStripe"/>
    </tableStyle>
    <tableStyle count="3" pivot="0" name="Courses-style">
      <tableStyleElement dxfId="4" type="headerRow"/>
      <tableStyleElement dxfId="5" type="firstRowStripe"/>
      <tableStyleElement dxfId="3" type="secondRowStripe"/>
    </tableStyle>
    <tableStyle count="3" pivot="0" name="SummerJobs-style">
      <tableStyleElement dxfId="4" type="headerRow"/>
      <tableStyleElement dxfId="5" type="firstRowStripe"/>
      <tableStyleElement dxfId="3" type="secondRowStripe"/>
    </tableStyle>
    <tableStyle count="3" pivot="0" name="Currency-style">
      <tableStyleElement dxfId="1" type="headerRow"/>
      <tableStyleElement dxfId="2" type="firstRowStripe"/>
      <tableStyleElement dxfId="3" type="secondRowStripe"/>
    </tableStyle>
    <tableStyle count="3" pivot="0" name="PlacesCDN-style">
      <tableStyleElement dxfId="4" type="headerRow"/>
      <tableStyleElement dxfId="5" type="firstRowStripe"/>
      <tableStyleElement dxfId="3" type="secondRowStripe"/>
    </tableStyle>
    <tableStyle count="3" pivot="0" name="PlacesGLOBAL-style">
      <tableStyleElement dxfId="4" type="headerRow"/>
      <tableStyleElement dxfId="5" type="firstRowStripe"/>
      <tableStyleElement dxfId="3" type="secondRowStripe"/>
    </tableStyle>
    <tableStyle count="3" pivot="0" name="Sandwiches-style">
      <tableStyleElement dxfId="4" type="headerRow"/>
      <tableStyleElement dxfId="5" type="firstRowStripe"/>
      <tableStyleElement dxfId="3" type="secondRowStripe"/>
    </tableStyle>
    <tableStyle count="3" pivot="0" name="ImprovementLevies-style">
      <tableStyleElement dxfId="4" type="headerRow"/>
      <tableStyleElement dxfId="5" type="firstRowStripe"/>
      <tableStyleElement dxfId="3" type="secondRowStripe"/>
    </tableStyle>
    <tableStyle count="3" pivot="0" name="Businesses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4" displayName="Table_1" name="Table_1" id="1">
  <tableColumns count="2">
    <tableColumn name="Name" id="1"/>
    <tableColumn name="RowCount" id="2"/>
  </tableColumns>
  <tableStyleInfo name="Query1-style" showColumnStripes="0" showFirstColumn="1" showLastColumn="1" showRowStripes="1"/>
</table>
</file>

<file path=xl/tables/table2.xml><?xml version="1.0" encoding="utf-8"?>
<table xmlns="http://schemas.openxmlformats.org/spreadsheetml/2006/main" ref="A1:I731" displayName="Table_2" name="Table_2" id="2">
  <tableColumns count="9">
    <tableColumn name="Code" id="1"/>
    <tableColumn name="Gender" id="2"/>
    <tableColumn name="FullName" id="3"/>
    <tableColumn name="FirstName" id="4"/>
    <tableColumn name="LastName" id="5"/>
    <tableColumn name="Title" id="6"/>
    <tableColumn name="SheHeThey" id="7"/>
    <tableColumn name="HerHimThem" id="8"/>
    <tableColumn name="HerHisTheir" id="9"/>
  </tableColumns>
  <tableStyleInfo name="Names-style" showColumnStripes="0" showFirstColumn="1" showLastColumn="1" showRowStripes="1"/>
</table>
</file>

<file path=xl/tables/table3.xml><?xml version="1.0" encoding="utf-8"?>
<table xmlns="http://schemas.openxmlformats.org/spreadsheetml/2006/main" ref="A1:H47" displayName="Table_3" name="Table_3" id="3">
  <tableColumns count="8">
    <tableColumn name="Code" id="1"/>
    <tableColumn name="Item" id="2"/>
    <tableColumn name="Low" id="3"/>
    <tableColumn name="High" id="4"/>
    <tableColumn name="FLow" id="5"/>
    <tableColumn name="FHigh" id="6"/>
    <tableColumn name="Column1" id="7"/>
    <tableColumn name="ASSET/SERVICE" id="8"/>
  </tableColumns>
  <tableStyleInfo name="AssetServiceCosts-style" showColumnStripes="0" showFirstColumn="1" showLastColumn="1" showRowStripes="1"/>
</table>
</file>

<file path=xl/tables/table4.xml><?xml version="1.0" encoding="utf-8"?>
<table xmlns="http://schemas.openxmlformats.org/spreadsheetml/2006/main" ref="A1:K104" displayName="Table_4" name="Table_4" id="4">
  <tableColumns count="11">
    <tableColumn name="Code" id="1"/>
    <tableColumn name="Object" id="2"/>
    <tableColumn name="QtyinPack" id="3"/>
    <tableColumn name="UnitLow" id="4"/>
    <tableColumn name="UnitHigh" id="5"/>
    <tableColumn name="PersonUses" id="6"/>
    <tableColumn name="Category" id="7"/>
    <tableColumn name="UnitSINGULAR" id="8"/>
    <tableColumn name="UnitPLURAL" id="9"/>
    <tableColumn name="ProfessionArticle" id="10"/>
    <tableColumn name="ObjectSingular" id="11"/>
  </tableColumns>
  <tableStyleInfo name="ObjectUserCosts-style" showColumnStripes="0" showFirstColumn="1" showLastColumn="1" showRowStripes="1"/>
</table>
</file>

<file path=xl/tables/table5.xml><?xml version="1.0" encoding="utf-8"?>
<table xmlns="http://schemas.openxmlformats.org/spreadsheetml/2006/main" ref="A1:E51" displayName="Table_5" name="Table_5" id="5">
  <tableColumns count="5">
    <tableColumn name="verb" id="1"/>
    <tableColumn name="obj1" id="2"/>
    <tableColumn name="obj2" id="3"/>
    <tableColumn name="obj3" id="4"/>
    <tableColumn name="total_phrase" id="5"/>
  </tableColumns>
  <tableStyleInfo name="RateScenarios-style" showColumnStripes="0" showFirstColumn="1" showLastColumn="1" showRowStripes="1"/>
</table>
</file>

<file path=xl/tables/table6.xml><?xml version="1.0" encoding="utf-8"?>
<table xmlns="http://schemas.openxmlformats.org/spreadsheetml/2006/main" ref="A1:G3791" displayName="Table_6" name="Table_6" id="6">
  <tableColumns count="7">
    <tableColumn name="Code" id="1"/>
    <tableColumn name="MunName" id="2"/>
    <tableColumn name="Property_Address" id="3"/>
    <tableColumn name="MunCode" id="4"/>
    <tableColumn name="Dwelling_Units" id="5"/>
    <tableColumn name="Frontage(ft)" id="6"/>
    <tableColumn name="Total_Value" id="7"/>
  </tableColumns>
  <tableStyleInfo name="Municipalities-style" showColumnStripes="0" showFirstColumn="1" showLastColumn="1" showRowStripes="1"/>
</table>
</file>

<file path=xl/tables/table7.xml><?xml version="1.0" encoding="utf-8"?>
<table xmlns="http://schemas.openxmlformats.org/spreadsheetml/2006/main" ref="A1:E101" displayName="Table_7" name="Table_7" id="7">
  <tableColumns count="5">
    <tableColumn name="Code" id="1"/>
    <tableColumn name="Make" id="2"/>
    <tableColumn name="Model" id="3"/>
    <tableColumn name="Package" id="4"/>
    <tableColumn name="FullName" id="5"/>
  </tableColumns>
  <tableStyleInfo name="Vehicles-style" showColumnStripes="0" showFirstColumn="1" showLastColumn="1" showRowStripes="1"/>
</table>
</file>

<file path=xl/tables/table8.xml><?xml version="1.0" encoding="utf-8"?>
<table xmlns="http://schemas.openxmlformats.org/spreadsheetml/2006/main" ref="K1:P38" displayName="Table_8" name="Table_8" id="8">
  <tableColumns count="6">
    <tableColumn name="Code" id="1"/>
    <tableColumn name="RepairItem" id="2"/>
    <tableColumn name="CostLOW" id="3"/>
    <tableColumn name="CostHIGH" id="4"/>
    <tableColumn name="TimeLOW" id="5"/>
    <tableColumn name="TimeHIGH" id="6"/>
  </tableColumns>
  <tableStyleInfo name="Vehicles-style 2" showColumnStripes="0" showFirstColumn="1" showLastColumn="1" showRowStripes="1"/>
</table>
</file>

<file path=xl/tables/table9.xml><?xml version="1.0" encoding="utf-8"?>
<table xmlns="http://schemas.openxmlformats.org/spreadsheetml/2006/main" ref="A1:B51" displayName="Table_9" name="Table_9" id="9">
  <tableColumns count="2">
    <tableColumn name="Code" id="1"/>
    <tableColumn name="BusinessName" id="2"/>
  </tableColumns>
  <tableStyleInfo name="Theaters-style" showColumnStripes="0" showFirstColumn="1" showLastColumn="1" showRowStripes="1"/>
</table>
</file>

<file path=xl/tables/table10.xml><?xml version="1.0" encoding="utf-8"?>
<table xmlns="http://schemas.openxmlformats.org/spreadsheetml/2006/main" ref="A1:B43" displayName="Table_10" name="Table_10" id="10">
  <tableColumns count="2">
    <tableColumn name="Code" id="1"/>
    <tableColumn name="Course Title" id="2"/>
  </tableColumns>
  <tableStyleInfo name="Courses-style" showColumnStripes="0" showFirstColumn="1" showLastColumn="1" showRowStripes="1"/>
</table>
</file>

<file path=xl/tables/table11.xml><?xml version="1.0" encoding="utf-8"?>
<table xmlns="http://schemas.openxmlformats.org/spreadsheetml/2006/main" ref="A1:B51" displayName="Table_11" name="Table_11" id="11">
  <tableColumns count="2">
    <tableColumn name="Code" id="1"/>
    <tableColumn name="Summer Job Descriptions" id="2"/>
  </tableColumns>
  <tableStyleInfo name="SummerJobs-style" showColumnStripes="0" showFirstColumn="1" showLastColumn="1" showRowStripes="1"/>
</table>
</file>

<file path=xl/tables/table12.xml><?xml version="1.0" encoding="utf-8"?>
<table xmlns="http://schemas.openxmlformats.org/spreadsheetml/2006/main" ref="A1:D52" displayName="Table_12" name="Table_12" id="12">
  <tableColumns count="4">
    <tableColumn name="Code" id="1"/>
    <tableColumn name="Canadian Dollar▲" id="2"/>
    <tableColumn name="1.00 CAD▲▼" id="3"/>
    <tableColumn name="inv. 1.00 CAD▲▼" id="4"/>
  </tableColumns>
  <tableStyleInfo name="Currency-style" showColumnStripes="0" showFirstColumn="1" showLastColumn="1" showRowStripes="1"/>
</table>
</file>

<file path=xl/tables/table13.xml><?xml version="1.0" encoding="utf-8"?>
<table xmlns="http://schemas.openxmlformats.org/spreadsheetml/2006/main" ref="A1:H99" displayName="Table_13" name="Table_13" id="13">
  <tableColumns count="8">
    <tableColumn name="Code" id="1"/>
    <tableColumn name="City" id="2"/>
    <tableColumn name="Province/Territory" id="3"/>
    <tableColumn name="Population (2021)" id="4"/>
    <tableColumn name="Average July Temp (°C)" id="5"/>
    <tableColumn name="Avg. Monthly Precip. (mm)" id="6"/>
    <tableColumn name="Abbr" id="7"/>
    <tableColumn name="FullName" id="8"/>
  </tableColumns>
  <tableStyleInfo name="PlacesCDN-style" showColumnStripes="0" showFirstColumn="1" showLastColumn="1" showRowStripes="1"/>
</table>
</file>

<file path=xl/tables/table14.xml><?xml version="1.0" encoding="utf-8"?>
<table xmlns="http://schemas.openxmlformats.org/spreadsheetml/2006/main" ref="A1:D26" displayName="Table_14" name="Table_14" id="14">
  <tableColumns count="4">
    <tableColumn name="Code" id="1"/>
    <tableColumn name="City" id="2"/>
    <tableColumn name="Nation" id="3"/>
    <tableColumn name="Population" id="4"/>
  </tableColumns>
  <tableStyleInfo name="PlacesGLOBAL-style" showColumnStripes="0" showFirstColumn="1" showLastColumn="1" showRowStripes="1"/>
</table>
</file>

<file path=xl/tables/table15.xml><?xml version="1.0" encoding="utf-8"?>
<table xmlns="http://schemas.openxmlformats.org/spreadsheetml/2006/main" ref="A1:B52" displayName="Table_15" name="Table_15" id="15">
  <tableColumns count="2">
    <tableColumn name="Code" id="1"/>
    <tableColumn name="Sandwiches" id="2"/>
  </tableColumns>
  <tableStyleInfo name="Sandwiches-style" showColumnStripes="0" showFirstColumn="1" showLastColumn="1" showRowStripes="1"/>
</table>
</file>

<file path=xl/tables/table16.xml><?xml version="1.0" encoding="utf-8"?>
<table xmlns="http://schemas.openxmlformats.org/spreadsheetml/2006/main" ref="A1:F14" displayName="Table_16" name="Table_16" id="16">
  <tableColumns count="6">
    <tableColumn name="Code" id="1"/>
    <tableColumn name="IMPROVEMENT" id="2"/>
    <tableColumn name="TERMYEARS" id="3"/>
    <tableColumn name="LEVYFRONTAGEFOOT" id="4"/>
    <tableColumn name="Low" id="5"/>
    <tableColumn name="High" id="6"/>
  </tableColumns>
  <tableStyleInfo name="ImprovementLevies-style" showColumnStripes="0" showFirstColumn="1" showLastColumn="1" showRowStripes="1"/>
</table>
</file>

<file path=xl/tables/table17.xml><?xml version="1.0" encoding="utf-8"?>
<table xmlns="http://schemas.openxmlformats.org/spreadsheetml/2006/main" ref="A1:B171" displayName="Table_17" name="Table_17" id="17">
  <tableColumns count="2">
    <tableColumn name="Code" id="1"/>
    <tableColumn name="BusinessName" id="2"/>
  </tableColumns>
  <tableStyleInfo name="Busines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2.75"/>
    <col customWidth="1" min="3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>
        <v>12.0</v>
      </c>
    </row>
    <row r="3" ht="14.25" customHeight="1">
      <c r="A3" s="2" t="s">
        <v>3</v>
      </c>
      <c r="B3" s="2">
        <v>170.0</v>
      </c>
    </row>
    <row r="4" ht="14.25" customHeight="1">
      <c r="A4" s="2" t="s">
        <v>4</v>
      </c>
      <c r="B4" s="2">
        <v>98.0</v>
      </c>
    </row>
    <row r="5" ht="14.25" customHeight="1">
      <c r="A5" s="2" t="s">
        <v>5</v>
      </c>
      <c r="B5" s="2">
        <v>42.0</v>
      </c>
    </row>
    <row r="6" ht="14.25" customHeight="1">
      <c r="A6" s="2" t="s">
        <v>6</v>
      </c>
      <c r="B6" s="2">
        <v>51.0</v>
      </c>
    </row>
    <row r="7" ht="14.25" customHeight="1">
      <c r="A7" s="2" t="s">
        <v>7</v>
      </c>
      <c r="B7" s="2">
        <v>25.0</v>
      </c>
    </row>
    <row r="8" ht="14.25" customHeight="1">
      <c r="A8" s="2" t="s">
        <v>8</v>
      </c>
      <c r="B8" s="2">
        <v>13.0</v>
      </c>
    </row>
    <row r="9" ht="14.25" customHeight="1">
      <c r="A9" s="2" t="s">
        <v>9</v>
      </c>
      <c r="B9" s="2">
        <v>390.0</v>
      </c>
    </row>
    <row r="10" ht="14.25" customHeight="1">
      <c r="A10" s="2" t="s">
        <v>10</v>
      </c>
      <c r="B10" s="2">
        <v>103.0</v>
      </c>
    </row>
    <row r="11" ht="14.25" customHeight="1">
      <c r="A11" s="2" t="s">
        <v>11</v>
      </c>
      <c r="B11" s="2">
        <v>51.0</v>
      </c>
    </row>
    <row r="12" ht="14.25" customHeight="1">
      <c r="A12" s="2" t="s">
        <v>12</v>
      </c>
      <c r="B12" s="2">
        <v>50.0</v>
      </c>
    </row>
    <row r="13" ht="14.25" customHeight="1">
      <c r="A13" s="2" t="s">
        <v>13</v>
      </c>
      <c r="B13" s="2">
        <v>50.0</v>
      </c>
    </row>
    <row r="14" ht="14.25" customHeight="1">
      <c r="A14" s="2" t="s">
        <v>14</v>
      </c>
      <c r="B14" s="2">
        <v>100.0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3" width="8.63"/>
    <col customWidth="1" min="4" max="4" width="12.0"/>
    <col customWidth="1" min="5" max="26" width="8.63"/>
  </cols>
  <sheetData>
    <row r="1" ht="14.25" customHeight="1">
      <c r="A1" s="3"/>
    </row>
    <row r="2" ht="14.25" customHeight="1"/>
    <row r="3" ht="14.25" customHeight="1">
      <c r="A3" s="4" t="s">
        <v>15</v>
      </c>
      <c r="B3" s="4" t="s">
        <v>16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8.88"/>
    <col customWidth="1" min="3" max="3" width="18.13"/>
    <col customWidth="1" min="4" max="4" width="11.5"/>
    <col customWidth="1" min="5" max="5" width="11.13"/>
    <col customWidth="1" min="6" max="6" width="8.63"/>
    <col customWidth="1" min="7" max="7" width="9.88"/>
    <col customWidth="1" min="8" max="8" width="11.5"/>
    <col customWidth="1" min="9" max="9" width="10.38"/>
    <col customWidth="1" min="10" max="26" width="8.63"/>
  </cols>
  <sheetData>
    <row r="1" ht="14.25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ht="14.25" customHeight="1">
      <c r="A2" s="2">
        <v>1.0</v>
      </c>
      <c r="B2" s="2" t="s">
        <v>26</v>
      </c>
      <c r="C2" s="2" t="s">
        <v>27</v>
      </c>
      <c r="D2" s="2" t="s">
        <v>28</v>
      </c>
      <c r="E2" s="2" t="s">
        <v>29</v>
      </c>
      <c r="F2" s="2" t="str">
        <f>IF(Names!$B2="M","Mr.",IF(Names!$B2="F","Ms.","Mx."))</f>
        <v>Mr.</v>
      </c>
      <c r="G2" s="2" t="str">
        <f>IF(Names!$B2="M","he",IF(Names!$B2="F","she","they"))</f>
        <v>he</v>
      </c>
      <c r="H2" s="2" t="str">
        <f>IF(Names!$B2="M","him",IF(Names!$B2="F","her","them"))</f>
        <v>him</v>
      </c>
      <c r="I2" s="2" t="str">
        <f>IF(Names!$B2="M","his",IF(Names!$B2="F","her","their"))</f>
        <v>his</v>
      </c>
    </row>
    <row r="3" ht="14.25" customHeight="1">
      <c r="A3" s="2">
        <v>2.0</v>
      </c>
      <c r="B3" s="2" t="s">
        <v>26</v>
      </c>
      <c r="C3" s="2" t="s">
        <v>30</v>
      </c>
      <c r="D3" s="2" t="s">
        <v>31</v>
      </c>
      <c r="E3" s="2" t="s">
        <v>32</v>
      </c>
      <c r="F3" s="2" t="str">
        <f>IF(Names!$B3="M","Mr.",IF(Names!$B3="F","Ms.","Mx."))</f>
        <v>Mr.</v>
      </c>
      <c r="G3" s="2" t="str">
        <f>IF(Names!$B3="M","he",IF(Names!$B3="F","she","they"))</f>
        <v>he</v>
      </c>
      <c r="H3" s="2" t="str">
        <f>IF(Names!$B3="M","him",IF(Names!$B3="F","her","them"))</f>
        <v>him</v>
      </c>
      <c r="I3" s="2" t="str">
        <f>IF(Names!$B3="M","his",IF(Names!$B3="F","her","their"))</f>
        <v>his</v>
      </c>
    </row>
    <row r="4" ht="14.25" customHeight="1">
      <c r="A4" s="2">
        <v>3.0</v>
      </c>
      <c r="B4" s="2" t="s">
        <v>26</v>
      </c>
      <c r="C4" s="2" t="s">
        <v>33</v>
      </c>
      <c r="D4" s="2" t="s">
        <v>34</v>
      </c>
      <c r="E4" s="2" t="s">
        <v>35</v>
      </c>
      <c r="F4" s="2" t="str">
        <f>IF(Names!$B4="M","Mr.",IF(Names!$B4="F","Ms.","Mx."))</f>
        <v>Mr.</v>
      </c>
      <c r="G4" s="2" t="str">
        <f>IF(Names!$B4="M","he",IF(Names!$B4="F","she","they"))</f>
        <v>he</v>
      </c>
      <c r="H4" s="2" t="str">
        <f>IF(Names!$B4="M","him",IF(Names!$B4="F","her","them"))</f>
        <v>him</v>
      </c>
      <c r="I4" s="2" t="str">
        <f>IF(Names!$B4="M","his",IF(Names!$B4="F","her","their"))</f>
        <v>his</v>
      </c>
    </row>
    <row r="5" ht="14.25" customHeight="1">
      <c r="A5" s="2">
        <v>4.0</v>
      </c>
      <c r="B5" s="2" t="s">
        <v>26</v>
      </c>
      <c r="C5" s="2" t="s">
        <v>36</v>
      </c>
      <c r="D5" s="2" t="s">
        <v>37</v>
      </c>
      <c r="E5" s="2" t="s">
        <v>38</v>
      </c>
      <c r="F5" s="2" t="str">
        <f>IF(Names!$B5="M","Mr.",IF(Names!$B5="F","Ms.","Mx."))</f>
        <v>Mr.</v>
      </c>
      <c r="G5" s="2" t="str">
        <f>IF(Names!$B5="M","he",IF(Names!$B5="F","she","they"))</f>
        <v>he</v>
      </c>
      <c r="H5" s="2" t="str">
        <f>IF(Names!$B5="M","him",IF(Names!$B5="F","her","them"))</f>
        <v>him</v>
      </c>
      <c r="I5" s="2" t="str">
        <f>IF(Names!$B5="M","his",IF(Names!$B5="F","her","their"))</f>
        <v>his</v>
      </c>
    </row>
    <row r="6" ht="14.25" customHeight="1">
      <c r="A6" s="2">
        <v>5.0</v>
      </c>
      <c r="B6" s="2" t="s">
        <v>26</v>
      </c>
      <c r="C6" s="2" t="s">
        <v>39</v>
      </c>
      <c r="D6" s="2" t="s">
        <v>40</v>
      </c>
      <c r="E6" s="2" t="s">
        <v>41</v>
      </c>
      <c r="F6" s="2" t="str">
        <f>IF(Names!$B6="M","Mr.",IF(Names!$B6="F","Ms.","Mx."))</f>
        <v>Mr.</v>
      </c>
      <c r="G6" s="2" t="str">
        <f>IF(Names!$B6="M","he",IF(Names!$B6="F","she","they"))</f>
        <v>he</v>
      </c>
      <c r="H6" s="2" t="str">
        <f>IF(Names!$B6="M","him",IF(Names!$B6="F","her","them"))</f>
        <v>him</v>
      </c>
      <c r="I6" s="2" t="str">
        <f>IF(Names!$B6="M","his",IF(Names!$B6="F","her","their"))</f>
        <v>his</v>
      </c>
    </row>
    <row r="7" ht="14.25" customHeight="1">
      <c r="A7" s="2">
        <v>6.0</v>
      </c>
      <c r="B7" s="2" t="s">
        <v>26</v>
      </c>
      <c r="C7" s="2" t="s">
        <v>42</v>
      </c>
      <c r="D7" s="2" t="s">
        <v>43</v>
      </c>
      <c r="E7" s="2" t="s">
        <v>44</v>
      </c>
      <c r="F7" s="2" t="str">
        <f>IF(Names!$B7="M","Mr.",IF(Names!$B7="F","Ms.","Mx."))</f>
        <v>Mr.</v>
      </c>
      <c r="G7" s="2" t="str">
        <f>IF(Names!$B7="M","he",IF(Names!$B7="F","she","they"))</f>
        <v>he</v>
      </c>
      <c r="H7" s="2" t="str">
        <f>IF(Names!$B7="M","him",IF(Names!$B7="F","her","them"))</f>
        <v>him</v>
      </c>
      <c r="I7" s="2" t="str">
        <f>IF(Names!$B7="M","his",IF(Names!$B7="F","her","their"))</f>
        <v>his</v>
      </c>
    </row>
    <row r="8" ht="14.25" customHeight="1">
      <c r="A8" s="2">
        <v>7.0</v>
      </c>
      <c r="B8" s="2" t="s">
        <v>26</v>
      </c>
      <c r="C8" s="2" t="s">
        <v>45</v>
      </c>
      <c r="D8" s="2" t="s">
        <v>46</v>
      </c>
      <c r="E8" s="2" t="s">
        <v>47</v>
      </c>
      <c r="F8" s="2" t="str">
        <f>IF(Names!$B8="M","Mr.",IF(Names!$B8="F","Ms.","Mx."))</f>
        <v>Mr.</v>
      </c>
      <c r="G8" s="2" t="str">
        <f>IF(Names!$B8="M","he",IF(Names!$B8="F","she","they"))</f>
        <v>he</v>
      </c>
      <c r="H8" s="2" t="str">
        <f>IF(Names!$B8="M","him",IF(Names!$B8="F","her","them"))</f>
        <v>him</v>
      </c>
      <c r="I8" s="2" t="str">
        <f>IF(Names!$B8="M","his",IF(Names!$B8="F","her","their"))</f>
        <v>his</v>
      </c>
    </row>
    <row r="9" ht="14.25" customHeight="1">
      <c r="A9" s="2">
        <v>8.0</v>
      </c>
      <c r="B9" s="2" t="s">
        <v>48</v>
      </c>
      <c r="C9" s="2" t="s">
        <v>49</v>
      </c>
      <c r="D9" s="2" t="s">
        <v>50</v>
      </c>
      <c r="E9" s="2" t="s">
        <v>51</v>
      </c>
      <c r="F9" s="2" t="str">
        <f>IF(Names!$B9="M","Mr.",IF(Names!$B9="F","Ms.","Mx."))</f>
        <v>Mx.</v>
      </c>
      <c r="G9" s="2" t="str">
        <f>IF(Names!$B9="M","he",IF(Names!$B9="F","she","they"))</f>
        <v>they</v>
      </c>
      <c r="H9" s="2" t="str">
        <f>IF(Names!$B9="M","him",IF(Names!$B9="F","her","them"))</f>
        <v>them</v>
      </c>
      <c r="I9" s="2" t="str">
        <f>IF(Names!$B9="M","his",IF(Names!$B9="F","her","their"))</f>
        <v>their</v>
      </c>
    </row>
    <row r="10" ht="14.25" customHeight="1">
      <c r="A10" s="2">
        <v>9.0</v>
      </c>
      <c r="B10" s="2" t="s">
        <v>26</v>
      </c>
      <c r="C10" s="2" t="s">
        <v>52</v>
      </c>
      <c r="D10" s="2" t="s">
        <v>53</v>
      </c>
      <c r="E10" s="2" t="s">
        <v>54</v>
      </c>
      <c r="F10" s="2" t="str">
        <f>IF(Names!$B10="M","Mr.",IF(Names!$B10="F","Ms.","Mx."))</f>
        <v>Mr.</v>
      </c>
      <c r="G10" s="2" t="str">
        <f>IF(Names!$B10="M","he",IF(Names!$B10="F","she","they"))</f>
        <v>he</v>
      </c>
      <c r="H10" s="2" t="str">
        <f>IF(Names!$B10="M","him",IF(Names!$B10="F","her","them"))</f>
        <v>him</v>
      </c>
      <c r="I10" s="2" t="str">
        <f>IF(Names!$B10="M","his",IF(Names!$B10="F","her","their"))</f>
        <v>his</v>
      </c>
    </row>
    <row r="11" ht="14.25" customHeight="1">
      <c r="A11" s="2">
        <v>10.0</v>
      </c>
      <c r="B11" s="2" t="s">
        <v>26</v>
      </c>
      <c r="C11" s="2" t="s">
        <v>55</v>
      </c>
      <c r="D11" s="2" t="s">
        <v>56</v>
      </c>
      <c r="E11" s="2" t="s">
        <v>57</v>
      </c>
      <c r="F11" s="2" t="str">
        <f>IF(Names!$B11="M","Mr.",IF(Names!$B11="F","Ms.","Mx."))</f>
        <v>Mr.</v>
      </c>
      <c r="G11" s="2" t="str">
        <f>IF(Names!$B11="M","he",IF(Names!$B11="F","she","they"))</f>
        <v>he</v>
      </c>
      <c r="H11" s="2" t="str">
        <f>IF(Names!$B11="M","him",IF(Names!$B11="F","her","them"))</f>
        <v>him</v>
      </c>
      <c r="I11" s="2" t="str">
        <f>IF(Names!$B11="M","his",IF(Names!$B11="F","her","their"))</f>
        <v>his</v>
      </c>
    </row>
    <row r="12" ht="14.25" customHeight="1">
      <c r="A12" s="2">
        <v>11.0</v>
      </c>
      <c r="B12" s="2" t="s">
        <v>26</v>
      </c>
      <c r="C12" s="2" t="s">
        <v>58</v>
      </c>
      <c r="D12" s="2" t="s">
        <v>59</v>
      </c>
      <c r="E12" s="2" t="s">
        <v>60</v>
      </c>
      <c r="F12" s="2" t="str">
        <f>IF(Names!$B12="M","Mr.",IF(Names!$B12="F","Ms.","Mx."))</f>
        <v>Mr.</v>
      </c>
      <c r="G12" s="2" t="str">
        <f>IF(Names!$B12="M","he",IF(Names!$B12="F","she","they"))</f>
        <v>he</v>
      </c>
      <c r="H12" s="2" t="str">
        <f>IF(Names!$B12="M","him",IF(Names!$B12="F","her","them"))</f>
        <v>him</v>
      </c>
      <c r="I12" s="2" t="str">
        <f>IF(Names!$B12="M","his",IF(Names!$B12="F","her","their"))</f>
        <v>his</v>
      </c>
    </row>
    <row r="13" ht="14.25" customHeight="1">
      <c r="A13" s="2">
        <v>12.0</v>
      </c>
      <c r="B13" s="2" t="s">
        <v>26</v>
      </c>
      <c r="C13" s="2" t="s">
        <v>61</v>
      </c>
      <c r="D13" s="2" t="s">
        <v>28</v>
      </c>
      <c r="E13" s="2" t="s">
        <v>62</v>
      </c>
      <c r="F13" s="2" t="str">
        <f>IF(Names!$B13="M","Mr.",IF(Names!$B13="F","Ms.","Mx."))</f>
        <v>Mr.</v>
      </c>
      <c r="G13" s="2" t="str">
        <f>IF(Names!$B13="M","he",IF(Names!$B13="F","she","they"))</f>
        <v>he</v>
      </c>
      <c r="H13" s="2" t="str">
        <f>IF(Names!$B13="M","him",IF(Names!$B13="F","her","them"))</f>
        <v>him</v>
      </c>
      <c r="I13" s="2" t="str">
        <f>IF(Names!$B13="M","his",IF(Names!$B13="F","her","their"))</f>
        <v>his</v>
      </c>
    </row>
    <row r="14" ht="14.25" customHeight="1">
      <c r="A14" s="2">
        <v>13.0</v>
      </c>
      <c r="B14" s="2" t="s">
        <v>26</v>
      </c>
      <c r="C14" s="2" t="s">
        <v>63</v>
      </c>
      <c r="D14" s="2" t="s">
        <v>64</v>
      </c>
      <c r="E14" s="2" t="s">
        <v>65</v>
      </c>
      <c r="F14" s="2" t="str">
        <f>IF(Names!$B14="M","Mr.",IF(Names!$B14="F","Ms.","Mx."))</f>
        <v>Mr.</v>
      </c>
      <c r="G14" s="2" t="str">
        <f>IF(Names!$B14="M","he",IF(Names!$B14="F","she","they"))</f>
        <v>he</v>
      </c>
      <c r="H14" s="2" t="str">
        <f>IF(Names!$B14="M","him",IF(Names!$B14="F","her","them"))</f>
        <v>him</v>
      </c>
      <c r="I14" s="2" t="str">
        <f>IF(Names!$B14="M","his",IF(Names!$B14="F","her","their"))</f>
        <v>his</v>
      </c>
    </row>
    <row r="15" ht="14.25" customHeight="1">
      <c r="A15" s="2">
        <v>14.0</v>
      </c>
      <c r="B15" s="2" t="s">
        <v>26</v>
      </c>
      <c r="C15" s="2" t="s">
        <v>66</v>
      </c>
      <c r="D15" s="2" t="s">
        <v>67</v>
      </c>
      <c r="E15" s="2" t="s">
        <v>68</v>
      </c>
      <c r="F15" s="2" t="str">
        <f>IF(Names!$B15="M","Mr.",IF(Names!$B15="F","Ms.","Mx."))</f>
        <v>Mr.</v>
      </c>
      <c r="G15" s="2" t="str">
        <f>IF(Names!$B15="M","he",IF(Names!$B15="F","she","they"))</f>
        <v>he</v>
      </c>
      <c r="H15" s="2" t="str">
        <f>IF(Names!$B15="M","him",IF(Names!$B15="F","her","them"))</f>
        <v>him</v>
      </c>
      <c r="I15" s="2" t="str">
        <f>IF(Names!$B15="M","his",IF(Names!$B15="F","her","their"))</f>
        <v>his</v>
      </c>
    </row>
    <row r="16" ht="14.25" customHeight="1">
      <c r="A16" s="2">
        <v>15.0</v>
      </c>
      <c r="B16" s="2" t="s">
        <v>26</v>
      </c>
      <c r="C16" s="2" t="s">
        <v>69</v>
      </c>
      <c r="D16" s="2" t="s">
        <v>70</v>
      </c>
      <c r="E16" s="2" t="s">
        <v>71</v>
      </c>
      <c r="F16" s="2" t="str">
        <f>IF(Names!$B16="M","Mr.",IF(Names!$B16="F","Ms.","Mx."))</f>
        <v>Mr.</v>
      </c>
      <c r="G16" s="2" t="str">
        <f>IF(Names!$B16="M","he",IF(Names!$B16="F","she","they"))</f>
        <v>he</v>
      </c>
      <c r="H16" s="2" t="str">
        <f>IF(Names!$B16="M","him",IF(Names!$B16="F","her","them"))</f>
        <v>him</v>
      </c>
      <c r="I16" s="2" t="str">
        <f>IF(Names!$B16="M","his",IF(Names!$B16="F","her","their"))</f>
        <v>his</v>
      </c>
    </row>
    <row r="17" ht="14.25" customHeight="1">
      <c r="A17" s="2">
        <v>16.0</v>
      </c>
      <c r="B17" s="2" t="s">
        <v>26</v>
      </c>
      <c r="C17" s="2" t="s">
        <v>72</v>
      </c>
      <c r="D17" s="2" t="s">
        <v>73</v>
      </c>
      <c r="E17" s="2" t="s">
        <v>74</v>
      </c>
      <c r="F17" s="2" t="str">
        <f>IF(Names!$B17="M","Mr.",IF(Names!$B17="F","Ms.","Mx."))</f>
        <v>Mr.</v>
      </c>
      <c r="G17" s="2" t="str">
        <f>IF(Names!$B17="M","he",IF(Names!$B17="F","she","they"))</f>
        <v>he</v>
      </c>
      <c r="H17" s="2" t="str">
        <f>IF(Names!$B17="M","him",IF(Names!$B17="F","her","them"))</f>
        <v>him</v>
      </c>
      <c r="I17" s="2" t="str">
        <f>IF(Names!$B17="M","his",IF(Names!$B17="F","her","their"))</f>
        <v>his</v>
      </c>
    </row>
    <row r="18" ht="14.25" customHeight="1">
      <c r="A18" s="2">
        <v>17.0</v>
      </c>
      <c r="B18" s="2" t="s">
        <v>26</v>
      </c>
      <c r="C18" s="2" t="s">
        <v>75</v>
      </c>
      <c r="D18" s="2" t="s">
        <v>76</v>
      </c>
      <c r="E18" s="2" t="s">
        <v>77</v>
      </c>
      <c r="F18" s="2" t="str">
        <f>IF(Names!$B18="M","Mr.",IF(Names!$B18="F","Ms.","Mx."))</f>
        <v>Mr.</v>
      </c>
      <c r="G18" s="2" t="str">
        <f>IF(Names!$B18="M","he",IF(Names!$B18="F","she","they"))</f>
        <v>he</v>
      </c>
      <c r="H18" s="2" t="str">
        <f>IF(Names!$B18="M","him",IF(Names!$B18="F","her","them"))</f>
        <v>him</v>
      </c>
      <c r="I18" s="2" t="str">
        <f>IF(Names!$B18="M","his",IF(Names!$B18="F","her","their"))</f>
        <v>his</v>
      </c>
    </row>
    <row r="19" ht="14.25" customHeight="1">
      <c r="A19" s="2">
        <v>18.0</v>
      </c>
      <c r="B19" s="2" t="s">
        <v>26</v>
      </c>
      <c r="C19" s="2" t="s">
        <v>78</v>
      </c>
      <c r="D19" s="2" t="s">
        <v>79</v>
      </c>
      <c r="E19" s="2" t="s">
        <v>80</v>
      </c>
      <c r="F19" s="2" t="str">
        <f>IF(Names!$B19="M","Mr.",IF(Names!$B19="F","Ms.","Mx."))</f>
        <v>Mr.</v>
      </c>
      <c r="G19" s="2" t="str">
        <f>IF(Names!$B19="M","he",IF(Names!$B19="F","she","they"))</f>
        <v>he</v>
      </c>
      <c r="H19" s="2" t="str">
        <f>IF(Names!$B19="M","him",IF(Names!$B19="F","her","them"))</f>
        <v>him</v>
      </c>
      <c r="I19" s="2" t="str">
        <f>IF(Names!$B19="M","his",IF(Names!$B19="F","her","their"))</f>
        <v>his</v>
      </c>
    </row>
    <row r="20" ht="14.25" customHeight="1">
      <c r="A20" s="2">
        <v>19.0</v>
      </c>
      <c r="B20" s="2" t="s">
        <v>26</v>
      </c>
      <c r="C20" s="2" t="s">
        <v>81</v>
      </c>
      <c r="D20" s="2" t="s">
        <v>82</v>
      </c>
      <c r="E20" s="2" t="s">
        <v>83</v>
      </c>
      <c r="F20" s="2" t="str">
        <f>IF(Names!$B20="M","Mr.",IF(Names!$B20="F","Ms.","Mx."))</f>
        <v>Mr.</v>
      </c>
      <c r="G20" s="2" t="str">
        <f>IF(Names!$B20="M","he",IF(Names!$B20="F","she","they"))</f>
        <v>he</v>
      </c>
      <c r="H20" s="2" t="str">
        <f>IF(Names!$B20="M","him",IF(Names!$B20="F","her","them"))</f>
        <v>him</v>
      </c>
      <c r="I20" s="2" t="str">
        <f>IF(Names!$B20="M","his",IF(Names!$B20="F","her","their"))</f>
        <v>his</v>
      </c>
    </row>
    <row r="21" ht="14.25" customHeight="1">
      <c r="A21" s="2">
        <v>20.0</v>
      </c>
      <c r="B21" s="2" t="s">
        <v>26</v>
      </c>
      <c r="C21" s="2" t="s">
        <v>84</v>
      </c>
      <c r="D21" s="2" t="s">
        <v>85</v>
      </c>
      <c r="E21" s="2" t="s">
        <v>86</v>
      </c>
      <c r="F21" s="2" t="str">
        <f>IF(Names!$B21="M","Mr.",IF(Names!$B21="F","Ms.","Mx."))</f>
        <v>Mr.</v>
      </c>
      <c r="G21" s="2" t="str">
        <f>IF(Names!$B21="M","he",IF(Names!$B21="F","she","they"))</f>
        <v>he</v>
      </c>
      <c r="H21" s="2" t="str">
        <f>IF(Names!$B21="M","him",IF(Names!$B21="F","her","them"))</f>
        <v>him</v>
      </c>
      <c r="I21" s="2" t="str">
        <f>IF(Names!$B21="M","his",IF(Names!$B21="F","her","their"))</f>
        <v>his</v>
      </c>
    </row>
    <row r="22" ht="14.25" customHeight="1">
      <c r="A22" s="2">
        <v>21.0</v>
      </c>
      <c r="B22" s="2" t="s">
        <v>26</v>
      </c>
      <c r="C22" s="2" t="s">
        <v>87</v>
      </c>
      <c r="D22" s="2" t="s">
        <v>88</v>
      </c>
      <c r="E22" s="2" t="s">
        <v>89</v>
      </c>
      <c r="F22" s="2" t="str">
        <f>IF(Names!$B22="M","Mr.",IF(Names!$B22="F","Ms.","Mx."))</f>
        <v>Mr.</v>
      </c>
      <c r="G22" s="2" t="str">
        <f>IF(Names!$B22="M","he",IF(Names!$B22="F","she","they"))</f>
        <v>he</v>
      </c>
      <c r="H22" s="2" t="str">
        <f>IF(Names!$B22="M","him",IF(Names!$B22="F","her","them"))</f>
        <v>him</v>
      </c>
      <c r="I22" s="2" t="str">
        <f>IF(Names!$B22="M","his",IF(Names!$B22="F","her","their"))</f>
        <v>his</v>
      </c>
    </row>
    <row r="23" ht="14.25" customHeight="1">
      <c r="A23" s="2">
        <v>22.0</v>
      </c>
      <c r="B23" s="2" t="s">
        <v>26</v>
      </c>
      <c r="C23" s="2" t="s">
        <v>90</v>
      </c>
      <c r="D23" s="2" t="s">
        <v>91</v>
      </c>
      <c r="E23" s="2" t="s">
        <v>92</v>
      </c>
      <c r="F23" s="2" t="str">
        <f>IF(Names!$B23="M","Mr.",IF(Names!$B23="F","Ms.","Mx."))</f>
        <v>Mr.</v>
      </c>
      <c r="G23" s="2" t="str">
        <f>IF(Names!$B23="M","he",IF(Names!$B23="F","she","they"))</f>
        <v>he</v>
      </c>
      <c r="H23" s="2" t="str">
        <f>IF(Names!$B23="M","him",IF(Names!$B23="F","her","them"))</f>
        <v>him</v>
      </c>
      <c r="I23" s="2" t="str">
        <f>IF(Names!$B23="M","his",IF(Names!$B23="F","her","their"))</f>
        <v>his</v>
      </c>
    </row>
    <row r="24" ht="14.25" customHeight="1">
      <c r="A24" s="2">
        <v>23.0</v>
      </c>
      <c r="B24" s="2" t="s">
        <v>26</v>
      </c>
      <c r="C24" s="2" t="s">
        <v>93</v>
      </c>
      <c r="D24" s="2" t="s">
        <v>94</v>
      </c>
      <c r="E24" s="2" t="s">
        <v>95</v>
      </c>
      <c r="F24" s="2" t="str">
        <f>IF(Names!$B24="M","Mr.",IF(Names!$B24="F","Ms.","Mx."))</f>
        <v>Mr.</v>
      </c>
      <c r="G24" s="2" t="str">
        <f>IF(Names!$B24="M","he",IF(Names!$B24="F","she","they"))</f>
        <v>he</v>
      </c>
      <c r="H24" s="2" t="str">
        <f>IF(Names!$B24="M","him",IF(Names!$B24="F","her","them"))</f>
        <v>him</v>
      </c>
      <c r="I24" s="2" t="str">
        <f>IF(Names!$B24="M","his",IF(Names!$B24="F","her","their"))</f>
        <v>his</v>
      </c>
    </row>
    <row r="25" ht="14.25" customHeight="1">
      <c r="A25" s="2">
        <v>24.0</v>
      </c>
      <c r="B25" s="2" t="s">
        <v>26</v>
      </c>
      <c r="C25" s="2" t="s">
        <v>96</v>
      </c>
      <c r="D25" s="2" t="s">
        <v>97</v>
      </c>
      <c r="E25" s="2" t="s">
        <v>98</v>
      </c>
      <c r="F25" s="2" t="str">
        <f>IF(Names!$B25="M","Mr.",IF(Names!$B25="F","Ms.","Mx."))</f>
        <v>Mr.</v>
      </c>
      <c r="G25" s="2" t="str">
        <f>IF(Names!$B25="M","he",IF(Names!$B25="F","she","they"))</f>
        <v>he</v>
      </c>
      <c r="H25" s="2" t="str">
        <f>IF(Names!$B25="M","him",IF(Names!$B25="F","her","them"))</f>
        <v>him</v>
      </c>
      <c r="I25" s="2" t="str">
        <f>IF(Names!$B25="M","his",IF(Names!$B25="F","her","their"))</f>
        <v>his</v>
      </c>
    </row>
    <row r="26" ht="14.25" customHeight="1">
      <c r="A26" s="2">
        <v>25.0</v>
      </c>
      <c r="B26" s="2" t="s">
        <v>26</v>
      </c>
      <c r="C26" s="2" t="s">
        <v>99</v>
      </c>
      <c r="D26" s="2" t="s">
        <v>100</v>
      </c>
      <c r="E26" s="2" t="s">
        <v>101</v>
      </c>
      <c r="F26" s="2" t="str">
        <f>IF(Names!$B26="M","Mr.",IF(Names!$B26="F","Ms.","Mx."))</f>
        <v>Mr.</v>
      </c>
      <c r="G26" s="2" t="str">
        <f>IF(Names!$B26="M","he",IF(Names!$B26="F","she","they"))</f>
        <v>he</v>
      </c>
      <c r="H26" s="2" t="str">
        <f>IF(Names!$B26="M","him",IF(Names!$B26="F","her","them"))</f>
        <v>him</v>
      </c>
      <c r="I26" s="2" t="str">
        <f>IF(Names!$B26="M","his",IF(Names!$B26="F","her","their"))</f>
        <v>his</v>
      </c>
    </row>
    <row r="27" ht="14.25" customHeight="1">
      <c r="A27" s="2">
        <v>26.0</v>
      </c>
      <c r="B27" s="2" t="s">
        <v>26</v>
      </c>
      <c r="C27" s="2" t="s">
        <v>102</v>
      </c>
      <c r="D27" s="2" t="s">
        <v>103</v>
      </c>
      <c r="E27" s="2" t="s">
        <v>104</v>
      </c>
      <c r="F27" s="2" t="str">
        <f>IF(Names!$B27="M","Mr.",IF(Names!$B27="F","Ms.","Mx."))</f>
        <v>Mr.</v>
      </c>
      <c r="G27" s="2" t="str">
        <f>IF(Names!$B27="M","he",IF(Names!$B27="F","she","they"))</f>
        <v>he</v>
      </c>
      <c r="H27" s="2" t="str">
        <f>IF(Names!$B27="M","him",IF(Names!$B27="F","her","them"))</f>
        <v>him</v>
      </c>
      <c r="I27" s="2" t="str">
        <f>IF(Names!$B27="M","his",IF(Names!$B27="F","her","their"))</f>
        <v>his</v>
      </c>
    </row>
    <row r="28" ht="14.25" customHeight="1">
      <c r="A28" s="2">
        <v>27.0</v>
      </c>
      <c r="B28" s="2" t="s">
        <v>26</v>
      </c>
      <c r="C28" s="2" t="s">
        <v>105</v>
      </c>
      <c r="D28" s="2" t="s">
        <v>106</v>
      </c>
      <c r="E28" s="2" t="s">
        <v>107</v>
      </c>
      <c r="F28" s="2" t="str">
        <f>IF(Names!$B28="M","Mr.",IF(Names!$B28="F","Ms.","Mx."))</f>
        <v>Mr.</v>
      </c>
      <c r="G28" s="2" t="str">
        <f>IF(Names!$B28="M","he",IF(Names!$B28="F","she","they"))</f>
        <v>he</v>
      </c>
      <c r="H28" s="2" t="str">
        <f>IF(Names!$B28="M","him",IF(Names!$B28="F","her","them"))</f>
        <v>him</v>
      </c>
      <c r="I28" s="2" t="str">
        <f>IF(Names!$B28="M","his",IF(Names!$B28="F","her","their"))</f>
        <v>his</v>
      </c>
    </row>
    <row r="29" ht="14.25" customHeight="1">
      <c r="A29" s="2">
        <v>28.0</v>
      </c>
      <c r="B29" s="2" t="s">
        <v>26</v>
      </c>
      <c r="C29" s="2" t="s">
        <v>108</v>
      </c>
      <c r="D29" s="2" t="s">
        <v>70</v>
      </c>
      <c r="E29" s="2" t="s">
        <v>41</v>
      </c>
      <c r="F29" s="2" t="str">
        <f>IF(Names!$B29="M","Mr.",IF(Names!$B29="F","Ms.","Mx."))</f>
        <v>Mr.</v>
      </c>
      <c r="G29" s="2" t="str">
        <f>IF(Names!$B29="M","he",IF(Names!$B29="F","she","they"))</f>
        <v>he</v>
      </c>
      <c r="H29" s="2" t="str">
        <f>IF(Names!$B29="M","him",IF(Names!$B29="F","her","them"))</f>
        <v>him</v>
      </c>
      <c r="I29" s="2" t="str">
        <f>IF(Names!$B29="M","his",IF(Names!$B29="F","her","their"))</f>
        <v>his</v>
      </c>
    </row>
    <row r="30" ht="14.25" customHeight="1">
      <c r="A30" s="2">
        <v>29.0</v>
      </c>
      <c r="B30" s="2" t="s">
        <v>26</v>
      </c>
      <c r="C30" s="2" t="s">
        <v>109</v>
      </c>
      <c r="D30" s="2" t="s">
        <v>60</v>
      </c>
      <c r="E30" s="2" t="s">
        <v>110</v>
      </c>
      <c r="F30" s="2" t="str">
        <f>IF(Names!$B30="M","Mr.",IF(Names!$B30="F","Ms.","Mx."))</f>
        <v>Mr.</v>
      </c>
      <c r="G30" s="2" t="str">
        <f>IF(Names!$B30="M","he",IF(Names!$B30="F","she","they"))</f>
        <v>he</v>
      </c>
      <c r="H30" s="2" t="str">
        <f>IF(Names!$B30="M","him",IF(Names!$B30="F","her","them"))</f>
        <v>him</v>
      </c>
      <c r="I30" s="2" t="str">
        <f>IF(Names!$B30="M","his",IF(Names!$B30="F","her","their"))</f>
        <v>his</v>
      </c>
    </row>
    <row r="31" ht="14.25" customHeight="1">
      <c r="A31" s="2">
        <v>30.0</v>
      </c>
      <c r="B31" s="2" t="s">
        <v>26</v>
      </c>
      <c r="C31" s="2" t="s">
        <v>111</v>
      </c>
      <c r="D31" s="2" t="s">
        <v>103</v>
      </c>
      <c r="E31" s="2" t="s">
        <v>112</v>
      </c>
      <c r="F31" s="2" t="str">
        <f>IF(Names!$B31="M","Mr.",IF(Names!$B31="F","Ms.","Mx."))</f>
        <v>Mr.</v>
      </c>
      <c r="G31" s="2" t="str">
        <f>IF(Names!$B31="M","he",IF(Names!$B31="F","she","they"))</f>
        <v>he</v>
      </c>
      <c r="H31" s="2" t="str">
        <f>IF(Names!$B31="M","him",IF(Names!$B31="F","her","them"))</f>
        <v>him</v>
      </c>
      <c r="I31" s="2" t="str">
        <f>IF(Names!$B31="M","his",IF(Names!$B31="F","her","their"))</f>
        <v>his</v>
      </c>
    </row>
    <row r="32" ht="14.25" customHeight="1">
      <c r="A32" s="2">
        <v>31.0</v>
      </c>
      <c r="B32" s="2" t="s">
        <v>26</v>
      </c>
      <c r="C32" s="2" t="s">
        <v>113</v>
      </c>
      <c r="D32" s="2" t="s">
        <v>114</v>
      </c>
      <c r="E32" s="2" t="s">
        <v>115</v>
      </c>
      <c r="F32" s="2" t="str">
        <f>IF(Names!$B32="M","Mr.",IF(Names!$B32="F","Ms.","Mx."))</f>
        <v>Mr.</v>
      </c>
      <c r="G32" s="2" t="str">
        <f>IF(Names!$B32="M","he",IF(Names!$B32="F","she","they"))</f>
        <v>he</v>
      </c>
      <c r="H32" s="2" t="str">
        <f>IF(Names!$B32="M","him",IF(Names!$B32="F","her","them"))</f>
        <v>him</v>
      </c>
      <c r="I32" s="2" t="str">
        <f>IF(Names!$B32="M","his",IF(Names!$B32="F","her","their"))</f>
        <v>his</v>
      </c>
    </row>
    <row r="33" ht="14.25" customHeight="1">
      <c r="A33" s="2">
        <v>32.0</v>
      </c>
      <c r="B33" s="2" t="s">
        <v>26</v>
      </c>
      <c r="C33" s="2" t="s">
        <v>116</v>
      </c>
      <c r="D33" s="2" t="s">
        <v>79</v>
      </c>
      <c r="E33" s="2" t="s">
        <v>117</v>
      </c>
      <c r="F33" s="2" t="str">
        <f>IF(Names!$B33="M","Mr.",IF(Names!$B33="F","Ms.","Mx."))</f>
        <v>Mr.</v>
      </c>
      <c r="G33" s="2" t="str">
        <f>IF(Names!$B33="M","he",IF(Names!$B33="F","she","they"))</f>
        <v>he</v>
      </c>
      <c r="H33" s="2" t="str">
        <f>IF(Names!$B33="M","him",IF(Names!$B33="F","her","them"))</f>
        <v>him</v>
      </c>
      <c r="I33" s="2" t="str">
        <f>IF(Names!$B33="M","his",IF(Names!$B33="F","her","their"))</f>
        <v>his</v>
      </c>
    </row>
    <row r="34" ht="14.25" customHeight="1">
      <c r="A34" s="2">
        <v>33.0</v>
      </c>
      <c r="B34" s="2" t="s">
        <v>26</v>
      </c>
      <c r="C34" s="2" t="s">
        <v>118</v>
      </c>
      <c r="D34" s="2" t="s">
        <v>119</v>
      </c>
      <c r="E34" s="2" t="s">
        <v>120</v>
      </c>
      <c r="F34" s="2" t="str">
        <f>IF(Names!$B34="M","Mr.",IF(Names!$B34="F","Ms.","Mx."))</f>
        <v>Mr.</v>
      </c>
      <c r="G34" s="2" t="str">
        <f>IF(Names!$B34="M","he",IF(Names!$B34="F","she","they"))</f>
        <v>he</v>
      </c>
      <c r="H34" s="2" t="str">
        <f>IF(Names!$B34="M","him",IF(Names!$B34="F","her","them"))</f>
        <v>him</v>
      </c>
      <c r="I34" s="2" t="str">
        <f>IF(Names!$B34="M","his",IF(Names!$B34="F","her","their"))</f>
        <v>his</v>
      </c>
    </row>
    <row r="35" ht="14.25" customHeight="1">
      <c r="A35" s="2">
        <v>34.0</v>
      </c>
      <c r="B35" s="2" t="s">
        <v>26</v>
      </c>
      <c r="C35" s="2" t="s">
        <v>121</v>
      </c>
      <c r="D35" s="2" t="s">
        <v>31</v>
      </c>
      <c r="E35" s="2" t="s">
        <v>122</v>
      </c>
      <c r="F35" s="2" t="str">
        <f>IF(Names!$B35="M","Mr.",IF(Names!$B35="F","Ms.","Mx."))</f>
        <v>Mr.</v>
      </c>
      <c r="G35" s="2" t="str">
        <f>IF(Names!$B35="M","he",IF(Names!$B35="F","she","they"))</f>
        <v>he</v>
      </c>
      <c r="H35" s="2" t="str">
        <f>IF(Names!$B35="M","him",IF(Names!$B35="F","her","them"))</f>
        <v>him</v>
      </c>
      <c r="I35" s="2" t="str">
        <f>IF(Names!$B35="M","his",IF(Names!$B35="F","her","their"))</f>
        <v>his</v>
      </c>
    </row>
    <row r="36" ht="14.25" customHeight="1">
      <c r="A36" s="2">
        <v>35.0</v>
      </c>
      <c r="B36" s="2" t="s">
        <v>26</v>
      </c>
      <c r="C36" s="2" t="s">
        <v>123</v>
      </c>
      <c r="D36" s="2" t="s">
        <v>124</v>
      </c>
      <c r="E36" s="2" t="s">
        <v>92</v>
      </c>
      <c r="F36" s="2" t="str">
        <f>IF(Names!$B36="M","Mr.",IF(Names!$B36="F","Ms.","Mx."))</f>
        <v>Mr.</v>
      </c>
      <c r="G36" s="2" t="str">
        <f>IF(Names!$B36="M","he",IF(Names!$B36="F","she","they"))</f>
        <v>he</v>
      </c>
      <c r="H36" s="2" t="str">
        <f>IF(Names!$B36="M","him",IF(Names!$B36="F","her","them"))</f>
        <v>him</v>
      </c>
      <c r="I36" s="2" t="str">
        <f>IF(Names!$B36="M","his",IF(Names!$B36="F","her","their"))</f>
        <v>his</v>
      </c>
    </row>
    <row r="37" ht="14.25" customHeight="1">
      <c r="A37" s="2">
        <v>36.0</v>
      </c>
      <c r="B37" s="2" t="s">
        <v>26</v>
      </c>
      <c r="C37" s="2" t="s">
        <v>125</v>
      </c>
      <c r="D37" s="2" t="s">
        <v>126</v>
      </c>
      <c r="E37" s="2" t="s">
        <v>80</v>
      </c>
      <c r="F37" s="2" t="str">
        <f>IF(Names!$B37="M","Mr.",IF(Names!$B37="F","Ms.","Mx."))</f>
        <v>Mr.</v>
      </c>
      <c r="G37" s="2" t="str">
        <f>IF(Names!$B37="M","he",IF(Names!$B37="F","she","they"))</f>
        <v>he</v>
      </c>
      <c r="H37" s="2" t="str">
        <f>IF(Names!$B37="M","him",IF(Names!$B37="F","her","them"))</f>
        <v>him</v>
      </c>
      <c r="I37" s="2" t="str">
        <f>IF(Names!$B37="M","his",IF(Names!$B37="F","her","their"))</f>
        <v>his</v>
      </c>
    </row>
    <row r="38" ht="14.25" customHeight="1">
      <c r="A38" s="2">
        <v>37.0</v>
      </c>
      <c r="B38" s="2" t="s">
        <v>26</v>
      </c>
      <c r="C38" s="2" t="s">
        <v>127</v>
      </c>
      <c r="D38" s="2" t="s">
        <v>128</v>
      </c>
      <c r="E38" s="2" t="s">
        <v>47</v>
      </c>
      <c r="F38" s="2" t="str">
        <f>IF(Names!$B38="M","Mr.",IF(Names!$B38="F","Ms.","Mx."))</f>
        <v>Mr.</v>
      </c>
      <c r="G38" s="2" t="str">
        <f>IF(Names!$B38="M","he",IF(Names!$B38="F","she","they"))</f>
        <v>he</v>
      </c>
      <c r="H38" s="2" t="str">
        <f>IF(Names!$B38="M","him",IF(Names!$B38="F","her","them"))</f>
        <v>him</v>
      </c>
      <c r="I38" s="2" t="str">
        <f>IF(Names!$B38="M","his",IF(Names!$B38="F","her","their"))</f>
        <v>his</v>
      </c>
    </row>
    <row r="39" ht="14.25" customHeight="1">
      <c r="A39" s="2">
        <v>38.0</v>
      </c>
      <c r="B39" s="2" t="s">
        <v>26</v>
      </c>
      <c r="C39" s="2" t="s">
        <v>129</v>
      </c>
      <c r="D39" s="2" t="s">
        <v>130</v>
      </c>
      <c r="E39" s="2" t="s">
        <v>131</v>
      </c>
      <c r="F39" s="2" t="str">
        <f>IF(Names!$B39="M","Mr.",IF(Names!$B39="F","Ms.","Mx."))</f>
        <v>Mr.</v>
      </c>
      <c r="G39" s="2" t="str">
        <f>IF(Names!$B39="M","he",IF(Names!$B39="F","she","they"))</f>
        <v>he</v>
      </c>
      <c r="H39" s="2" t="str">
        <f>IF(Names!$B39="M","him",IF(Names!$B39="F","her","them"))</f>
        <v>him</v>
      </c>
      <c r="I39" s="2" t="str">
        <f>IF(Names!$B39="M","his",IF(Names!$B39="F","her","their"))</f>
        <v>his</v>
      </c>
    </row>
    <row r="40" ht="14.25" customHeight="1">
      <c r="A40" s="2">
        <v>39.0</v>
      </c>
      <c r="B40" s="2" t="s">
        <v>26</v>
      </c>
      <c r="C40" s="2" t="s">
        <v>132</v>
      </c>
      <c r="D40" s="2" t="s">
        <v>133</v>
      </c>
      <c r="E40" s="2" t="s">
        <v>134</v>
      </c>
      <c r="F40" s="2" t="str">
        <f>IF(Names!$B40="M","Mr.",IF(Names!$B40="F","Ms.","Mx."))</f>
        <v>Mr.</v>
      </c>
      <c r="G40" s="2" t="str">
        <f>IF(Names!$B40="M","he",IF(Names!$B40="F","she","they"))</f>
        <v>he</v>
      </c>
      <c r="H40" s="2" t="str">
        <f>IF(Names!$B40="M","him",IF(Names!$B40="F","her","them"))</f>
        <v>him</v>
      </c>
      <c r="I40" s="2" t="str">
        <f>IF(Names!$B40="M","his",IF(Names!$B40="F","her","their"))</f>
        <v>his</v>
      </c>
    </row>
    <row r="41" ht="14.25" customHeight="1">
      <c r="A41" s="2">
        <v>40.0</v>
      </c>
      <c r="B41" s="2" t="s">
        <v>26</v>
      </c>
      <c r="C41" s="2" t="s">
        <v>135</v>
      </c>
      <c r="D41" s="2" t="s">
        <v>136</v>
      </c>
      <c r="E41" s="2" t="s">
        <v>137</v>
      </c>
      <c r="F41" s="2" t="str">
        <f>IF(Names!$B41="M","Mr.",IF(Names!$B41="F","Ms.","Mx."))</f>
        <v>Mr.</v>
      </c>
      <c r="G41" s="2" t="str">
        <f>IF(Names!$B41="M","he",IF(Names!$B41="F","she","they"))</f>
        <v>he</v>
      </c>
      <c r="H41" s="2" t="str">
        <f>IF(Names!$B41="M","him",IF(Names!$B41="F","her","them"))</f>
        <v>him</v>
      </c>
      <c r="I41" s="2" t="str">
        <f>IF(Names!$B41="M","his",IF(Names!$B41="F","her","their"))</f>
        <v>his</v>
      </c>
    </row>
    <row r="42" ht="14.25" customHeight="1">
      <c r="A42" s="2">
        <v>41.0</v>
      </c>
      <c r="B42" s="2" t="s">
        <v>26</v>
      </c>
      <c r="C42" s="2" t="s">
        <v>138</v>
      </c>
      <c r="D42" s="2" t="s">
        <v>139</v>
      </c>
      <c r="E42" s="2" t="s">
        <v>140</v>
      </c>
      <c r="F42" s="2" t="str">
        <f>IF(Names!$B42="M","Mr.",IF(Names!$B42="F","Ms.","Mx."))</f>
        <v>Mr.</v>
      </c>
      <c r="G42" s="2" t="str">
        <f>IF(Names!$B42="M","he",IF(Names!$B42="F","she","they"))</f>
        <v>he</v>
      </c>
      <c r="H42" s="2" t="str">
        <f>IF(Names!$B42="M","him",IF(Names!$B42="F","her","them"))</f>
        <v>him</v>
      </c>
      <c r="I42" s="2" t="str">
        <f>IF(Names!$B42="M","his",IF(Names!$B42="F","her","their"))</f>
        <v>his</v>
      </c>
    </row>
    <row r="43" ht="14.25" customHeight="1">
      <c r="A43" s="2">
        <v>42.0</v>
      </c>
      <c r="B43" s="2" t="s">
        <v>26</v>
      </c>
      <c r="C43" s="2" t="s">
        <v>141</v>
      </c>
      <c r="D43" s="2" t="s">
        <v>142</v>
      </c>
      <c r="E43" s="2" t="s">
        <v>143</v>
      </c>
      <c r="F43" s="2" t="str">
        <f>IF(Names!$B43="M","Mr.",IF(Names!$B43="F","Ms.","Mx."))</f>
        <v>Mr.</v>
      </c>
      <c r="G43" s="2" t="str">
        <f>IF(Names!$B43="M","he",IF(Names!$B43="F","she","they"))</f>
        <v>he</v>
      </c>
      <c r="H43" s="2" t="str">
        <f>IF(Names!$B43="M","him",IF(Names!$B43="F","her","them"))</f>
        <v>him</v>
      </c>
      <c r="I43" s="2" t="str">
        <f>IF(Names!$B43="M","his",IF(Names!$B43="F","her","their"))</f>
        <v>his</v>
      </c>
    </row>
    <row r="44" ht="14.25" customHeight="1">
      <c r="A44" s="2">
        <v>43.0</v>
      </c>
      <c r="B44" s="2" t="s">
        <v>26</v>
      </c>
      <c r="C44" s="2" t="s">
        <v>144</v>
      </c>
      <c r="D44" s="2" t="s">
        <v>88</v>
      </c>
      <c r="E44" s="2" t="s">
        <v>145</v>
      </c>
      <c r="F44" s="2" t="str">
        <f>IF(Names!$B44="M","Mr.",IF(Names!$B44="F","Ms.","Mx."))</f>
        <v>Mr.</v>
      </c>
      <c r="G44" s="2" t="str">
        <f>IF(Names!$B44="M","he",IF(Names!$B44="F","she","they"))</f>
        <v>he</v>
      </c>
      <c r="H44" s="2" t="str">
        <f>IF(Names!$B44="M","him",IF(Names!$B44="F","her","them"))</f>
        <v>him</v>
      </c>
      <c r="I44" s="2" t="str">
        <f>IF(Names!$B44="M","his",IF(Names!$B44="F","her","their"))</f>
        <v>his</v>
      </c>
    </row>
    <row r="45" ht="14.25" customHeight="1">
      <c r="A45" s="2">
        <v>44.0</v>
      </c>
      <c r="B45" s="2" t="s">
        <v>26</v>
      </c>
      <c r="C45" s="2" t="s">
        <v>146</v>
      </c>
      <c r="D45" s="2" t="s">
        <v>28</v>
      </c>
      <c r="E45" s="2" t="s">
        <v>147</v>
      </c>
      <c r="F45" s="2" t="str">
        <f>IF(Names!$B45="M","Mr.",IF(Names!$B45="F","Ms.","Mx."))</f>
        <v>Mr.</v>
      </c>
      <c r="G45" s="2" t="str">
        <f>IF(Names!$B45="M","he",IF(Names!$B45="F","she","they"))</f>
        <v>he</v>
      </c>
      <c r="H45" s="2" t="str">
        <f>IF(Names!$B45="M","him",IF(Names!$B45="F","her","them"))</f>
        <v>him</v>
      </c>
      <c r="I45" s="2" t="str">
        <f>IF(Names!$B45="M","his",IF(Names!$B45="F","her","their"))</f>
        <v>his</v>
      </c>
    </row>
    <row r="46" ht="14.25" customHeight="1">
      <c r="A46" s="2">
        <v>45.0</v>
      </c>
      <c r="B46" s="2" t="s">
        <v>26</v>
      </c>
      <c r="C46" s="2" t="s">
        <v>148</v>
      </c>
      <c r="D46" s="2" t="s">
        <v>82</v>
      </c>
      <c r="E46" s="2" t="s">
        <v>149</v>
      </c>
      <c r="F46" s="2" t="str">
        <f>IF(Names!$B46="M","Mr.",IF(Names!$B46="F","Ms.","Mx."))</f>
        <v>Mr.</v>
      </c>
      <c r="G46" s="2" t="str">
        <f>IF(Names!$B46="M","he",IF(Names!$B46="F","she","they"))</f>
        <v>he</v>
      </c>
      <c r="H46" s="2" t="str">
        <f>IF(Names!$B46="M","him",IF(Names!$B46="F","her","them"))</f>
        <v>him</v>
      </c>
      <c r="I46" s="2" t="str">
        <f>IF(Names!$B46="M","his",IF(Names!$B46="F","her","their"))</f>
        <v>his</v>
      </c>
    </row>
    <row r="47" ht="14.25" customHeight="1">
      <c r="A47" s="2">
        <v>46.0</v>
      </c>
      <c r="B47" s="2" t="s">
        <v>26</v>
      </c>
      <c r="C47" s="2" t="s">
        <v>150</v>
      </c>
      <c r="D47" s="2" t="s">
        <v>151</v>
      </c>
      <c r="E47" s="2" t="s">
        <v>51</v>
      </c>
      <c r="F47" s="2" t="str">
        <f>IF(Names!$B47="M","Mr.",IF(Names!$B47="F","Ms.","Mx."))</f>
        <v>Mr.</v>
      </c>
      <c r="G47" s="2" t="str">
        <f>IF(Names!$B47="M","he",IF(Names!$B47="F","she","they"))</f>
        <v>he</v>
      </c>
      <c r="H47" s="2" t="str">
        <f>IF(Names!$B47="M","him",IF(Names!$B47="F","her","them"))</f>
        <v>him</v>
      </c>
      <c r="I47" s="2" t="str">
        <f>IF(Names!$B47="M","his",IF(Names!$B47="F","her","their"))</f>
        <v>his</v>
      </c>
    </row>
    <row r="48" ht="14.25" customHeight="1">
      <c r="A48" s="2">
        <v>47.0</v>
      </c>
      <c r="B48" s="2" t="s">
        <v>26</v>
      </c>
      <c r="C48" s="2" t="s">
        <v>152</v>
      </c>
      <c r="D48" s="2" t="s">
        <v>153</v>
      </c>
      <c r="E48" s="2" t="s">
        <v>154</v>
      </c>
      <c r="F48" s="2" t="str">
        <f>IF(Names!$B48="M","Mr.",IF(Names!$B48="F","Ms.","Mx."))</f>
        <v>Mr.</v>
      </c>
      <c r="G48" s="2" t="str">
        <f>IF(Names!$B48="M","he",IF(Names!$B48="F","she","they"))</f>
        <v>he</v>
      </c>
      <c r="H48" s="2" t="str">
        <f>IF(Names!$B48="M","him",IF(Names!$B48="F","her","them"))</f>
        <v>him</v>
      </c>
      <c r="I48" s="2" t="str">
        <f>IF(Names!$B48="M","his",IF(Names!$B48="F","her","their"))</f>
        <v>his</v>
      </c>
    </row>
    <row r="49" ht="14.25" customHeight="1">
      <c r="A49" s="2">
        <v>48.0</v>
      </c>
      <c r="B49" s="2" t="s">
        <v>26</v>
      </c>
      <c r="C49" s="2" t="s">
        <v>155</v>
      </c>
      <c r="D49" s="2" t="s">
        <v>156</v>
      </c>
      <c r="E49" s="2" t="s">
        <v>157</v>
      </c>
      <c r="F49" s="2" t="str">
        <f>IF(Names!$B49="M","Mr.",IF(Names!$B49="F","Ms.","Mx."))</f>
        <v>Mr.</v>
      </c>
      <c r="G49" s="2" t="str">
        <f>IF(Names!$B49="M","he",IF(Names!$B49="F","she","they"))</f>
        <v>he</v>
      </c>
      <c r="H49" s="2" t="str">
        <f>IF(Names!$B49="M","him",IF(Names!$B49="F","her","them"))</f>
        <v>him</v>
      </c>
      <c r="I49" s="2" t="str">
        <f>IF(Names!$B49="M","his",IF(Names!$B49="F","her","their"))</f>
        <v>his</v>
      </c>
    </row>
    <row r="50" ht="14.25" customHeight="1">
      <c r="A50" s="2">
        <v>49.0</v>
      </c>
      <c r="B50" s="2" t="s">
        <v>26</v>
      </c>
      <c r="C50" s="2" t="str">
        <f t="shared" ref="C50:C169" si="1">D50&amp;" "&amp;E50</f>
        <v>Adam Hart</v>
      </c>
      <c r="D50" s="2" t="s">
        <v>73</v>
      </c>
      <c r="E50" s="2" t="s">
        <v>158</v>
      </c>
      <c r="F50" s="2" t="str">
        <f>IF(Names!$B50="M","Mr.",IF(Names!$B50="F","Ms.","Mx."))</f>
        <v>Mr.</v>
      </c>
      <c r="G50" s="2" t="str">
        <f>IF(Names!$B50="M","he",IF(Names!$B50="F","she","they"))</f>
        <v>he</v>
      </c>
      <c r="H50" s="2" t="str">
        <f>IF(Names!$B50="M","him",IF(Names!$B50="F","her","them"))</f>
        <v>him</v>
      </c>
      <c r="I50" s="2" t="str">
        <f>IF(Names!$B50="M","his",IF(Names!$B50="F","her","their"))</f>
        <v>his</v>
      </c>
    </row>
    <row r="51" ht="14.25" customHeight="1">
      <c r="A51" s="2">
        <v>50.0</v>
      </c>
      <c r="B51" s="2" t="s">
        <v>26</v>
      </c>
      <c r="C51" s="2" t="str">
        <f t="shared" si="1"/>
        <v>Aidan Lewis</v>
      </c>
      <c r="D51" s="2" t="s">
        <v>159</v>
      </c>
      <c r="E51" s="2" t="s">
        <v>160</v>
      </c>
      <c r="F51" s="2" t="str">
        <f>IF(Names!$B51="M","Mr.",IF(Names!$B51="F","Ms.","Mx."))</f>
        <v>Mr.</v>
      </c>
      <c r="G51" s="2" t="str">
        <f>IF(Names!$B51="M","he",IF(Names!$B51="F","she","they"))</f>
        <v>he</v>
      </c>
      <c r="H51" s="2" t="str">
        <f>IF(Names!$B51="M","him",IF(Names!$B51="F","her","them"))</f>
        <v>him</v>
      </c>
      <c r="I51" s="2" t="str">
        <f>IF(Names!$B51="M","his",IF(Names!$B51="F","her","their"))</f>
        <v>his</v>
      </c>
    </row>
    <row r="52" ht="14.25" customHeight="1">
      <c r="A52" s="2">
        <v>51.0</v>
      </c>
      <c r="B52" s="2" t="s">
        <v>26</v>
      </c>
      <c r="C52" s="2" t="str">
        <f t="shared" si="1"/>
        <v>Isaac Rose</v>
      </c>
      <c r="D52" s="2" t="s">
        <v>161</v>
      </c>
      <c r="E52" s="2" t="s">
        <v>115</v>
      </c>
      <c r="F52" s="2" t="str">
        <f>IF(Names!$B52="M","Mr.",IF(Names!$B52="F","Ms.","Mx."))</f>
        <v>Mr.</v>
      </c>
      <c r="G52" s="2" t="str">
        <f>IF(Names!$B52="M","he",IF(Names!$B52="F","she","they"))</f>
        <v>he</v>
      </c>
      <c r="H52" s="2" t="str">
        <f>IF(Names!$B52="M","him",IF(Names!$B52="F","her","them"))</f>
        <v>him</v>
      </c>
      <c r="I52" s="2" t="str">
        <f>IF(Names!$B52="M","his",IF(Names!$B52="F","her","their"))</f>
        <v>his</v>
      </c>
    </row>
    <row r="53" ht="14.25" customHeight="1">
      <c r="A53" s="2">
        <v>52.0</v>
      </c>
      <c r="B53" s="2" t="s">
        <v>26</v>
      </c>
      <c r="C53" s="2" t="str">
        <f t="shared" si="1"/>
        <v>Jackson Allen</v>
      </c>
      <c r="D53" s="2" t="s">
        <v>162</v>
      </c>
      <c r="E53" s="2" t="s">
        <v>163</v>
      </c>
      <c r="F53" s="2" t="str">
        <f>IF(Names!$B53="M","Mr.",IF(Names!$B53="F","Ms.","Mx."))</f>
        <v>Mr.</v>
      </c>
      <c r="G53" s="2" t="str">
        <f>IF(Names!$B53="M","he",IF(Names!$B53="F","she","they"))</f>
        <v>he</v>
      </c>
      <c r="H53" s="2" t="str">
        <f>IF(Names!$B53="M","him",IF(Names!$B53="F","her","them"))</f>
        <v>him</v>
      </c>
      <c r="I53" s="2" t="str">
        <f>IF(Names!$B53="M","his",IF(Names!$B53="F","her","their"))</f>
        <v>his</v>
      </c>
    </row>
    <row r="54" ht="14.25" customHeight="1">
      <c r="A54" s="2">
        <v>53.0</v>
      </c>
      <c r="B54" s="2" t="s">
        <v>26</v>
      </c>
      <c r="C54" s="2" t="str">
        <f t="shared" si="1"/>
        <v>Oliver Simpson</v>
      </c>
      <c r="D54" s="2" t="s">
        <v>164</v>
      </c>
      <c r="E54" s="2" t="s">
        <v>165</v>
      </c>
      <c r="F54" s="2" t="str">
        <f>IF(Names!$B54="M","Mr.",IF(Names!$B54="F","Ms.","Mx."))</f>
        <v>Mr.</v>
      </c>
      <c r="G54" s="2" t="str">
        <f>IF(Names!$B54="M","he",IF(Names!$B54="F","she","they"))</f>
        <v>he</v>
      </c>
      <c r="H54" s="2" t="str">
        <f>IF(Names!$B54="M","him",IF(Names!$B54="F","her","them"))</f>
        <v>him</v>
      </c>
      <c r="I54" s="2" t="str">
        <f>IF(Names!$B54="M","his",IF(Names!$B54="F","her","their"))</f>
        <v>his</v>
      </c>
    </row>
    <row r="55" ht="14.25" customHeight="1">
      <c r="A55" s="2">
        <v>54.0</v>
      </c>
      <c r="B55" s="2" t="s">
        <v>26</v>
      </c>
      <c r="C55" s="2" t="str">
        <f t="shared" si="1"/>
        <v>Brycen Ingram</v>
      </c>
      <c r="D55" s="2" t="s">
        <v>166</v>
      </c>
      <c r="E55" s="2" t="s">
        <v>167</v>
      </c>
      <c r="F55" s="2" t="str">
        <f>IF(Names!$B55="M","Mr.",IF(Names!$B55="F","Ms.","Mx."))</f>
        <v>Mr.</v>
      </c>
      <c r="G55" s="2" t="str">
        <f>IF(Names!$B55="M","he",IF(Names!$B55="F","she","they"))</f>
        <v>he</v>
      </c>
      <c r="H55" s="2" t="str">
        <f>IF(Names!$B55="M","him",IF(Names!$B55="F","her","them"))</f>
        <v>him</v>
      </c>
      <c r="I55" s="2" t="str">
        <f>IF(Names!$B55="M","his",IF(Names!$B55="F","her","their"))</f>
        <v>his</v>
      </c>
    </row>
    <row r="56" ht="14.25" customHeight="1">
      <c r="A56" s="2">
        <v>55.0</v>
      </c>
      <c r="B56" s="2" t="s">
        <v>26</v>
      </c>
      <c r="C56" s="2" t="str">
        <f t="shared" si="1"/>
        <v>Ibrahim Berg</v>
      </c>
      <c r="D56" s="2" t="s">
        <v>168</v>
      </c>
      <c r="E56" s="2" t="s">
        <v>169</v>
      </c>
      <c r="F56" s="2" t="str">
        <f>IF(Names!$B56="M","Mr.",IF(Names!$B56="F","Ms.","Mx."))</f>
        <v>Mr.</v>
      </c>
      <c r="G56" s="2" t="str">
        <f>IF(Names!$B56="M","he",IF(Names!$B56="F","she","they"))</f>
        <v>he</v>
      </c>
      <c r="H56" s="2" t="str">
        <f>IF(Names!$B56="M","him",IF(Names!$B56="F","her","them"))</f>
        <v>him</v>
      </c>
      <c r="I56" s="2" t="str">
        <f>IF(Names!$B56="M","his",IF(Names!$B56="F","her","their"))</f>
        <v>his</v>
      </c>
    </row>
    <row r="57" ht="14.25" customHeight="1">
      <c r="A57" s="2">
        <v>56.0</v>
      </c>
      <c r="B57" s="2" t="s">
        <v>26</v>
      </c>
      <c r="C57" s="2" t="str">
        <f t="shared" si="1"/>
        <v>Uriel Kirk</v>
      </c>
      <c r="D57" s="2" t="s">
        <v>170</v>
      </c>
      <c r="E57" s="2" t="s">
        <v>171</v>
      </c>
      <c r="F57" s="2" t="str">
        <f>IF(Names!$B57="M","Mr.",IF(Names!$B57="F","Ms.","Mx."))</f>
        <v>Mr.</v>
      </c>
      <c r="G57" s="2" t="str">
        <f>IF(Names!$B57="M","he",IF(Names!$B57="F","she","they"))</f>
        <v>he</v>
      </c>
      <c r="H57" s="2" t="str">
        <f>IF(Names!$B57="M","him",IF(Names!$B57="F","her","them"))</f>
        <v>him</v>
      </c>
      <c r="I57" s="2" t="str">
        <f>IF(Names!$B57="M","his",IF(Names!$B57="F","her","their"))</f>
        <v>his</v>
      </c>
    </row>
    <row r="58" ht="14.25" customHeight="1">
      <c r="A58" s="2">
        <v>57.0</v>
      </c>
      <c r="B58" s="2" t="s">
        <v>26</v>
      </c>
      <c r="C58" s="2" t="str">
        <f t="shared" si="1"/>
        <v>Bronson Marsh</v>
      </c>
      <c r="D58" s="2" t="s">
        <v>172</v>
      </c>
      <c r="E58" s="2" t="s">
        <v>173</v>
      </c>
      <c r="F58" s="2" t="str">
        <f>IF(Names!$B58="M","Mr.",IF(Names!$B58="F","Ms.","Mx."))</f>
        <v>Mr.</v>
      </c>
      <c r="G58" s="2" t="str">
        <f>IF(Names!$B58="M","he",IF(Names!$B58="F","she","they"))</f>
        <v>he</v>
      </c>
      <c r="H58" s="2" t="str">
        <f>IF(Names!$B58="M","him",IF(Names!$B58="F","her","them"))</f>
        <v>him</v>
      </c>
      <c r="I58" s="2" t="str">
        <f>IF(Names!$B58="M","his",IF(Names!$B58="F","her","their"))</f>
        <v>his</v>
      </c>
    </row>
    <row r="59" ht="14.25" customHeight="1">
      <c r="A59" s="2">
        <v>58.0</v>
      </c>
      <c r="B59" s="2" t="s">
        <v>26</v>
      </c>
      <c r="C59" s="2" t="str">
        <f t="shared" si="1"/>
        <v>Juelz Gibbs</v>
      </c>
      <c r="D59" s="2" t="s">
        <v>174</v>
      </c>
      <c r="E59" s="2" t="s">
        <v>175</v>
      </c>
      <c r="F59" s="2" t="str">
        <f>IF(Names!$B59="M","Mr.",IF(Names!$B59="F","Ms.","Mx."))</f>
        <v>Mr.</v>
      </c>
      <c r="G59" s="2" t="str">
        <f>IF(Names!$B59="M","he",IF(Names!$B59="F","she","they"))</f>
        <v>he</v>
      </c>
      <c r="H59" s="2" t="str">
        <f>IF(Names!$B59="M","him",IF(Names!$B59="F","her","them"))</f>
        <v>him</v>
      </c>
      <c r="I59" s="2" t="str">
        <f>IF(Names!$B59="M","his",IF(Names!$B59="F","her","their"))</f>
        <v>his</v>
      </c>
    </row>
    <row r="60" ht="14.25" customHeight="1">
      <c r="A60" s="2">
        <v>59.0</v>
      </c>
      <c r="B60" s="2" t="s">
        <v>26</v>
      </c>
      <c r="C60" s="2" t="str">
        <f t="shared" si="1"/>
        <v>Bobby Harvey</v>
      </c>
      <c r="D60" s="2" t="s">
        <v>176</v>
      </c>
      <c r="E60" s="2" t="s">
        <v>177</v>
      </c>
      <c r="F60" s="2" t="str">
        <f>IF(Names!$B60="M","Mr.",IF(Names!$B60="F","Ms.","Mx."))</f>
        <v>Mr.</v>
      </c>
      <c r="G60" s="2" t="str">
        <f>IF(Names!$B60="M","he",IF(Names!$B60="F","she","they"))</f>
        <v>he</v>
      </c>
      <c r="H60" s="2" t="str">
        <f>IF(Names!$B60="M","him",IF(Names!$B60="F","her","them"))</f>
        <v>him</v>
      </c>
      <c r="I60" s="2" t="str">
        <f>IF(Names!$B60="M","his",IF(Names!$B60="F","her","their"))</f>
        <v>his</v>
      </c>
    </row>
    <row r="61" ht="14.25" customHeight="1">
      <c r="A61" s="2">
        <v>60.0</v>
      </c>
      <c r="B61" s="2" t="s">
        <v>26</v>
      </c>
      <c r="C61" s="2" t="str">
        <f t="shared" si="1"/>
        <v>Henry Matthews</v>
      </c>
      <c r="D61" s="2" t="s">
        <v>178</v>
      </c>
      <c r="E61" s="2" t="s">
        <v>179</v>
      </c>
      <c r="F61" s="2" t="str">
        <f>IF(Names!$B61="M","Mr.",IF(Names!$B61="F","Ms.","Mx."))</f>
        <v>Mr.</v>
      </c>
      <c r="G61" s="2" t="str">
        <f>IF(Names!$B61="M","he",IF(Names!$B61="F","she","they"))</f>
        <v>he</v>
      </c>
      <c r="H61" s="2" t="str">
        <f>IF(Names!$B61="M","him",IF(Names!$B61="F","her","them"))</f>
        <v>him</v>
      </c>
      <c r="I61" s="2" t="str">
        <f>IF(Names!$B61="M","his",IF(Names!$B61="F","her","their"))</f>
        <v>his</v>
      </c>
    </row>
    <row r="62" ht="14.25" customHeight="1">
      <c r="A62" s="2">
        <v>61.0</v>
      </c>
      <c r="B62" s="2" t="s">
        <v>26</v>
      </c>
      <c r="C62" s="2" t="str">
        <f t="shared" si="1"/>
        <v>Scott Sutton</v>
      </c>
      <c r="D62" s="2" t="s">
        <v>180</v>
      </c>
      <c r="E62" s="2" t="s">
        <v>181</v>
      </c>
      <c r="F62" s="2" t="str">
        <f>IF(Names!$B62="M","Mr.",IF(Names!$B62="F","Ms.","Mx."))</f>
        <v>Mr.</v>
      </c>
      <c r="G62" s="2" t="str">
        <f>IF(Names!$B62="M","he",IF(Names!$B62="F","she","they"))</f>
        <v>he</v>
      </c>
      <c r="H62" s="2" t="str">
        <f>IF(Names!$B62="M","him",IF(Names!$B62="F","her","them"))</f>
        <v>him</v>
      </c>
      <c r="I62" s="2" t="str">
        <f>IF(Names!$B62="M","his",IF(Names!$B62="F","her","their"))</f>
        <v>his</v>
      </c>
    </row>
    <row r="63" ht="14.25" customHeight="1">
      <c r="A63" s="2">
        <v>62.0</v>
      </c>
      <c r="B63" s="2" t="s">
        <v>26</v>
      </c>
      <c r="C63" s="2" t="str">
        <f t="shared" si="1"/>
        <v>Kyle Marshall</v>
      </c>
      <c r="D63" s="2" t="s">
        <v>91</v>
      </c>
      <c r="E63" s="2" t="s">
        <v>182</v>
      </c>
      <c r="F63" s="2" t="str">
        <f>IF(Names!$B63="M","Mr.",IF(Names!$B63="F","Ms.","Mx."))</f>
        <v>Mr.</v>
      </c>
      <c r="G63" s="2" t="str">
        <f>IF(Names!$B63="M","he",IF(Names!$B63="F","she","they"))</f>
        <v>he</v>
      </c>
      <c r="H63" s="2" t="str">
        <f>IF(Names!$B63="M","him",IF(Names!$B63="F","her","them"))</f>
        <v>him</v>
      </c>
      <c r="I63" s="2" t="str">
        <f>IF(Names!$B63="M","his",IF(Names!$B63="F","her","their"))</f>
        <v>his</v>
      </c>
    </row>
    <row r="64" ht="14.25" customHeight="1">
      <c r="A64" s="2">
        <v>63.0</v>
      </c>
      <c r="B64" s="2" t="s">
        <v>26</v>
      </c>
      <c r="C64" s="2" t="str">
        <f t="shared" si="1"/>
        <v>Rhys Rogers</v>
      </c>
      <c r="D64" s="2" t="s">
        <v>183</v>
      </c>
      <c r="E64" s="2" t="s">
        <v>145</v>
      </c>
      <c r="F64" s="2" t="str">
        <f>IF(Names!$B64="M","Mr.",IF(Names!$B64="F","Ms.","Mx."))</f>
        <v>Mr.</v>
      </c>
      <c r="G64" s="2" t="str">
        <f>IF(Names!$B64="M","he",IF(Names!$B64="F","she","they"))</f>
        <v>he</v>
      </c>
      <c r="H64" s="2" t="str">
        <f>IF(Names!$B64="M","him",IF(Names!$B64="F","her","them"))</f>
        <v>him</v>
      </c>
      <c r="I64" s="2" t="str">
        <f>IF(Names!$B64="M","his",IF(Names!$B64="F","her","their"))</f>
        <v>his</v>
      </c>
    </row>
    <row r="65" ht="14.25" customHeight="1">
      <c r="A65" s="2">
        <v>64.0</v>
      </c>
      <c r="B65" s="2" t="s">
        <v>26</v>
      </c>
      <c r="C65" s="2" t="str">
        <f t="shared" si="1"/>
        <v>Kolton Molina</v>
      </c>
      <c r="D65" s="2" t="s">
        <v>184</v>
      </c>
      <c r="E65" s="2" t="s">
        <v>185</v>
      </c>
      <c r="F65" s="2" t="str">
        <f>IF(Names!$B65="M","Mr.",IF(Names!$B65="F","Ms.","Mx."))</f>
        <v>Mr.</v>
      </c>
      <c r="G65" s="2" t="str">
        <f>IF(Names!$B65="M","he",IF(Names!$B65="F","she","they"))</f>
        <v>he</v>
      </c>
      <c r="H65" s="2" t="str">
        <f>IF(Names!$B65="M","him",IF(Names!$B65="F","her","them"))</f>
        <v>him</v>
      </c>
      <c r="I65" s="2" t="str">
        <f>IF(Names!$B65="M","his",IF(Names!$B65="F","her","their"))</f>
        <v>his</v>
      </c>
    </row>
    <row r="66" ht="14.25" customHeight="1">
      <c r="A66" s="2">
        <v>65.0</v>
      </c>
      <c r="B66" s="2" t="s">
        <v>26</v>
      </c>
      <c r="C66" s="2" t="str">
        <f t="shared" si="1"/>
        <v>Jason Clemons</v>
      </c>
      <c r="D66" s="2" t="s">
        <v>186</v>
      </c>
      <c r="E66" s="2" t="s">
        <v>187</v>
      </c>
      <c r="F66" s="2" t="str">
        <f>IF(Names!$B66="M","Mr.",IF(Names!$B66="F","Ms.","Mx."))</f>
        <v>Mr.</v>
      </c>
      <c r="G66" s="2" t="str">
        <f>IF(Names!$B66="M","he",IF(Names!$B66="F","she","they"))</f>
        <v>he</v>
      </c>
      <c r="H66" s="2" t="str">
        <f>IF(Names!$B66="M","him",IF(Names!$B66="F","her","them"))</f>
        <v>him</v>
      </c>
      <c r="I66" s="2" t="str">
        <f>IF(Names!$B66="M","his",IF(Names!$B66="F","her","their"))</f>
        <v>his</v>
      </c>
    </row>
    <row r="67" ht="14.25" customHeight="1">
      <c r="A67" s="2">
        <v>66.0</v>
      </c>
      <c r="B67" s="2" t="s">
        <v>26</v>
      </c>
      <c r="C67" s="2" t="str">
        <f t="shared" si="1"/>
        <v>Valentin Nicholson</v>
      </c>
      <c r="D67" s="2" t="s">
        <v>188</v>
      </c>
      <c r="E67" s="2" t="s">
        <v>189</v>
      </c>
      <c r="F67" s="2" t="str">
        <f>IF(Names!$B67="M","Mr.",IF(Names!$B67="F","Ms.","Mx."))</f>
        <v>Mr.</v>
      </c>
      <c r="G67" s="2" t="str">
        <f>IF(Names!$B67="M","he",IF(Names!$B67="F","she","they"))</f>
        <v>he</v>
      </c>
      <c r="H67" s="2" t="str">
        <f>IF(Names!$B67="M","him",IF(Names!$B67="F","her","them"))</f>
        <v>him</v>
      </c>
      <c r="I67" s="2" t="str">
        <f>IF(Names!$B67="M","his",IF(Names!$B67="F","her","their"))</f>
        <v>his</v>
      </c>
    </row>
    <row r="68" ht="14.25" customHeight="1">
      <c r="A68" s="2">
        <v>67.0</v>
      </c>
      <c r="B68" s="2" t="s">
        <v>26</v>
      </c>
      <c r="C68" s="2" t="str">
        <f t="shared" si="1"/>
        <v>Curtis Sears</v>
      </c>
      <c r="D68" s="2" t="s">
        <v>190</v>
      </c>
      <c r="E68" s="2" t="s">
        <v>191</v>
      </c>
      <c r="F68" s="2" t="str">
        <f>IF(Names!$B68="M","Mr.",IF(Names!$B68="F","Ms.","Mx."))</f>
        <v>Mr.</v>
      </c>
      <c r="G68" s="2" t="str">
        <f>IF(Names!$B68="M","he",IF(Names!$B68="F","she","they"))</f>
        <v>he</v>
      </c>
      <c r="H68" s="2" t="str">
        <f>IF(Names!$B68="M","him",IF(Names!$B68="F","her","them"))</f>
        <v>him</v>
      </c>
      <c r="I68" s="2" t="str">
        <f>IF(Names!$B68="M","his",IF(Names!$B68="F","her","their"))</f>
        <v>his</v>
      </c>
    </row>
    <row r="69" ht="14.25" customHeight="1">
      <c r="A69" s="2">
        <v>68.0</v>
      </c>
      <c r="B69" s="2" t="s">
        <v>26</v>
      </c>
      <c r="C69" s="2" t="str">
        <f t="shared" si="1"/>
        <v>Teagan Coleman</v>
      </c>
      <c r="D69" s="2" t="s">
        <v>192</v>
      </c>
      <c r="E69" s="2" t="s">
        <v>193</v>
      </c>
      <c r="F69" s="2" t="str">
        <f>IF(Names!$B69="M","Mr.",IF(Names!$B69="F","Ms.","Mx."))</f>
        <v>Mr.</v>
      </c>
      <c r="G69" s="2" t="str">
        <f>IF(Names!$B69="M","he",IF(Names!$B69="F","she","they"))</f>
        <v>he</v>
      </c>
      <c r="H69" s="2" t="str">
        <f>IF(Names!$B69="M","him",IF(Names!$B69="F","her","them"))</f>
        <v>him</v>
      </c>
      <c r="I69" s="2" t="str">
        <f>IF(Names!$B69="M","his",IF(Names!$B69="F","her","their"))</f>
        <v>his</v>
      </c>
    </row>
    <row r="70" ht="14.25" customHeight="1">
      <c r="A70" s="2">
        <v>69.0</v>
      </c>
      <c r="B70" s="2" t="s">
        <v>26</v>
      </c>
      <c r="C70" s="2" t="str">
        <f t="shared" si="1"/>
        <v>Andrew White</v>
      </c>
      <c r="D70" s="2" t="s">
        <v>194</v>
      </c>
      <c r="E70" s="2" t="s">
        <v>195</v>
      </c>
      <c r="F70" s="2" t="str">
        <f>IF(Names!$B70="M","Mr.",IF(Names!$B70="F","Ms.","Mx."))</f>
        <v>Mr.</v>
      </c>
      <c r="G70" s="2" t="str">
        <f>IF(Names!$B70="M","he",IF(Names!$B70="F","she","they"))</f>
        <v>he</v>
      </c>
      <c r="H70" s="2" t="str">
        <f>IF(Names!$B70="M","him",IF(Names!$B70="F","her","them"))</f>
        <v>him</v>
      </c>
      <c r="I70" s="2" t="str">
        <f>IF(Names!$B70="M","his",IF(Names!$B70="F","her","their"))</f>
        <v>his</v>
      </c>
    </row>
    <row r="71" ht="14.25" customHeight="1">
      <c r="A71" s="2">
        <v>70.0</v>
      </c>
      <c r="B71" s="2" t="s">
        <v>26</v>
      </c>
      <c r="C71" s="2" t="str">
        <f t="shared" si="1"/>
        <v>Jude Moss</v>
      </c>
      <c r="D71" s="2" t="s">
        <v>196</v>
      </c>
      <c r="E71" s="2" t="s">
        <v>197</v>
      </c>
      <c r="F71" s="2" t="str">
        <f>IF(Names!$B71="M","Mr.",IF(Names!$B71="F","Ms.","Mx."))</f>
        <v>Mr.</v>
      </c>
      <c r="G71" s="2" t="str">
        <f>IF(Names!$B71="M","he",IF(Names!$B71="F","she","they"))</f>
        <v>he</v>
      </c>
      <c r="H71" s="2" t="str">
        <f>IF(Names!$B71="M","him",IF(Names!$B71="F","her","them"))</f>
        <v>him</v>
      </c>
      <c r="I71" s="2" t="str">
        <f>IF(Names!$B71="M","his",IF(Names!$B71="F","her","their"))</f>
        <v>his</v>
      </c>
    </row>
    <row r="72" ht="14.25" customHeight="1">
      <c r="A72" s="2">
        <v>71.0</v>
      </c>
      <c r="B72" s="2" t="s">
        <v>26</v>
      </c>
      <c r="C72" s="2" t="str">
        <f t="shared" si="1"/>
        <v>Ewan Wells</v>
      </c>
      <c r="D72" s="2" t="s">
        <v>198</v>
      </c>
      <c r="E72" s="2" t="s">
        <v>199</v>
      </c>
      <c r="F72" s="2" t="str">
        <f>IF(Names!$B72="M","Mr.",IF(Names!$B72="F","Ms.","Mx."))</f>
        <v>Mr.</v>
      </c>
      <c r="G72" s="2" t="str">
        <f>IF(Names!$B72="M","he",IF(Names!$B72="F","she","they"))</f>
        <v>he</v>
      </c>
      <c r="H72" s="2" t="str">
        <f>IF(Names!$B72="M","him",IF(Names!$B72="F","her","them"))</f>
        <v>him</v>
      </c>
      <c r="I72" s="2" t="str">
        <f>IF(Names!$B72="M","his",IF(Names!$B72="F","her","their"))</f>
        <v>his</v>
      </c>
    </row>
    <row r="73" ht="14.25" customHeight="1">
      <c r="A73" s="2">
        <v>72.0</v>
      </c>
      <c r="B73" s="2" t="s">
        <v>26</v>
      </c>
      <c r="C73" s="2" t="str">
        <f t="shared" si="1"/>
        <v>Louie Cox</v>
      </c>
      <c r="D73" s="2" t="s">
        <v>200</v>
      </c>
      <c r="E73" s="2" t="s">
        <v>201</v>
      </c>
      <c r="F73" s="2" t="str">
        <f>IF(Names!$B73="M","Mr.",IF(Names!$B73="F","Ms.","Mx."))</f>
        <v>Mr.</v>
      </c>
      <c r="G73" s="2" t="str">
        <f>IF(Names!$B73="M","he",IF(Names!$B73="F","she","they"))</f>
        <v>he</v>
      </c>
      <c r="H73" s="2" t="str">
        <f>IF(Names!$B73="M","him",IF(Names!$B73="F","her","them"))</f>
        <v>him</v>
      </c>
      <c r="I73" s="2" t="str">
        <f>IF(Names!$B73="M","his",IF(Names!$B73="F","her","their"))</f>
        <v>his</v>
      </c>
    </row>
    <row r="74" ht="14.25" customHeight="1">
      <c r="A74" s="2">
        <v>73.0</v>
      </c>
      <c r="B74" s="2" t="s">
        <v>26</v>
      </c>
      <c r="C74" s="2" t="str">
        <f t="shared" si="1"/>
        <v>Aiden Mason</v>
      </c>
      <c r="D74" s="2" t="s">
        <v>202</v>
      </c>
      <c r="E74" s="2" t="s">
        <v>203</v>
      </c>
      <c r="F74" s="2" t="str">
        <f>IF(Names!$B74="M","Mr.",IF(Names!$B74="F","Ms.","Mx."))</f>
        <v>Mr.</v>
      </c>
      <c r="G74" s="2" t="str">
        <f>IF(Names!$B74="M","he",IF(Names!$B74="F","she","they"))</f>
        <v>he</v>
      </c>
      <c r="H74" s="2" t="str">
        <f>IF(Names!$B74="M","him",IF(Names!$B74="F","her","them"))</f>
        <v>him</v>
      </c>
      <c r="I74" s="2" t="str">
        <f>IF(Names!$B74="M","his",IF(Names!$B74="F","her","their"))</f>
        <v>his</v>
      </c>
    </row>
    <row r="75" ht="14.25" customHeight="1">
      <c r="A75" s="2">
        <v>74.0</v>
      </c>
      <c r="B75" s="2" t="s">
        <v>26</v>
      </c>
      <c r="C75" s="2" t="str">
        <f t="shared" si="1"/>
        <v>Allan O'neal</v>
      </c>
      <c r="D75" s="2" t="s">
        <v>120</v>
      </c>
      <c r="E75" s="2" t="s">
        <v>204</v>
      </c>
      <c r="F75" s="2" t="str">
        <f>IF(Names!$B75="M","Mr.",IF(Names!$B75="F","Ms.","Mx."))</f>
        <v>Mr.</v>
      </c>
      <c r="G75" s="2" t="str">
        <f>IF(Names!$B75="M","he",IF(Names!$B75="F","she","they"))</f>
        <v>he</v>
      </c>
      <c r="H75" s="2" t="str">
        <f>IF(Names!$B75="M","him",IF(Names!$B75="F","her","them"))</f>
        <v>him</v>
      </c>
      <c r="I75" s="2" t="str">
        <f>IF(Names!$B75="M","his",IF(Names!$B75="F","her","their"))</f>
        <v>his</v>
      </c>
    </row>
    <row r="76" ht="14.25" customHeight="1">
      <c r="A76" s="2">
        <v>75.0</v>
      </c>
      <c r="B76" s="2" t="s">
        <v>26</v>
      </c>
      <c r="C76" s="2" t="str">
        <f t="shared" si="1"/>
        <v>Vincent Morton</v>
      </c>
      <c r="D76" s="2" t="s">
        <v>205</v>
      </c>
      <c r="E76" s="2" t="s">
        <v>206</v>
      </c>
      <c r="F76" s="2" t="str">
        <f>IF(Names!$B76="M","Mr.",IF(Names!$B76="F","Ms.","Mx."))</f>
        <v>Mr.</v>
      </c>
      <c r="G76" s="2" t="str">
        <f>IF(Names!$B76="M","he",IF(Names!$B76="F","she","they"))</f>
        <v>he</v>
      </c>
      <c r="H76" s="2" t="str">
        <f>IF(Names!$B76="M","him",IF(Names!$B76="F","her","them"))</f>
        <v>him</v>
      </c>
      <c r="I76" s="2" t="str">
        <f>IF(Names!$B76="M","his",IF(Names!$B76="F","her","their"))</f>
        <v>his</v>
      </c>
    </row>
    <row r="77" ht="14.25" customHeight="1">
      <c r="A77" s="2">
        <v>76.0</v>
      </c>
      <c r="B77" s="2" t="s">
        <v>26</v>
      </c>
      <c r="C77" s="2" t="str">
        <f t="shared" si="1"/>
        <v>Rayan Rosales</v>
      </c>
      <c r="D77" s="2" t="s">
        <v>207</v>
      </c>
      <c r="E77" s="2" t="s">
        <v>208</v>
      </c>
      <c r="F77" s="2" t="str">
        <f>IF(Names!$B77="M","Mr.",IF(Names!$B77="F","Ms.","Mx."))</f>
        <v>Mr.</v>
      </c>
      <c r="G77" s="2" t="str">
        <f>IF(Names!$B77="M","he",IF(Names!$B77="F","she","they"))</f>
        <v>he</v>
      </c>
      <c r="H77" s="2" t="str">
        <f>IF(Names!$B77="M","him",IF(Names!$B77="F","her","them"))</f>
        <v>him</v>
      </c>
      <c r="I77" s="2" t="str">
        <f>IF(Names!$B77="M","his",IF(Names!$B77="F","her","their"))</f>
        <v>his</v>
      </c>
    </row>
    <row r="78" ht="14.25" customHeight="1">
      <c r="A78" s="2">
        <v>77.0</v>
      </c>
      <c r="B78" s="2" t="s">
        <v>26</v>
      </c>
      <c r="C78" s="2" t="str">
        <f t="shared" si="1"/>
        <v>Kolten Gay</v>
      </c>
      <c r="D78" s="2" t="s">
        <v>209</v>
      </c>
      <c r="E78" s="2" t="s">
        <v>210</v>
      </c>
      <c r="F78" s="2" t="str">
        <f>IF(Names!$B78="M","Mr.",IF(Names!$B78="F","Ms.","Mx."))</f>
        <v>Mr.</v>
      </c>
      <c r="G78" s="2" t="str">
        <f>IF(Names!$B78="M","he",IF(Names!$B78="F","she","they"))</f>
        <v>he</v>
      </c>
      <c r="H78" s="2" t="str">
        <f>IF(Names!$B78="M","him",IF(Names!$B78="F","her","them"))</f>
        <v>him</v>
      </c>
      <c r="I78" s="2" t="str">
        <f>IF(Names!$B78="M","his",IF(Names!$B78="F","her","their"))</f>
        <v>his</v>
      </c>
    </row>
    <row r="79" ht="14.25" customHeight="1">
      <c r="A79" s="2">
        <v>78.0</v>
      </c>
      <c r="B79" s="2" t="s">
        <v>26</v>
      </c>
      <c r="C79" s="2" t="str">
        <f t="shared" si="1"/>
        <v>Braden Moran</v>
      </c>
      <c r="D79" s="2" t="s">
        <v>211</v>
      </c>
      <c r="E79" s="2" t="s">
        <v>212</v>
      </c>
      <c r="F79" s="2" t="str">
        <f>IF(Names!$B79="M","Mr.",IF(Names!$B79="F","Ms.","Mx."))</f>
        <v>Mr.</v>
      </c>
      <c r="G79" s="2" t="str">
        <f>IF(Names!$B79="M","he",IF(Names!$B79="F","she","they"))</f>
        <v>he</v>
      </c>
      <c r="H79" s="2" t="str">
        <f>IF(Names!$B79="M","him",IF(Names!$B79="F","her","them"))</f>
        <v>him</v>
      </c>
      <c r="I79" s="2" t="str">
        <f>IF(Names!$B79="M","his",IF(Names!$B79="F","her","their"))</f>
        <v>his</v>
      </c>
    </row>
    <row r="80" ht="14.25" customHeight="1">
      <c r="A80" s="2">
        <v>79.0</v>
      </c>
      <c r="B80" s="2" t="s">
        <v>26</v>
      </c>
      <c r="C80" s="2" t="str">
        <f t="shared" si="1"/>
        <v>Ntumba Mbappè</v>
      </c>
      <c r="D80" s="2" t="s">
        <v>213</v>
      </c>
      <c r="E80" s="2" t="s">
        <v>214</v>
      </c>
      <c r="F80" s="2" t="str">
        <f>IF(Names!$B80="M","Mr.",IF(Names!$B80="F","Ms.","Mx."))</f>
        <v>Mr.</v>
      </c>
      <c r="G80" s="2" t="str">
        <f>IF(Names!$B80="M","he",IF(Names!$B80="F","she","they"))</f>
        <v>he</v>
      </c>
      <c r="H80" s="2" t="str">
        <f>IF(Names!$B80="M","him",IF(Names!$B80="F","her","them"))</f>
        <v>him</v>
      </c>
      <c r="I80" s="2" t="str">
        <f>IF(Names!$B80="M","his",IF(Names!$B80="F","her","their"))</f>
        <v>his</v>
      </c>
    </row>
    <row r="81" ht="14.25" customHeight="1">
      <c r="A81" s="2">
        <v>80.0</v>
      </c>
      <c r="B81" s="2" t="s">
        <v>26</v>
      </c>
      <c r="C81" s="2" t="str">
        <f t="shared" si="1"/>
        <v>Tanzetanau Ndongo</v>
      </c>
      <c r="D81" s="2" t="s">
        <v>215</v>
      </c>
      <c r="E81" s="2" t="s">
        <v>216</v>
      </c>
      <c r="F81" s="2" t="str">
        <f>IF(Names!$B81="M","Mr.",IF(Names!$B81="F","Ms.","Mx."))</f>
        <v>Mr.</v>
      </c>
      <c r="G81" s="2" t="str">
        <f>IF(Names!$B81="M","he",IF(Names!$B81="F","she","they"))</f>
        <v>he</v>
      </c>
      <c r="H81" s="2" t="str">
        <f>IF(Names!$B81="M","him",IF(Names!$B81="F","her","them"))</f>
        <v>him</v>
      </c>
      <c r="I81" s="2" t="str">
        <f>IF(Names!$B81="M","his",IF(Names!$B81="F","her","their"))</f>
        <v>his</v>
      </c>
    </row>
    <row r="82" ht="14.25" customHeight="1">
      <c r="A82" s="2">
        <v>81.0</v>
      </c>
      <c r="B82" s="2" t="s">
        <v>26</v>
      </c>
      <c r="C82" s="2" t="str">
        <f t="shared" si="1"/>
        <v>Nji Kabeya</v>
      </c>
      <c r="D82" s="2" t="s">
        <v>217</v>
      </c>
      <c r="E82" s="2" t="s">
        <v>218</v>
      </c>
      <c r="F82" s="2" t="str">
        <f>IF(Names!$B82="M","Mr.",IF(Names!$B82="F","Ms.","Mx."))</f>
        <v>Mr.</v>
      </c>
      <c r="G82" s="2" t="str">
        <f>IF(Names!$B82="M","he",IF(Names!$B82="F","she","they"))</f>
        <v>he</v>
      </c>
      <c r="H82" s="2" t="str">
        <f>IF(Names!$B82="M","him",IF(Names!$B82="F","her","them"))</f>
        <v>him</v>
      </c>
      <c r="I82" s="2" t="str">
        <f>IF(Names!$B82="M","his",IF(Names!$B82="F","her","their"))</f>
        <v>his</v>
      </c>
    </row>
    <row r="83" ht="14.25" customHeight="1">
      <c r="A83" s="2">
        <v>82.0</v>
      </c>
      <c r="B83" s="2" t="s">
        <v>26</v>
      </c>
      <c r="C83" s="2" t="str">
        <f t="shared" si="1"/>
        <v>Fua Ramazani</v>
      </c>
      <c r="D83" s="2" t="s">
        <v>219</v>
      </c>
      <c r="E83" s="2" t="s">
        <v>220</v>
      </c>
      <c r="F83" s="2" t="str">
        <f>IF(Names!$B83="M","Mr.",IF(Names!$B83="F","Ms.","Mx."))</f>
        <v>Mr.</v>
      </c>
      <c r="G83" s="2" t="str">
        <f>IF(Names!$B83="M","he",IF(Names!$B83="F","she","they"))</f>
        <v>he</v>
      </c>
      <c r="H83" s="2" t="str">
        <f>IF(Names!$B83="M","him",IF(Names!$B83="F","her","them"))</f>
        <v>him</v>
      </c>
      <c r="I83" s="2" t="str">
        <f>IF(Names!$B83="M","his",IF(Names!$B83="F","her","their"))</f>
        <v>his</v>
      </c>
    </row>
    <row r="84" ht="14.25" customHeight="1">
      <c r="A84" s="2">
        <v>83.0</v>
      </c>
      <c r="B84" s="2" t="s">
        <v>26</v>
      </c>
      <c r="C84" s="2" t="str">
        <f t="shared" si="1"/>
        <v>Gana Ngoma</v>
      </c>
      <c r="D84" s="2" t="s">
        <v>221</v>
      </c>
      <c r="E84" s="2" t="s">
        <v>222</v>
      </c>
      <c r="F84" s="2" t="str">
        <f>IF(Names!$B84="M","Mr.",IF(Names!$B84="F","Ms.","Mx."))</f>
        <v>Mr.</v>
      </c>
      <c r="G84" s="2" t="str">
        <f>IF(Names!$B84="M","he",IF(Names!$B84="F","she","they"))</f>
        <v>he</v>
      </c>
      <c r="H84" s="2" t="str">
        <f>IF(Names!$B84="M","him",IF(Names!$B84="F","her","them"))</f>
        <v>him</v>
      </c>
      <c r="I84" s="2" t="str">
        <f>IF(Names!$B84="M","his",IF(Names!$B84="F","her","their"))</f>
        <v>his</v>
      </c>
    </row>
    <row r="85" ht="14.25" customHeight="1">
      <c r="A85" s="2">
        <v>84.0</v>
      </c>
      <c r="B85" s="2" t="s">
        <v>26</v>
      </c>
      <c r="C85" s="2" t="str">
        <f t="shared" si="1"/>
        <v>François Mupwale</v>
      </c>
      <c r="D85" s="2" t="s">
        <v>223</v>
      </c>
      <c r="E85" s="2" t="s">
        <v>224</v>
      </c>
      <c r="F85" s="2" t="str">
        <f>IF(Names!$B85="M","Mr.",IF(Names!$B85="F","Ms.","Mx."))</f>
        <v>Mr.</v>
      </c>
      <c r="G85" s="2" t="str">
        <f>IF(Names!$B85="M","he",IF(Names!$B85="F","she","they"))</f>
        <v>he</v>
      </c>
      <c r="H85" s="2" t="str">
        <f>IF(Names!$B85="M","him",IF(Names!$B85="F","her","them"))</f>
        <v>him</v>
      </c>
      <c r="I85" s="2" t="str">
        <f>IF(Names!$B85="M","his",IF(Names!$B85="F","her","their"))</f>
        <v>his</v>
      </c>
    </row>
    <row r="86" ht="14.25" customHeight="1">
      <c r="A86" s="2">
        <v>85.0</v>
      </c>
      <c r="B86" s="2" t="s">
        <v>26</v>
      </c>
      <c r="C86" s="2" t="str">
        <f t="shared" si="1"/>
        <v>Bobby Songè</v>
      </c>
      <c r="D86" s="2" t="s">
        <v>176</v>
      </c>
      <c r="E86" s="2" t="s">
        <v>225</v>
      </c>
      <c r="F86" s="2" t="str">
        <f>IF(Names!$B86="M","Mr.",IF(Names!$B86="F","Ms.","Mx."))</f>
        <v>Mr.</v>
      </c>
      <c r="G86" s="2" t="str">
        <f>IF(Names!$B86="M","he",IF(Names!$B86="F","she","they"))</f>
        <v>he</v>
      </c>
      <c r="H86" s="2" t="str">
        <f>IF(Names!$B86="M","him",IF(Names!$B86="F","her","them"))</f>
        <v>him</v>
      </c>
      <c r="I86" s="2" t="str">
        <f>IF(Names!$B86="M","his",IF(Names!$B86="F","her","their"))</f>
        <v>his</v>
      </c>
    </row>
    <row r="87" ht="14.25" customHeight="1">
      <c r="A87" s="2">
        <v>86.0</v>
      </c>
      <c r="B87" s="2" t="s">
        <v>26</v>
      </c>
      <c r="C87" s="2" t="str">
        <f t="shared" si="1"/>
        <v>Benoît Mbuyi</v>
      </c>
      <c r="D87" s="2" t="s">
        <v>226</v>
      </c>
      <c r="E87" s="2" t="s">
        <v>227</v>
      </c>
      <c r="F87" s="2" t="str">
        <f>IF(Names!$B87="M","Mr.",IF(Names!$B87="F","Ms.","Mx."))</f>
        <v>Mr.</v>
      </c>
      <c r="G87" s="2" t="str">
        <f>IF(Names!$B87="M","he",IF(Names!$B87="F","she","they"))</f>
        <v>he</v>
      </c>
      <c r="H87" s="2" t="str">
        <f>IF(Names!$B87="M","him",IF(Names!$B87="F","her","them"))</f>
        <v>him</v>
      </c>
      <c r="I87" s="2" t="str">
        <f>IF(Names!$B87="M","his",IF(Names!$B87="F","her","their"))</f>
        <v>his</v>
      </c>
    </row>
    <row r="88" ht="14.25" customHeight="1">
      <c r="A88" s="2">
        <v>87.0</v>
      </c>
      <c r="B88" s="2" t="s">
        <v>26</v>
      </c>
      <c r="C88" s="2" t="str">
        <f t="shared" si="1"/>
        <v>Igor Pelami</v>
      </c>
      <c r="D88" s="2" t="s">
        <v>228</v>
      </c>
      <c r="E88" s="2" t="s">
        <v>229</v>
      </c>
      <c r="F88" s="2" t="str">
        <f>IF(Names!$B88="M","Mr.",IF(Names!$B88="F","Ms.","Mx."))</f>
        <v>Mr.</v>
      </c>
      <c r="G88" s="2" t="str">
        <f>IF(Names!$B88="M","he",IF(Names!$B88="F","she","they"))</f>
        <v>he</v>
      </c>
      <c r="H88" s="2" t="str">
        <f>IF(Names!$B88="M","him",IF(Names!$B88="F","her","them"))</f>
        <v>him</v>
      </c>
      <c r="I88" s="2" t="str">
        <f>IF(Names!$B88="M","his",IF(Names!$B88="F","her","their"))</f>
        <v>his</v>
      </c>
    </row>
    <row r="89" ht="14.25" customHeight="1">
      <c r="A89" s="2">
        <v>88.0</v>
      </c>
      <c r="B89" s="2" t="s">
        <v>26</v>
      </c>
      <c r="C89" s="2" t="str">
        <f t="shared" si="1"/>
        <v>Connor Békélia</v>
      </c>
      <c r="D89" s="2" t="s">
        <v>230</v>
      </c>
      <c r="E89" s="2" t="s">
        <v>231</v>
      </c>
      <c r="F89" s="2" t="str">
        <f>IF(Names!$B89="M","Mr.",IF(Names!$B89="F","Ms.","Mx."))</f>
        <v>Mr.</v>
      </c>
      <c r="G89" s="2" t="str">
        <f>IF(Names!$B89="M","he",IF(Names!$B89="F","she","they"))</f>
        <v>he</v>
      </c>
      <c r="H89" s="2" t="str">
        <f>IF(Names!$B89="M","him",IF(Names!$B89="F","her","them"))</f>
        <v>him</v>
      </c>
      <c r="I89" s="2" t="str">
        <f>IF(Names!$B89="M","his",IF(Names!$B89="F","her","their"))</f>
        <v>his</v>
      </c>
    </row>
    <row r="90" ht="14.25" customHeight="1">
      <c r="A90" s="2">
        <v>89.0</v>
      </c>
      <c r="B90" s="2" t="s">
        <v>26</v>
      </c>
      <c r="C90" s="2" t="str">
        <f t="shared" si="1"/>
        <v>Chydi Onyekachukwu</v>
      </c>
      <c r="D90" s="2" t="s">
        <v>232</v>
      </c>
      <c r="E90" s="2" t="s">
        <v>233</v>
      </c>
      <c r="F90" s="2" t="str">
        <f>IF(Names!$B90="M","Mr.",IF(Names!$B90="F","Ms.","Mx."))</f>
        <v>Mr.</v>
      </c>
      <c r="G90" s="2" t="str">
        <f>IF(Names!$B90="M","he",IF(Names!$B90="F","she","they"))</f>
        <v>he</v>
      </c>
      <c r="H90" s="2" t="str">
        <f>IF(Names!$B90="M","him",IF(Names!$B90="F","her","them"))</f>
        <v>him</v>
      </c>
      <c r="I90" s="2" t="str">
        <f>IF(Names!$B90="M","his",IF(Names!$B90="F","her","their"))</f>
        <v>his</v>
      </c>
    </row>
    <row r="91" ht="14.25" customHeight="1">
      <c r="A91" s="2">
        <v>90.0</v>
      </c>
      <c r="B91" s="2" t="s">
        <v>26</v>
      </c>
      <c r="C91" s="2" t="str">
        <f t="shared" si="1"/>
        <v>Akuchi Nkechi</v>
      </c>
      <c r="D91" s="2" t="s">
        <v>234</v>
      </c>
      <c r="E91" s="2" t="s">
        <v>235</v>
      </c>
      <c r="F91" s="2" t="str">
        <f>IF(Names!$B91="M","Mr.",IF(Names!$B91="F","Ms.","Mx."))</f>
        <v>Mr.</v>
      </c>
      <c r="G91" s="2" t="str">
        <f>IF(Names!$B91="M","he",IF(Names!$B91="F","she","they"))</f>
        <v>he</v>
      </c>
      <c r="H91" s="2" t="str">
        <f>IF(Names!$B91="M","him",IF(Names!$B91="F","her","them"))</f>
        <v>him</v>
      </c>
      <c r="I91" s="2" t="str">
        <f>IF(Names!$B91="M","his",IF(Names!$B91="F","her","their"))</f>
        <v>his</v>
      </c>
    </row>
    <row r="92" ht="14.25" customHeight="1">
      <c r="A92" s="2">
        <v>91.0</v>
      </c>
      <c r="B92" s="2" t="s">
        <v>26</v>
      </c>
      <c r="C92" s="2" t="str">
        <f t="shared" si="1"/>
        <v>Uchea Ebele</v>
      </c>
      <c r="D92" s="2" t="s">
        <v>236</v>
      </c>
      <c r="E92" s="2" t="s">
        <v>237</v>
      </c>
      <c r="F92" s="2" t="str">
        <f>IF(Names!$B92="M","Mr.",IF(Names!$B92="F","Ms.","Mx."))</f>
        <v>Mr.</v>
      </c>
      <c r="G92" s="2" t="str">
        <f>IF(Names!$B92="M","he",IF(Names!$B92="F","she","they"))</f>
        <v>he</v>
      </c>
      <c r="H92" s="2" t="str">
        <f>IF(Names!$B92="M","him",IF(Names!$B92="F","her","them"))</f>
        <v>him</v>
      </c>
      <c r="I92" s="2" t="str">
        <f>IF(Names!$B92="M","his",IF(Names!$B92="F","her","their"))</f>
        <v>his</v>
      </c>
    </row>
    <row r="93" ht="14.25" customHeight="1">
      <c r="A93" s="2">
        <v>92.0</v>
      </c>
      <c r="B93" s="2" t="s">
        <v>26</v>
      </c>
      <c r="C93" s="2" t="str">
        <f t="shared" si="1"/>
        <v>Odion Chidey</v>
      </c>
      <c r="D93" s="2" t="s">
        <v>238</v>
      </c>
      <c r="E93" s="2" t="s">
        <v>239</v>
      </c>
      <c r="F93" s="2" t="str">
        <f>IF(Names!$B93="M","Mr.",IF(Names!$B93="F","Ms.","Mx."))</f>
        <v>Mr.</v>
      </c>
      <c r="G93" s="2" t="str">
        <f>IF(Names!$B93="M","he",IF(Names!$B93="F","she","they"))</f>
        <v>he</v>
      </c>
      <c r="H93" s="2" t="str">
        <f>IF(Names!$B93="M","him",IF(Names!$B93="F","her","them"))</f>
        <v>him</v>
      </c>
      <c r="I93" s="2" t="str">
        <f>IF(Names!$B93="M","his",IF(Names!$B93="F","her","their"))</f>
        <v>his</v>
      </c>
    </row>
    <row r="94" ht="14.25" customHeight="1">
      <c r="A94" s="2">
        <v>93.0</v>
      </c>
      <c r="B94" s="2" t="s">
        <v>26</v>
      </c>
      <c r="C94" s="2" t="str">
        <f t="shared" si="1"/>
        <v>Chika Chino</v>
      </c>
      <c r="D94" s="2" t="s">
        <v>240</v>
      </c>
      <c r="E94" s="2" t="s">
        <v>241</v>
      </c>
      <c r="F94" s="2" t="str">
        <f>IF(Names!$B94="M","Mr.",IF(Names!$B94="F","Ms.","Mx."))</f>
        <v>Mr.</v>
      </c>
      <c r="G94" s="2" t="str">
        <f>IF(Names!$B94="M","he",IF(Names!$B94="F","she","they"))</f>
        <v>he</v>
      </c>
      <c r="H94" s="2" t="str">
        <f>IF(Names!$B94="M","him",IF(Names!$B94="F","her","them"))</f>
        <v>him</v>
      </c>
      <c r="I94" s="2" t="str">
        <f>IF(Names!$B94="M","his",IF(Names!$B94="F","her","their"))</f>
        <v>his</v>
      </c>
    </row>
    <row r="95" ht="14.25" customHeight="1">
      <c r="A95" s="2">
        <v>94.0</v>
      </c>
      <c r="B95" s="2" t="s">
        <v>26</v>
      </c>
      <c r="C95" s="2" t="str">
        <f t="shared" si="1"/>
        <v>Jelaney Chidike</v>
      </c>
      <c r="D95" s="2" t="s">
        <v>242</v>
      </c>
      <c r="E95" s="2" t="s">
        <v>243</v>
      </c>
      <c r="F95" s="2" t="str">
        <f>IF(Names!$B95="M","Mr.",IF(Names!$B95="F","Ms.","Mx."))</f>
        <v>Mr.</v>
      </c>
      <c r="G95" s="2" t="str">
        <f>IF(Names!$B95="M","he",IF(Names!$B95="F","she","they"))</f>
        <v>he</v>
      </c>
      <c r="H95" s="2" t="str">
        <f>IF(Names!$B95="M","him",IF(Names!$B95="F","her","them"))</f>
        <v>him</v>
      </c>
      <c r="I95" s="2" t="str">
        <f>IF(Names!$B95="M","his",IF(Names!$B95="F","her","their"))</f>
        <v>his</v>
      </c>
    </row>
    <row r="96" ht="14.25" customHeight="1">
      <c r="A96" s="2">
        <v>95.0</v>
      </c>
      <c r="B96" s="2" t="s">
        <v>26</v>
      </c>
      <c r="C96" s="2" t="str">
        <f t="shared" si="1"/>
        <v>Onuchukwu Yobachukwu</v>
      </c>
      <c r="D96" s="2" t="s">
        <v>244</v>
      </c>
      <c r="E96" s="2" t="s">
        <v>245</v>
      </c>
      <c r="F96" s="2" t="str">
        <f>IF(Names!$B96="M","Mr.",IF(Names!$B96="F","Ms.","Mx."))</f>
        <v>Mr.</v>
      </c>
      <c r="G96" s="2" t="str">
        <f>IF(Names!$B96="M","he",IF(Names!$B96="F","she","they"))</f>
        <v>he</v>
      </c>
      <c r="H96" s="2" t="str">
        <f>IF(Names!$B96="M","him",IF(Names!$B96="F","her","them"))</f>
        <v>him</v>
      </c>
      <c r="I96" s="2" t="str">
        <f>IF(Names!$B96="M","his",IF(Names!$B96="F","her","their"))</f>
        <v>his</v>
      </c>
    </row>
    <row r="97" ht="14.25" customHeight="1">
      <c r="A97" s="2">
        <v>96.0</v>
      </c>
      <c r="B97" s="2" t="s">
        <v>26</v>
      </c>
      <c r="C97" s="2" t="str">
        <f t="shared" si="1"/>
        <v>Chimaijem Ekene</v>
      </c>
      <c r="D97" s="2" t="s">
        <v>246</v>
      </c>
      <c r="E97" s="2" t="s">
        <v>247</v>
      </c>
      <c r="F97" s="2" t="str">
        <f>IF(Names!$B97="M","Mr.",IF(Names!$B97="F","Ms.","Mx."))</f>
        <v>Mr.</v>
      </c>
      <c r="G97" s="2" t="str">
        <f>IF(Names!$B97="M","he",IF(Names!$B97="F","she","they"))</f>
        <v>he</v>
      </c>
      <c r="H97" s="2" t="str">
        <f>IF(Names!$B97="M","him",IF(Names!$B97="F","her","them"))</f>
        <v>him</v>
      </c>
      <c r="I97" s="2" t="str">
        <f>IF(Names!$B97="M","his",IF(Names!$B97="F","her","their"))</f>
        <v>his</v>
      </c>
    </row>
    <row r="98" ht="14.25" customHeight="1">
      <c r="A98" s="2">
        <v>97.0</v>
      </c>
      <c r="B98" s="2" t="s">
        <v>26</v>
      </c>
      <c r="C98" s="2" t="str">
        <f t="shared" si="1"/>
        <v>Chydee Chidy</v>
      </c>
      <c r="D98" s="2" t="s">
        <v>248</v>
      </c>
      <c r="E98" s="2" t="s">
        <v>249</v>
      </c>
      <c r="F98" s="2" t="str">
        <f>IF(Names!$B98="M","Mr.",IF(Names!$B98="F","Ms.","Mx."))</f>
        <v>Mr.</v>
      </c>
      <c r="G98" s="2" t="str">
        <f>IF(Names!$B98="M","he",IF(Names!$B98="F","she","they"))</f>
        <v>he</v>
      </c>
      <c r="H98" s="2" t="str">
        <f>IF(Names!$B98="M","him",IF(Names!$B98="F","her","them"))</f>
        <v>him</v>
      </c>
      <c r="I98" s="2" t="str">
        <f>IF(Names!$B98="M","his",IF(Names!$B98="F","her","their"))</f>
        <v>his</v>
      </c>
    </row>
    <row r="99" ht="14.25" customHeight="1">
      <c r="A99" s="2">
        <v>98.0</v>
      </c>
      <c r="B99" s="2" t="s">
        <v>26</v>
      </c>
      <c r="C99" s="2" t="str">
        <f t="shared" si="1"/>
        <v>Jelanea Agu</v>
      </c>
      <c r="D99" s="2" t="s">
        <v>250</v>
      </c>
      <c r="E99" s="2" t="s">
        <v>251</v>
      </c>
      <c r="F99" s="2" t="str">
        <f>IF(Names!$B99="M","Mr.",IF(Names!$B99="F","Ms.","Mx."))</f>
        <v>Mr.</v>
      </c>
      <c r="G99" s="2" t="str">
        <f>IF(Names!$B99="M","he",IF(Names!$B99="F","she","they"))</f>
        <v>he</v>
      </c>
      <c r="H99" s="2" t="str">
        <f>IF(Names!$B99="M","him",IF(Names!$B99="F","her","them"))</f>
        <v>him</v>
      </c>
      <c r="I99" s="2" t="str">
        <f>IF(Names!$B99="M","his",IF(Names!$B99="F","her","their"))</f>
        <v>his</v>
      </c>
    </row>
    <row r="100" ht="14.25" customHeight="1">
      <c r="A100" s="2">
        <v>99.0</v>
      </c>
      <c r="B100" s="2" t="s">
        <v>26</v>
      </c>
      <c r="C100" s="2" t="str">
        <f t="shared" si="1"/>
        <v>Zhou Xuefeng</v>
      </c>
      <c r="D100" s="2" t="s">
        <v>252</v>
      </c>
      <c r="E100" s="2" t="s">
        <v>253</v>
      </c>
      <c r="F100" s="2" t="str">
        <f>IF(Names!$B100="M","Mr.",IF(Names!$B100="F","Ms.","Mx."))</f>
        <v>Mr.</v>
      </c>
      <c r="G100" s="2" t="str">
        <f>IF(Names!$B100="M","he",IF(Names!$B100="F","she","they"))</f>
        <v>he</v>
      </c>
      <c r="H100" s="2" t="str">
        <f>IF(Names!$B100="M","him",IF(Names!$B100="F","her","them"))</f>
        <v>him</v>
      </c>
      <c r="I100" s="2" t="str">
        <f>IF(Names!$B100="M","his",IF(Names!$B100="F","her","their"))</f>
        <v>his</v>
      </c>
    </row>
    <row r="101" ht="14.25" customHeight="1">
      <c r="A101" s="2">
        <v>100.0</v>
      </c>
      <c r="B101" s="2" t="s">
        <v>26</v>
      </c>
      <c r="C101" s="2" t="str">
        <f t="shared" si="1"/>
        <v>Zeng Yimu</v>
      </c>
      <c r="D101" s="2" t="s">
        <v>254</v>
      </c>
      <c r="E101" s="2" t="s">
        <v>255</v>
      </c>
      <c r="F101" s="2" t="str">
        <f>IF(Names!$B101="M","Mr.",IF(Names!$B101="F","Ms.","Mx."))</f>
        <v>Mr.</v>
      </c>
      <c r="G101" s="2" t="str">
        <f>IF(Names!$B101="M","he",IF(Names!$B101="F","she","they"))</f>
        <v>he</v>
      </c>
      <c r="H101" s="2" t="str">
        <f>IF(Names!$B101="M","him",IF(Names!$B101="F","her","them"))</f>
        <v>him</v>
      </c>
      <c r="I101" s="2" t="str">
        <f>IF(Names!$B101="M","his",IF(Names!$B101="F","her","their"))</f>
        <v>his</v>
      </c>
    </row>
    <row r="102" ht="14.25" customHeight="1">
      <c r="A102" s="2">
        <v>101.0</v>
      </c>
      <c r="B102" s="2" t="s">
        <v>26</v>
      </c>
      <c r="C102" s="2" t="str">
        <f t="shared" si="1"/>
        <v>He Jie</v>
      </c>
      <c r="D102" s="2" t="s">
        <v>256</v>
      </c>
      <c r="E102" s="2" t="s">
        <v>257</v>
      </c>
      <c r="F102" s="2" t="str">
        <f>IF(Names!$B102="M","Mr.",IF(Names!$B102="F","Ms.","Mx."))</f>
        <v>Mr.</v>
      </c>
      <c r="G102" s="2" t="str">
        <f>IF(Names!$B102="M","he",IF(Names!$B102="F","she","they"))</f>
        <v>he</v>
      </c>
      <c r="H102" s="2" t="str">
        <f>IF(Names!$B102="M","him",IF(Names!$B102="F","her","them"))</f>
        <v>him</v>
      </c>
      <c r="I102" s="2" t="str">
        <f>IF(Names!$B102="M","his",IF(Names!$B102="F","her","their"))</f>
        <v>his</v>
      </c>
    </row>
    <row r="103" ht="14.25" customHeight="1">
      <c r="A103" s="2">
        <v>102.0</v>
      </c>
      <c r="B103" s="2" t="s">
        <v>26</v>
      </c>
      <c r="C103" s="2" t="str">
        <f t="shared" si="1"/>
        <v>Qiao Yin</v>
      </c>
      <c r="D103" s="2" t="s">
        <v>258</v>
      </c>
      <c r="E103" s="2" t="s">
        <v>259</v>
      </c>
      <c r="F103" s="2" t="str">
        <f>IF(Names!$B103="M","Mr.",IF(Names!$B103="F","Ms.","Mx."))</f>
        <v>Mr.</v>
      </c>
      <c r="G103" s="2" t="str">
        <f>IF(Names!$B103="M","he",IF(Names!$B103="F","she","they"))</f>
        <v>he</v>
      </c>
      <c r="H103" s="2" t="str">
        <f>IF(Names!$B103="M","him",IF(Names!$B103="F","her","them"))</f>
        <v>him</v>
      </c>
      <c r="I103" s="2" t="str">
        <f>IF(Names!$B103="M","his",IF(Names!$B103="F","her","their"))</f>
        <v>his</v>
      </c>
    </row>
    <row r="104" ht="14.25" customHeight="1">
      <c r="A104" s="2">
        <v>103.0</v>
      </c>
      <c r="B104" s="2" t="s">
        <v>26</v>
      </c>
      <c r="C104" s="2" t="str">
        <f t="shared" si="1"/>
        <v>Yin Lin</v>
      </c>
      <c r="D104" s="2" t="s">
        <v>259</v>
      </c>
      <c r="E104" s="2" t="s">
        <v>260</v>
      </c>
      <c r="F104" s="2" t="str">
        <f>IF(Names!$B104="M","Mr.",IF(Names!$B104="F","Ms.","Mx."))</f>
        <v>Mr.</v>
      </c>
      <c r="G104" s="2" t="str">
        <f>IF(Names!$B104="M","he",IF(Names!$B104="F","she","they"))</f>
        <v>he</v>
      </c>
      <c r="H104" s="2" t="str">
        <f>IF(Names!$B104="M","him",IF(Names!$B104="F","her","them"))</f>
        <v>him</v>
      </c>
      <c r="I104" s="2" t="str">
        <f>IF(Names!$B104="M","his",IF(Names!$B104="F","her","their"))</f>
        <v>his</v>
      </c>
    </row>
    <row r="105" ht="14.25" customHeight="1">
      <c r="A105" s="2">
        <v>104.0</v>
      </c>
      <c r="B105" s="2" t="s">
        <v>26</v>
      </c>
      <c r="C105" s="2" t="str">
        <f t="shared" si="1"/>
        <v>Xun Peng</v>
      </c>
      <c r="D105" s="2" t="s">
        <v>261</v>
      </c>
      <c r="E105" s="2" t="s">
        <v>262</v>
      </c>
      <c r="F105" s="2" t="str">
        <f>IF(Names!$B105="M","Mr.",IF(Names!$B105="F","Ms.","Mx."))</f>
        <v>Mr.</v>
      </c>
      <c r="G105" s="2" t="str">
        <f>IF(Names!$B105="M","he",IF(Names!$B105="F","she","they"))</f>
        <v>he</v>
      </c>
      <c r="H105" s="2" t="str">
        <f>IF(Names!$B105="M","him",IF(Names!$B105="F","her","them"))</f>
        <v>him</v>
      </c>
      <c r="I105" s="2" t="str">
        <f>IF(Names!$B105="M","his",IF(Names!$B105="F","her","their"))</f>
        <v>his</v>
      </c>
    </row>
    <row r="106" ht="14.25" customHeight="1">
      <c r="A106" s="2">
        <v>105.0</v>
      </c>
      <c r="B106" s="2" t="s">
        <v>26</v>
      </c>
      <c r="C106" s="2" t="str">
        <f t="shared" si="1"/>
        <v>Tian Wuhan</v>
      </c>
      <c r="D106" s="2" t="s">
        <v>263</v>
      </c>
      <c r="E106" s="2" t="s">
        <v>264</v>
      </c>
      <c r="F106" s="2" t="str">
        <f>IF(Names!$B106="M","Mr.",IF(Names!$B106="F","Ms.","Mx."))</f>
        <v>Mr.</v>
      </c>
      <c r="G106" s="2" t="str">
        <f>IF(Names!$B106="M","he",IF(Names!$B106="F","she","they"))</f>
        <v>he</v>
      </c>
      <c r="H106" s="2" t="str">
        <f>IF(Names!$B106="M","him",IF(Names!$B106="F","her","them"))</f>
        <v>him</v>
      </c>
      <c r="I106" s="2" t="str">
        <f>IF(Names!$B106="M","his",IF(Names!$B106="F","her","their"))</f>
        <v>his</v>
      </c>
    </row>
    <row r="107" ht="14.25" customHeight="1">
      <c r="A107" s="2">
        <v>106.0</v>
      </c>
      <c r="B107" s="2" t="s">
        <v>26</v>
      </c>
      <c r="C107" s="2" t="str">
        <f t="shared" si="1"/>
        <v>Xu Xiang</v>
      </c>
      <c r="D107" s="2" t="s">
        <v>265</v>
      </c>
      <c r="E107" s="2" t="s">
        <v>266</v>
      </c>
      <c r="F107" s="2" t="str">
        <f>IF(Names!$B107="M","Mr.",IF(Names!$B107="F","Ms.","Mx."))</f>
        <v>Mr.</v>
      </c>
      <c r="G107" s="2" t="str">
        <f>IF(Names!$B107="M","he",IF(Names!$B107="F","she","they"))</f>
        <v>he</v>
      </c>
      <c r="H107" s="2" t="str">
        <f>IF(Names!$B107="M","him",IF(Names!$B107="F","her","them"))</f>
        <v>him</v>
      </c>
      <c r="I107" s="2" t="str">
        <f>IF(Names!$B107="M","his",IF(Names!$B107="F","her","their"))</f>
        <v>his</v>
      </c>
    </row>
    <row r="108" ht="14.25" customHeight="1">
      <c r="A108" s="2">
        <v>107.0</v>
      </c>
      <c r="B108" s="2" t="s">
        <v>26</v>
      </c>
      <c r="C108" s="2" t="str">
        <f t="shared" si="1"/>
        <v>Yan Shuren</v>
      </c>
      <c r="D108" s="2" t="s">
        <v>267</v>
      </c>
      <c r="E108" s="2" t="s">
        <v>268</v>
      </c>
      <c r="F108" s="2" t="str">
        <f>IF(Names!$B108="M","Mr.",IF(Names!$B108="F","Ms.","Mx."))</f>
        <v>Mr.</v>
      </c>
      <c r="G108" s="2" t="str">
        <f>IF(Names!$B108="M","he",IF(Names!$B108="F","she","they"))</f>
        <v>he</v>
      </c>
      <c r="H108" s="2" t="str">
        <f>IF(Names!$B108="M","him",IF(Names!$B108="F","her","them"))</f>
        <v>him</v>
      </c>
      <c r="I108" s="2" t="str">
        <f>IF(Names!$B108="M","his",IF(Names!$B108="F","her","their"))</f>
        <v>his</v>
      </c>
    </row>
    <row r="109" ht="14.25" customHeight="1">
      <c r="A109" s="2">
        <v>108.0</v>
      </c>
      <c r="B109" s="2" t="s">
        <v>26</v>
      </c>
      <c r="C109" s="2" t="str">
        <f t="shared" si="1"/>
        <v>Geng ZhenKang</v>
      </c>
      <c r="D109" s="2" t="s">
        <v>269</v>
      </c>
      <c r="E109" s="2" t="s">
        <v>270</v>
      </c>
      <c r="F109" s="2" t="str">
        <f>IF(Names!$B109="M","Mr.",IF(Names!$B109="F","Ms.","Mx."))</f>
        <v>Mr.</v>
      </c>
      <c r="G109" s="2" t="str">
        <f>IF(Names!$B109="M","he",IF(Names!$B109="F","she","they"))</f>
        <v>he</v>
      </c>
      <c r="H109" s="2" t="str">
        <f>IF(Names!$B109="M","him",IF(Names!$B109="F","her","them"))</f>
        <v>him</v>
      </c>
      <c r="I109" s="2" t="str">
        <f>IF(Names!$B109="M","his",IF(Names!$B109="F","her","their"))</f>
        <v>his</v>
      </c>
    </row>
    <row r="110" ht="14.25" customHeight="1">
      <c r="A110" s="2">
        <v>109.0</v>
      </c>
      <c r="B110" s="2" t="s">
        <v>26</v>
      </c>
      <c r="C110" s="2" t="str">
        <f t="shared" si="1"/>
        <v>LucJosias Villaromán</v>
      </c>
      <c r="D110" s="2" t="s">
        <v>271</v>
      </c>
      <c r="E110" s="2" t="s">
        <v>272</v>
      </c>
      <c r="F110" s="2" t="str">
        <f>IF(Names!$B110="M","Mr.",IF(Names!$B110="F","Ms.","Mx."))</f>
        <v>Mr.</v>
      </c>
      <c r="G110" s="2" t="str">
        <f>IF(Names!$B110="M","he",IF(Names!$B110="F","she","they"))</f>
        <v>he</v>
      </c>
      <c r="H110" s="2" t="str">
        <f>IF(Names!$B110="M","him",IF(Names!$B110="F","her","them"))</f>
        <v>him</v>
      </c>
      <c r="I110" s="2" t="str">
        <f>IF(Names!$B110="M","his",IF(Names!$B110="F","her","their"))</f>
        <v>his</v>
      </c>
    </row>
    <row r="111" ht="14.25" customHeight="1">
      <c r="A111" s="2">
        <v>110.0</v>
      </c>
      <c r="B111" s="2" t="s">
        <v>26</v>
      </c>
      <c r="C111" s="2" t="str">
        <f t="shared" si="1"/>
        <v>Hermosa Natividad</v>
      </c>
      <c r="D111" s="2" t="s">
        <v>273</v>
      </c>
      <c r="E111" s="2" t="s">
        <v>274</v>
      </c>
      <c r="F111" s="2" t="str">
        <f>IF(Names!$B111="M","Mr.",IF(Names!$B111="F","Ms.","Mx."))</f>
        <v>Mr.</v>
      </c>
      <c r="G111" s="2" t="str">
        <f>IF(Names!$B111="M","he",IF(Names!$B111="F","she","they"))</f>
        <v>he</v>
      </c>
      <c r="H111" s="2" t="str">
        <f>IF(Names!$B111="M","him",IF(Names!$B111="F","her","them"))</f>
        <v>him</v>
      </c>
      <c r="I111" s="2" t="str">
        <f>IF(Names!$B111="M","his",IF(Names!$B111="F","her","their"))</f>
        <v>his</v>
      </c>
    </row>
    <row r="112" ht="14.25" customHeight="1">
      <c r="A112" s="2">
        <v>111.0</v>
      </c>
      <c r="B112" s="2" t="s">
        <v>26</v>
      </c>
      <c r="C112" s="2" t="str">
        <f t="shared" si="1"/>
        <v>Emmanuel Macalintal</v>
      </c>
      <c r="D112" s="2" t="s">
        <v>275</v>
      </c>
      <c r="E112" s="2" t="s">
        <v>276</v>
      </c>
      <c r="F112" s="2" t="str">
        <f>IF(Names!$B112="M","Mr.",IF(Names!$B112="F","Ms.","Mx."))</f>
        <v>Mr.</v>
      </c>
      <c r="G112" s="2" t="str">
        <f>IF(Names!$B112="M","he",IF(Names!$B112="F","she","they"))</f>
        <v>he</v>
      </c>
      <c r="H112" s="2" t="str">
        <f>IF(Names!$B112="M","him",IF(Names!$B112="F","her","them"))</f>
        <v>him</v>
      </c>
      <c r="I112" s="2" t="str">
        <f>IF(Names!$B112="M","his",IF(Names!$B112="F","her","their"))</f>
        <v>his</v>
      </c>
    </row>
    <row r="113" ht="14.25" customHeight="1">
      <c r="A113" s="2">
        <v>112.0</v>
      </c>
      <c r="B113" s="2" t="s">
        <v>26</v>
      </c>
      <c r="C113" s="2" t="str">
        <f t="shared" si="1"/>
        <v>Brycen Abulog</v>
      </c>
      <c r="D113" s="2" t="s">
        <v>166</v>
      </c>
      <c r="E113" s="2" t="s">
        <v>277</v>
      </c>
      <c r="F113" s="2" t="str">
        <f>IF(Names!$B113="M","Mr.",IF(Names!$B113="F","Ms.","Mx."))</f>
        <v>Mr.</v>
      </c>
      <c r="G113" s="2" t="str">
        <f>IF(Names!$B113="M","he",IF(Names!$B113="F","she","they"))</f>
        <v>he</v>
      </c>
      <c r="H113" s="2" t="str">
        <f>IF(Names!$B113="M","him",IF(Names!$B113="F","her","them"))</f>
        <v>him</v>
      </c>
      <c r="I113" s="2" t="str">
        <f>IF(Names!$B113="M","his",IF(Names!$B113="F","her","their"))</f>
        <v>his</v>
      </c>
    </row>
    <row r="114" ht="14.25" customHeight="1">
      <c r="A114" s="2">
        <v>113.0</v>
      </c>
      <c r="B114" s="2" t="s">
        <v>26</v>
      </c>
      <c r="C114" s="2" t="str">
        <f t="shared" si="1"/>
        <v>Eliseo Alba</v>
      </c>
      <c r="D114" s="2" t="s">
        <v>278</v>
      </c>
      <c r="E114" s="2" t="s">
        <v>279</v>
      </c>
      <c r="F114" s="2" t="str">
        <f>IF(Names!$B114="M","Mr.",IF(Names!$B114="F","Ms.","Mx."))</f>
        <v>Mr.</v>
      </c>
      <c r="G114" s="2" t="str">
        <f>IF(Names!$B114="M","he",IF(Names!$B114="F","she","they"))</f>
        <v>he</v>
      </c>
      <c r="H114" s="2" t="str">
        <f>IF(Names!$B114="M","him",IF(Names!$B114="F","her","them"))</f>
        <v>him</v>
      </c>
      <c r="I114" s="2" t="str">
        <f>IF(Names!$B114="M","his",IF(Names!$B114="F","her","their"))</f>
        <v>his</v>
      </c>
    </row>
    <row r="115" ht="14.25" customHeight="1">
      <c r="A115" s="2">
        <v>114.0</v>
      </c>
      <c r="B115" s="2" t="s">
        <v>26</v>
      </c>
      <c r="C115" s="2" t="str">
        <f t="shared" si="1"/>
        <v>Lorenzo Agustín</v>
      </c>
      <c r="D115" s="2" t="s">
        <v>280</v>
      </c>
      <c r="E115" s="2" t="s">
        <v>281</v>
      </c>
      <c r="F115" s="2" t="str">
        <f>IF(Names!$B115="M","Mr.",IF(Names!$B115="F","Ms.","Mx."))</f>
        <v>Mr.</v>
      </c>
      <c r="G115" s="2" t="str">
        <f>IF(Names!$B115="M","he",IF(Names!$B115="F","she","they"))</f>
        <v>he</v>
      </c>
      <c r="H115" s="2" t="str">
        <f>IF(Names!$B115="M","him",IF(Names!$B115="F","her","them"))</f>
        <v>him</v>
      </c>
      <c r="I115" s="2" t="str">
        <f>IF(Names!$B115="M","his",IF(Names!$B115="F","her","their"))</f>
        <v>his</v>
      </c>
    </row>
    <row r="116" ht="14.25" customHeight="1">
      <c r="A116" s="2">
        <v>115.0</v>
      </c>
      <c r="B116" s="2" t="s">
        <v>26</v>
      </c>
      <c r="C116" s="2" t="str">
        <f t="shared" si="1"/>
        <v>Triston Sarmiento</v>
      </c>
      <c r="D116" s="2" t="s">
        <v>282</v>
      </c>
      <c r="E116" s="2" t="s">
        <v>283</v>
      </c>
      <c r="F116" s="2" t="str">
        <f>IF(Names!$B116="M","Mr.",IF(Names!$B116="F","Ms.","Mx."))</f>
        <v>Mr.</v>
      </c>
      <c r="G116" s="2" t="str">
        <f>IF(Names!$B116="M","he",IF(Names!$B116="F","she","they"))</f>
        <v>he</v>
      </c>
      <c r="H116" s="2" t="str">
        <f>IF(Names!$B116="M","him",IF(Names!$B116="F","her","them"))</f>
        <v>him</v>
      </c>
      <c r="I116" s="2" t="str">
        <f>IF(Names!$B116="M","his",IF(Names!$B116="F","her","their"))</f>
        <v>his</v>
      </c>
    </row>
    <row r="117" ht="14.25" customHeight="1">
      <c r="A117" s="2">
        <v>116.0</v>
      </c>
      <c r="B117" s="2" t="s">
        <v>26</v>
      </c>
      <c r="C117" s="2" t="str">
        <f t="shared" si="1"/>
        <v>Ezequiel Inárez</v>
      </c>
      <c r="D117" s="2" t="s">
        <v>284</v>
      </c>
      <c r="E117" s="2" t="s">
        <v>285</v>
      </c>
      <c r="F117" s="2" t="str">
        <f>IF(Names!$B117="M","Mr.",IF(Names!$B117="F","Ms.","Mx."))</f>
        <v>Mr.</v>
      </c>
      <c r="G117" s="2" t="str">
        <f>IF(Names!$B117="M","he",IF(Names!$B117="F","she","they"))</f>
        <v>he</v>
      </c>
      <c r="H117" s="2" t="str">
        <f>IF(Names!$B117="M","him",IF(Names!$B117="F","her","them"))</f>
        <v>him</v>
      </c>
      <c r="I117" s="2" t="str">
        <f>IF(Names!$B117="M","his",IF(Names!$B117="F","her","their"))</f>
        <v>his</v>
      </c>
    </row>
    <row r="118" ht="14.25" customHeight="1">
      <c r="A118" s="2">
        <v>117.0</v>
      </c>
      <c r="B118" s="2" t="s">
        <v>26</v>
      </c>
      <c r="C118" s="2" t="str">
        <f t="shared" si="1"/>
        <v>Iliana Abella</v>
      </c>
      <c r="D118" s="2" t="s">
        <v>286</v>
      </c>
      <c r="E118" s="2" t="s">
        <v>287</v>
      </c>
      <c r="F118" s="2" t="str">
        <f>IF(Names!$B118="M","Mr.",IF(Names!$B118="F","Ms.","Mx."))</f>
        <v>Mr.</v>
      </c>
      <c r="G118" s="2" t="str">
        <f>IF(Names!$B118="M","he",IF(Names!$B118="F","she","they"))</f>
        <v>he</v>
      </c>
      <c r="H118" s="2" t="str">
        <f>IF(Names!$B118="M","him",IF(Names!$B118="F","her","them"))</f>
        <v>him</v>
      </c>
      <c r="I118" s="2" t="str">
        <f>IF(Names!$B118="M","his",IF(Names!$B118="F","her","their"))</f>
        <v>his</v>
      </c>
    </row>
    <row r="119" ht="14.25" customHeight="1">
      <c r="A119" s="2">
        <v>118.0</v>
      </c>
      <c r="B119" s="2" t="s">
        <v>26</v>
      </c>
      <c r="C119" s="2" t="str">
        <f t="shared" si="1"/>
        <v>Kenneth Cachuela</v>
      </c>
      <c r="D119" s="2" t="s">
        <v>288</v>
      </c>
      <c r="E119" s="2" t="s">
        <v>289</v>
      </c>
      <c r="F119" s="2" t="str">
        <f>IF(Names!$B119="M","Mr.",IF(Names!$B119="F","Ms.","Mx."))</f>
        <v>Mr.</v>
      </c>
      <c r="G119" s="2" t="str">
        <f>IF(Names!$B119="M","he",IF(Names!$B119="F","she","they"))</f>
        <v>he</v>
      </c>
      <c r="H119" s="2" t="str">
        <f>IF(Names!$B119="M","him",IF(Names!$B119="F","her","them"))</f>
        <v>him</v>
      </c>
      <c r="I119" s="2" t="str">
        <f>IF(Names!$B119="M","his",IF(Names!$B119="F","her","their"))</f>
        <v>his</v>
      </c>
    </row>
    <row r="120" ht="14.25" customHeight="1">
      <c r="A120" s="2">
        <v>119.0</v>
      </c>
      <c r="B120" s="2" t="s">
        <v>26</v>
      </c>
      <c r="C120" s="2" t="str">
        <f t="shared" si="1"/>
        <v>Babaljeet Bhandal</v>
      </c>
      <c r="D120" s="2" t="s">
        <v>290</v>
      </c>
      <c r="E120" s="2" t="s">
        <v>291</v>
      </c>
      <c r="F120" s="2" t="str">
        <f>IF(Names!$B120="M","Mr.",IF(Names!$B120="F","Ms.","Mx."))</f>
        <v>Mr.</v>
      </c>
      <c r="G120" s="2" t="str">
        <f>IF(Names!$B120="M","he",IF(Names!$B120="F","she","they"))</f>
        <v>he</v>
      </c>
      <c r="H120" s="2" t="str">
        <f>IF(Names!$B120="M","him",IF(Names!$B120="F","her","them"))</f>
        <v>him</v>
      </c>
      <c r="I120" s="2" t="str">
        <f>IF(Names!$B120="M","his",IF(Names!$B120="F","her","their"))</f>
        <v>his</v>
      </c>
    </row>
    <row r="121" ht="14.25" customHeight="1">
      <c r="A121" s="2">
        <v>120.0</v>
      </c>
      <c r="B121" s="2" t="s">
        <v>26</v>
      </c>
      <c r="C121" s="2" t="str">
        <f t="shared" si="1"/>
        <v>Samsher Gora</v>
      </c>
      <c r="D121" s="2" t="s">
        <v>292</v>
      </c>
      <c r="E121" s="2" t="s">
        <v>293</v>
      </c>
      <c r="F121" s="2" t="str">
        <f>IF(Names!$B121="M","Mr.",IF(Names!$B121="F","Ms.","Mx."))</f>
        <v>Mr.</v>
      </c>
      <c r="G121" s="2" t="str">
        <f>IF(Names!$B121="M","he",IF(Names!$B121="F","she","they"))</f>
        <v>he</v>
      </c>
      <c r="H121" s="2" t="str">
        <f>IF(Names!$B121="M","him",IF(Names!$B121="F","her","them"))</f>
        <v>him</v>
      </c>
      <c r="I121" s="2" t="str">
        <f>IF(Names!$B121="M","his",IF(Names!$B121="F","her","their"))</f>
        <v>his</v>
      </c>
    </row>
    <row r="122" ht="14.25" customHeight="1">
      <c r="A122" s="2">
        <v>121.0</v>
      </c>
      <c r="B122" s="2" t="s">
        <v>26</v>
      </c>
      <c r="C122" s="2" t="str">
        <f t="shared" si="1"/>
        <v>Uttampad Gauria</v>
      </c>
      <c r="D122" s="2" t="s">
        <v>294</v>
      </c>
      <c r="E122" s="2" t="s">
        <v>295</v>
      </c>
      <c r="F122" s="2" t="str">
        <f>IF(Names!$B122="M","Mr.",IF(Names!$B122="F","Ms.","Mx."))</f>
        <v>Mr.</v>
      </c>
      <c r="G122" s="2" t="str">
        <f>IF(Names!$B122="M","he",IF(Names!$B122="F","she","they"))</f>
        <v>he</v>
      </c>
      <c r="H122" s="2" t="str">
        <f>IF(Names!$B122="M","him",IF(Names!$B122="F","her","them"))</f>
        <v>him</v>
      </c>
      <c r="I122" s="2" t="str">
        <f>IF(Names!$B122="M","his",IF(Names!$B122="F","her","their"))</f>
        <v>his</v>
      </c>
    </row>
    <row r="123" ht="14.25" customHeight="1">
      <c r="A123" s="2">
        <v>122.0</v>
      </c>
      <c r="B123" s="2" t="s">
        <v>26</v>
      </c>
      <c r="C123" s="2" t="str">
        <f t="shared" si="1"/>
        <v>Vijaypreet Shahalia</v>
      </c>
      <c r="D123" s="2" t="s">
        <v>296</v>
      </c>
      <c r="E123" s="2" t="s">
        <v>297</v>
      </c>
      <c r="F123" s="2" t="str">
        <f>IF(Names!$B123="M","Mr.",IF(Names!$B123="F","Ms.","Mx."))</f>
        <v>Mr.</v>
      </c>
      <c r="G123" s="2" t="str">
        <f>IF(Names!$B123="M","he",IF(Names!$B123="F","she","they"))</f>
        <v>he</v>
      </c>
      <c r="H123" s="2" t="str">
        <f>IF(Names!$B123="M","him",IF(Names!$B123="F","her","them"))</f>
        <v>him</v>
      </c>
      <c r="I123" s="2" t="str">
        <f>IF(Names!$B123="M","his",IF(Names!$B123="F","her","their"))</f>
        <v>his</v>
      </c>
    </row>
    <row r="124" ht="14.25" customHeight="1">
      <c r="A124" s="2">
        <v>123.0</v>
      </c>
      <c r="B124" s="2" t="s">
        <v>26</v>
      </c>
      <c r="C124" s="2" t="str">
        <f t="shared" si="1"/>
        <v>Yashvant Khirwar</v>
      </c>
      <c r="D124" s="2" t="s">
        <v>298</v>
      </c>
      <c r="E124" s="2" t="s">
        <v>299</v>
      </c>
      <c r="F124" s="2" t="str">
        <f>IF(Names!$B124="M","Mr.",IF(Names!$B124="F","Ms.","Mx."))</f>
        <v>Mr.</v>
      </c>
      <c r="G124" s="2" t="str">
        <f>IF(Names!$B124="M","he",IF(Names!$B124="F","she","they"))</f>
        <v>he</v>
      </c>
      <c r="H124" s="2" t="str">
        <f>IF(Names!$B124="M","him",IF(Names!$B124="F","her","them"))</f>
        <v>him</v>
      </c>
      <c r="I124" s="2" t="str">
        <f>IF(Names!$B124="M","his",IF(Names!$B124="F","her","their"))</f>
        <v>his</v>
      </c>
    </row>
    <row r="125" ht="14.25" customHeight="1">
      <c r="A125" s="2">
        <v>124.0</v>
      </c>
      <c r="B125" s="2" t="s">
        <v>26</v>
      </c>
      <c r="C125" s="2" t="str">
        <f t="shared" si="1"/>
        <v>Purantek Tanwar</v>
      </c>
      <c r="D125" s="2" t="s">
        <v>300</v>
      </c>
      <c r="E125" s="2" t="s">
        <v>301</v>
      </c>
      <c r="F125" s="2" t="str">
        <f>IF(Names!$B125="M","Mr.",IF(Names!$B125="F","Ms.","Mx."))</f>
        <v>Mr.</v>
      </c>
      <c r="G125" s="2" t="str">
        <f>IF(Names!$B125="M","he",IF(Names!$B125="F","she","they"))</f>
        <v>he</v>
      </c>
      <c r="H125" s="2" t="str">
        <f>IF(Names!$B125="M","him",IF(Names!$B125="F","her","them"))</f>
        <v>him</v>
      </c>
      <c r="I125" s="2" t="str">
        <f>IF(Names!$B125="M","his",IF(Names!$B125="F","her","their"))</f>
        <v>his</v>
      </c>
    </row>
    <row r="126" ht="14.25" customHeight="1">
      <c r="A126" s="2">
        <v>125.0</v>
      </c>
      <c r="B126" s="2" t="s">
        <v>26</v>
      </c>
      <c r="C126" s="2" t="str">
        <f t="shared" si="1"/>
        <v>Akal-Ustat Babal</v>
      </c>
      <c r="D126" s="2" t="s">
        <v>302</v>
      </c>
      <c r="E126" s="2" t="s">
        <v>303</v>
      </c>
      <c r="F126" s="2" t="str">
        <f>IF(Names!$B126="M","Mr.",IF(Names!$B126="F","Ms.","Mx."))</f>
        <v>Mr.</v>
      </c>
      <c r="G126" s="2" t="str">
        <f>IF(Names!$B126="M","he",IF(Names!$B126="F","she","they"))</f>
        <v>he</v>
      </c>
      <c r="H126" s="2" t="str">
        <f>IF(Names!$B126="M","him",IF(Names!$B126="F","her","them"))</f>
        <v>him</v>
      </c>
      <c r="I126" s="2" t="str">
        <f>IF(Names!$B126="M","his",IF(Names!$B126="F","her","their"))</f>
        <v>his</v>
      </c>
    </row>
    <row r="127" ht="14.25" customHeight="1">
      <c r="A127" s="2">
        <v>126.0</v>
      </c>
      <c r="B127" s="2" t="s">
        <v>26</v>
      </c>
      <c r="C127" s="2" t="str">
        <f t="shared" si="1"/>
        <v>Mansirat Agre</v>
      </c>
      <c r="D127" s="2" t="s">
        <v>304</v>
      </c>
      <c r="E127" s="2" t="s">
        <v>305</v>
      </c>
      <c r="F127" s="2" t="str">
        <f>IF(Names!$B127="M","Mr.",IF(Names!$B127="F","Ms.","Mx."))</f>
        <v>Mr.</v>
      </c>
      <c r="G127" s="2" t="str">
        <f>IF(Names!$B127="M","he",IF(Names!$B127="F","she","they"))</f>
        <v>he</v>
      </c>
      <c r="H127" s="2" t="str">
        <f>IF(Names!$B127="M","him",IF(Names!$B127="F","her","them"))</f>
        <v>him</v>
      </c>
      <c r="I127" s="2" t="str">
        <f>IF(Names!$B127="M","his",IF(Names!$B127="F","her","their"))</f>
        <v>his</v>
      </c>
    </row>
    <row r="128" ht="14.25" customHeight="1">
      <c r="A128" s="2">
        <v>127.0</v>
      </c>
      <c r="B128" s="2" t="s">
        <v>26</v>
      </c>
      <c r="C128" s="2" t="str">
        <f t="shared" si="1"/>
        <v>Satwant Hasija</v>
      </c>
      <c r="D128" s="2" t="s">
        <v>306</v>
      </c>
      <c r="E128" s="2" t="s">
        <v>307</v>
      </c>
      <c r="F128" s="2" t="str">
        <f>IF(Names!$B128="M","Mr.",IF(Names!$B128="F","Ms.","Mx."))</f>
        <v>Mr.</v>
      </c>
      <c r="G128" s="2" t="str">
        <f>IF(Names!$B128="M","he",IF(Names!$B128="F","she","they"))</f>
        <v>he</v>
      </c>
      <c r="H128" s="2" t="str">
        <f>IF(Names!$B128="M","him",IF(Names!$B128="F","her","them"))</f>
        <v>him</v>
      </c>
      <c r="I128" s="2" t="str">
        <f>IF(Names!$B128="M","his",IF(Names!$B128="F","her","their"))</f>
        <v>his</v>
      </c>
    </row>
    <row r="129" ht="14.25" customHeight="1">
      <c r="A129" s="2">
        <v>128.0</v>
      </c>
      <c r="B129" s="2" t="s">
        <v>26</v>
      </c>
      <c r="C129" s="2" t="str">
        <f t="shared" si="1"/>
        <v>Nischaijeet Kisana</v>
      </c>
      <c r="D129" s="2" t="s">
        <v>308</v>
      </c>
      <c r="E129" s="2" t="s">
        <v>309</v>
      </c>
      <c r="F129" s="2" t="str">
        <f>IF(Names!$B129="M","Mr.",IF(Names!$B129="F","Ms.","Mx."))</f>
        <v>Mr.</v>
      </c>
      <c r="G129" s="2" t="str">
        <f>IF(Names!$B129="M","he",IF(Names!$B129="F","she","they"))</f>
        <v>he</v>
      </c>
      <c r="H129" s="2" t="str">
        <f>IF(Names!$B129="M","him",IF(Names!$B129="F","her","them"))</f>
        <v>him</v>
      </c>
      <c r="I129" s="2" t="str">
        <f>IF(Names!$B129="M","his",IF(Names!$B129="F","her","their"))</f>
        <v>his</v>
      </c>
    </row>
    <row r="130" ht="14.25" customHeight="1">
      <c r="A130" s="2">
        <v>129.0</v>
      </c>
      <c r="B130" s="2" t="s">
        <v>26</v>
      </c>
      <c r="C130" s="2" t="str">
        <f t="shared" si="1"/>
        <v>Mawen Qalat</v>
      </c>
      <c r="D130" s="2" t="s">
        <v>310</v>
      </c>
      <c r="E130" s="2" t="s">
        <v>311</v>
      </c>
      <c r="F130" s="2" t="str">
        <f>IF(Names!$B130="M","Mr.",IF(Names!$B130="F","Ms.","Mx."))</f>
        <v>Mr.</v>
      </c>
      <c r="G130" s="2" t="str">
        <f>IF(Names!$B130="M","he",IF(Names!$B130="F","she","they"))</f>
        <v>he</v>
      </c>
      <c r="H130" s="2" t="str">
        <f>IF(Names!$B130="M","him",IF(Names!$B130="F","her","them"))</f>
        <v>him</v>
      </c>
      <c r="I130" s="2" t="str">
        <f>IF(Names!$B130="M","his",IF(Names!$B130="F","her","their"))</f>
        <v>his</v>
      </c>
    </row>
    <row r="131" ht="14.25" customHeight="1">
      <c r="A131" s="2">
        <v>130.0</v>
      </c>
      <c r="B131" s="2" t="s">
        <v>26</v>
      </c>
      <c r="C131" s="2" t="str">
        <f t="shared" si="1"/>
        <v>Wasif Zaman</v>
      </c>
      <c r="D131" s="2" t="s">
        <v>312</v>
      </c>
      <c r="E131" s="2" t="s">
        <v>313</v>
      </c>
      <c r="F131" s="2" t="str">
        <f>IF(Names!$B131="M","Mr.",IF(Names!$B131="F","Ms.","Mx."))</f>
        <v>Mr.</v>
      </c>
      <c r="G131" s="2" t="str">
        <f>IF(Names!$B131="M","he",IF(Names!$B131="F","she","they"))</f>
        <v>he</v>
      </c>
      <c r="H131" s="2" t="str">
        <f>IF(Names!$B131="M","him",IF(Names!$B131="F","her","them"))</f>
        <v>him</v>
      </c>
      <c r="I131" s="2" t="str">
        <f>IF(Names!$B131="M","his",IF(Names!$B131="F","her","their"))</f>
        <v>his</v>
      </c>
    </row>
    <row r="132" ht="14.25" customHeight="1">
      <c r="A132" s="2">
        <v>131.0</v>
      </c>
      <c r="B132" s="2" t="s">
        <v>26</v>
      </c>
      <c r="C132" s="2" t="str">
        <f t="shared" si="1"/>
        <v>Arif Razavi</v>
      </c>
      <c r="D132" s="2" t="s">
        <v>314</v>
      </c>
      <c r="E132" s="2" t="s">
        <v>315</v>
      </c>
      <c r="F132" s="2" t="str">
        <f>IF(Names!$B132="M","Mr.",IF(Names!$B132="F","Ms.","Mx."))</f>
        <v>Mr.</v>
      </c>
      <c r="G132" s="2" t="str">
        <f>IF(Names!$B132="M","he",IF(Names!$B132="F","she","they"))</f>
        <v>he</v>
      </c>
      <c r="H132" s="2" t="str">
        <f>IF(Names!$B132="M","him",IF(Names!$B132="F","her","them"))</f>
        <v>him</v>
      </c>
      <c r="I132" s="2" t="str">
        <f>IF(Names!$B132="M","his",IF(Names!$B132="F","her","their"))</f>
        <v>his</v>
      </c>
    </row>
    <row r="133" ht="14.25" customHeight="1">
      <c r="A133" s="2">
        <v>132.0</v>
      </c>
      <c r="B133" s="2" t="s">
        <v>26</v>
      </c>
      <c r="C133" s="2" t="str">
        <f t="shared" si="1"/>
        <v>Labeb Usmani</v>
      </c>
      <c r="D133" s="2" t="s">
        <v>316</v>
      </c>
      <c r="E133" s="2" t="s">
        <v>317</v>
      </c>
      <c r="F133" s="2" t="str">
        <f>IF(Names!$B133="M","Mr.",IF(Names!$B133="F","Ms.","Mx."))</f>
        <v>Mr.</v>
      </c>
      <c r="G133" s="2" t="str">
        <f>IF(Names!$B133="M","he",IF(Names!$B133="F","she","they"))</f>
        <v>he</v>
      </c>
      <c r="H133" s="2" t="str">
        <f>IF(Names!$B133="M","him",IF(Names!$B133="F","her","them"))</f>
        <v>him</v>
      </c>
      <c r="I133" s="2" t="str">
        <f>IF(Names!$B133="M","his",IF(Names!$B133="F","her","their"))</f>
        <v>his</v>
      </c>
    </row>
    <row r="134" ht="14.25" customHeight="1">
      <c r="A134" s="2">
        <v>133.0</v>
      </c>
      <c r="B134" s="2" t="s">
        <v>26</v>
      </c>
      <c r="C134" s="2" t="str">
        <f t="shared" si="1"/>
        <v>Afsah Naeem</v>
      </c>
      <c r="D134" s="2" t="s">
        <v>318</v>
      </c>
      <c r="E134" s="2" t="s">
        <v>319</v>
      </c>
      <c r="F134" s="2" t="str">
        <f>IF(Names!$B134="M","Mr.",IF(Names!$B134="F","Ms.","Mx."))</f>
        <v>Mr.</v>
      </c>
      <c r="G134" s="2" t="str">
        <f>IF(Names!$B134="M","he",IF(Names!$B134="F","she","they"))</f>
        <v>he</v>
      </c>
      <c r="H134" s="2" t="str">
        <f>IF(Names!$B134="M","him",IF(Names!$B134="F","her","them"))</f>
        <v>him</v>
      </c>
      <c r="I134" s="2" t="str">
        <f>IF(Names!$B134="M","his",IF(Names!$B134="F","her","their"))</f>
        <v>his</v>
      </c>
    </row>
    <row r="135" ht="14.25" customHeight="1">
      <c r="A135" s="2">
        <v>134.0</v>
      </c>
      <c r="B135" s="2" t="s">
        <v>26</v>
      </c>
      <c r="C135" s="2" t="str">
        <f t="shared" si="1"/>
        <v>Safi Hussaini</v>
      </c>
      <c r="D135" s="2" t="s">
        <v>320</v>
      </c>
      <c r="E135" s="2" t="s">
        <v>321</v>
      </c>
      <c r="F135" s="2" t="str">
        <f>IF(Names!$B135="M","Mr.",IF(Names!$B135="F","Ms.","Mx."))</f>
        <v>Mr.</v>
      </c>
      <c r="G135" s="2" t="str">
        <f>IF(Names!$B135="M","he",IF(Names!$B135="F","she","they"))</f>
        <v>he</v>
      </c>
      <c r="H135" s="2" t="str">
        <f>IF(Names!$B135="M","him",IF(Names!$B135="F","her","them"))</f>
        <v>him</v>
      </c>
      <c r="I135" s="2" t="str">
        <f>IF(Names!$B135="M","his",IF(Names!$B135="F","her","their"))</f>
        <v>his</v>
      </c>
    </row>
    <row r="136" ht="14.25" customHeight="1">
      <c r="A136" s="2">
        <v>135.0</v>
      </c>
      <c r="B136" s="2" t="s">
        <v>26</v>
      </c>
      <c r="C136" s="2" t="str">
        <f t="shared" si="1"/>
        <v>Saim Abbasi</v>
      </c>
      <c r="D136" s="2" t="s">
        <v>322</v>
      </c>
      <c r="E136" s="2" t="s">
        <v>323</v>
      </c>
      <c r="F136" s="2" t="str">
        <f>IF(Names!$B136="M","Mr.",IF(Names!$B136="F","Ms.","Mx."))</f>
        <v>Mr.</v>
      </c>
      <c r="G136" s="2" t="str">
        <f>IF(Names!$B136="M","he",IF(Names!$B136="F","she","they"))</f>
        <v>he</v>
      </c>
      <c r="H136" s="2" t="str">
        <f>IF(Names!$B136="M","him",IF(Names!$B136="F","her","them"))</f>
        <v>him</v>
      </c>
      <c r="I136" s="2" t="str">
        <f>IF(Names!$B136="M","his",IF(Names!$B136="F","her","their"))</f>
        <v>his</v>
      </c>
    </row>
    <row r="137" ht="14.25" customHeight="1">
      <c r="A137" s="2">
        <v>136.0</v>
      </c>
      <c r="B137" s="2" t="s">
        <v>26</v>
      </c>
      <c r="C137" s="2" t="str">
        <f t="shared" si="1"/>
        <v>Baseerat Loharani</v>
      </c>
      <c r="D137" s="2" t="s">
        <v>324</v>
      </c>
      <c r="E137" s="2" t="s">
        <v>325</v>
      </c>
      <c r="F137" s="2" t="str">
        <f>IF(Names!$B137="M","Mr.",IF(Names!$B137="F","Ms.","Mx."))</f>
        <v>Mr.</v>
      </c>
      <c r="G137" s="2" t="str">
        <f>IF(Names!$B137="M","he",IF(Names!$B137="F","she","they"))</f>
        <v>he</v>
      </c>
      <c r="H137" s="2" t="str">
        <f>IF(Names!$B137="M","him",IF(Names!$B137="F","her","them"))</f>
        <v>him</v>
      </c>
      <c r="I137" s="2" t="str">
        <f>IF(Names!$B137="M","his",IF(Names!$B137="F","her","their"))</f>
        <v>his</v>
      </c>
    </row>
    <row r="138" ht="14.25" customHeight="1">
      <c r="A138" s="2">
        <v>137.0</v>
      </c>
      <c r="B138" s="2" t="s">
        <v>26</v>
      </c>
      <c r="C138" s="2" t="str">
        <f t="shared" si="1"/>
        <v>Zatmer Rahmanzai</v>
      </c>
      <c r="D138" s="2" t="s">
        <v>326</v>
      </c>
      <c r="E138" s="2" t="s">
        <v>327</v>
      </c>
      <c r="F138" s="2" t="str">
        <f>IF(Names!$B138="M","Mr.",IF(Names!$B138="F","Ms.","Mx."))</f>
        <v>Mr.</v>
      </c>
      <c r="G138" s="2" t="str">
        <f>IF(Names!$B138="M","he",IF(Names!$B138="F","she","they"))</f>
        <v>he</v>
      </c>
      <c r="H138" s="2" t="str">
        <f>IF(Names!$B138="M","him",IF(Names!$B138="F","her","them"))</f>
        <v>him</v>
      </c>
      <c r="I138" s="2" t="str">
        <f>IF(Names!$B138="M","his",IF(Names!$B138="F","her","their"))</f>
        <v>his</v>
      </c>
    </row>
    <row r="139" ht="14.25" customHeight="1">
      <c r="A139" s="2">
        <v>138.0</v>
      </c>
      <c r="B139" s="2" t="s">
        <v>26</v>
      </c>
      <c r="C139" s="2" t="str">
        <f t="shared" si="1"/>
        <v>Tabist Faqir</v>
      </c>
      <c r="D139" s="2" t="s">
        <v>328</v>
      </c>
      <c r="E139" s="2" t="s">
        <v>329</v>
      </c>
      <c r="F139" s="2" t="str">
        <f>IF(Names!$B139="M","Mr.",IF(Names!$B139="F","Ms.","Mx."))</f>
        <v>Mr.</v>
      </c>
      <c r="G139" s="2" t="str">
        <f>IF(Names!$B139="M","he",IF(Names!$B139="F","she","they"))</f>
        <v>he</v>
      </c>
      <c r="H139" s="2" t="str">
        <f>IF(Names!$B139="M","him",IF(Names!$B139="F","her","them"))</f>
        <v>him</v>
      </c>
      <c r="I139" s="2" t="str">
        <f>IF(Names!$B139="M","his",IF(Names!$B139="F","her","their"))</f>
        <v>his</v>
      </c>
    </row>
    <row r="140" ht="14.25" customHeight="1">
      <c r="A140" s="2">
        <v>139.0</v>
      </c>
      <c r="B140" s="2" t="s">
        <v>26</v>
      </c>
      <c r="C140" s="2" t="str">
        <f t="shared" si="1"/>
        <v>Huỳnh Huy Phong</v>
      </c>
      <c r="D140" s="2" t="s">
        <v>330</v>
      </c>
      <c r="E140" s="2" t="s">
        <v>331</v>
      </c>
      <c r="F140" s="2" t="str">
        <f>IF(Names!$B140="M","Mr.",IF(Names!$B140="F","Ms.","Mx."))</f>
        <v>Mr.</v>
      </c>
      <c r="G140" s="2" t="str">
        <f>IF(Names!$B140="M","he",IF(Names!$B140="F","she","they"))</f>
        <v>he</v>
      </c>
      <c r="H140" s="2" t="str">
        <f>IF(Names!$B140="M","him",IF(Names!$B140="F","her","them"))</f>
        <v>him</v>
      </c>
      <c r="I140" s="2" t="str">
        <f>IF(Names!$B140="M","his",IF(Names!$B140="F","her","their"))</f>
        <v>his</v>
      </c>
    </row>
    <row r="141" ht="14.25" customHeight="1">
      <c r="A141" s="2">
        <v>140.0</v>
      </c>
      <c r="B141" s="2" t="s">
        <v>26</v>
      </c>
      <c r="C141" s="2" t="str">
        <f t="shared" si="1"/>
        <v>Võ Việt Chính</v>
      </c>
      <c r="D141" s="2" t="s">
        <v>332</v>
      </c>
      <c r="E141" s="2" t="s">
        <v>333</v>
      </c>
      <c r="F141" s="2" t="str">
        <f>IF(Names!$B141="M","Mr.",IF(Names!$B141="F","Ms.","Mx."))</f>
        <v>Mr.</v>
      </c>
      <c r="G141" s="2" t="str">
        <f>IF(Names!$B141="M","he",IF(Names!$B141="F","she","they"))</f>
        <v>he</v>
      </c>
      <c r="H141" s="2" t="str">
        <f>IF(Names!$B141="M","him",IF(Names!$B141="F","her","them"))</f>
        <v>him</v>
      </c>
      <c r="I141" s="2" t="str">
        <f>IF(Names!$B141="M","his",IF(Names!$B141="F","her","their"))</f>
        <v>his</v>
      </c>
    </row>
    <row r="142" ht="14.25" customHeight="1">
      <c r="A142" s="2">
        <v>141.0</v>
      </c>
      <c r="B142" s="2" t="s">
        <v>26</v>
      </c>
      <c r="C142" s="2" t="str">
        <f t="shared" si="1"/>
        <v>Trần Thiện Minh</v>
      </c>
      <c r="D142" s="2" t="s">
        <v>334</v>
      </c>
      <c r="E142" s="2" t="s">
        <v>335</v>
      </c>
      <c r="F142" s="2" t="str">
        <f>IF(Names!$B142="M","Mr.",IF(Names!$B142="F","Ms.","Mx."))</f>
        <v>Mr.</v>
      </c>
      <c r="G142" s="2" t="str">
        <f>IF(Names!$B142="M","he",IF(Names!$B142="F","she","they"))</f>
        <v>he</v>
      </c>
      <c r="H142" s="2" t="str">
        <f>IF(Names!$B142="M","him",IF(Names!$B142="F","her","them"))</f>
        <v>him</v>
      </c>
      <c r="I142" s="2" t="str">
        <f>IF(Names!$B142="M","his",IF(Names!$B142="F","her","their"))</f>
        <v>his</v>
      </c>
    </row>
    <row r="143" ht="14.25" customHeight="1">
      <c r="A143" s="2">
        <v>142.0</v>
      </c>
      <c r="B143" s="2" t="s">
        <v>26</v>
      </c>
      <c r="C143" s="2" t="str">
        <f t="shared" si="1"/>
        <v>Chử Thanh Long</v>
      </c>
      <c r="D143" s="2" t="s">
        <v>336</v>
      </c>
      <c r="E143" s="2" t="s">
        <v>337</v>
      </c>
      <c r="F143" s="2" t="str">
        <f>IF(Names!$B143="M","Mr.",IF(Names!$B143="F","Ms.","Mx."))</f>
        <v>Mr.</v>
      </c>
      <c r="G143" s="2" t="str">
        <f>IF(Names!$B143="M","he",IF(Names!$B143="F","she","they"))</f>
        <v>he</v>
      </c>
      <c r="H143" s="2" t="str">
        <f>IF(Names!$B143="M","him",IF(Names!$B143="F","her","them"))</f>
        <v>him</v>
      </c>
      <c r="I143" s="2" t="str">
        <f>IF(Names!$B143="M","his",IF(Names!$B143="F","her","their"))</f>
        <v>his</v>
      </c>
    </row>
    <row r="144" ht="14.25" customHeight="1">
      <c r="A144" s="2">
        <v>143.0</v>
      </c>
      <c r="B144" s="2" t="s">
        <v>26</v>
      </c>
      <c r="C144" s="2" t="str">
        <f t="shared" si="1"/>
        <v>Vĩnh Trung Chính</v>
      </c>
      <c r="D144" s="2" t="s">
        <v>338</v>
      </c>
      <c r="E144" s="2" t="s">
        <v>339</v>
      </c>
      <c r="F144" s="2" t="str">
        <f>IF(Names!$B144="M","Mr.",IF(Names!$B144="F","Ms.","Mx."))</f>
        <v>Mr.</v>
      </c>
      <c r="G144" s="2" t="str">
        <f>IF(Names!$B144="M","he",IF(Names!$B144="F","she","they"))</f>
        <v>he</v>
      </c>
      <c r="H144" s="2" t="str">
        <f>IF(Names!$B144="M","him",IF(Names!$B144="F","her","them"))</f>
        <v>him</v>
      </c>
      <c r="I144" s="2" t="str">
        <f>IF(Names!$B144="M","his",IF(Names!$B144="F","her","their"))</f>
        <v>his</v>
      </c>
    </row>
    <row r="145" ht="14.25" customHeight="1">
      <c r="A145" s="2">
        <v>144.0</v>
      </c>
      <c r="B145" s="2" t="s">
        <v>26</v>
      </c>
      <c r="C145" s="2" t="str">
        <f t="shared" si="1"/>
        <v>Quách Hữu Từ</v>
      </c>
      <c r="D145" s="2" t="s">
        <v>340</v>
      </c>
      <c r="E145" s="2" t="s">
        <v>341</v>
      </c>
      <c r="F145" s="2" t="str">
        <f>IF(Names!$B145="M","Mr.",IF(Names!$B145="F","Ms.","Mx."))</f>
        <v>Mr.</v>
      </c>
      <c r="G145" s="2" t="str">
        <f>IF(Names!$B145="M","he",IF(Names!$B145="F","she","they"))</f>
        <v>he</v>
      </c>
      <c r="H145" s="2" t="str">
        <f>IF(Names!$B145="M","him",IF(Names!$B145="F","her","them"))</f>
        <v>him</v>
      </c>
      <c r="I145" s="2" t="str">
        <f>IF(Names!$B145="M","his",IF(Names!$B145="F","her","their"))</f>
        <v>his</v>
      </c>
    </row>
    <row r="146" ht="14.25" customHeight="1">
      <c r="A146" s="2">
        <v>145.0</v>
      </c>
      <c r="B146" s="2" t="s">
        <v>26</v>
      </c>
      <c r="C146" s="2" t="str">
        <f t="shared" si="1"/>
        <v>Hoàng Minh Dân</v>
      </c>
      <c r="D146" s="2" t="s">
        <v>342</v>
      </c>
      <c r="E146" s="2" t="s">
        <v>343</v>
      </c>
      <c r="F146" s="2" t="str">
        <f>IF(Names!$B146="M","Mr.",IF(Names!$B146="F","Ms.","Mx."))</f>
        <v>Mr.</v>
      </c>
      <c r="G146" s="2" t="str">
        <f>IF(Names!$B146="M","he",IF(Names!$B146="F","she","they"))</f>
        <v>he</v>
      </c>
      <c r="H146" s="2" t="str">
        <f>IF(Names!$B146="M","him",IF(Names!$B146="F","her","them"))</f>
        <v>him</v>
      </c>
      <c r="I146" s="2" t="str">
        <f>IF(Names!$B146="M","his",IF(Names!$B146="F","her","their"))</f>
        <v>his</v>
      </c>
    </row>
    <row r="147" ht="14.25" customHeight="1">
      <c r="A147" s="2">
        <v>146.0</v>
      </c>
      <c r="B147" s="2" t="s">
        <v>26</v>
      </c>
      <c r="C147" s="2" t="str">
        <f t="shared" si="1"/>
        <v>Đoàn Huy Việt</v>
      </c>
      <c r="D147" s="2" t="s">
        <v>344</v>
      </c>
      <c r="E147" s="2" t="s">
        <v>345</v>
      </c>
      <c r="F147" s="2" t="str">
        <f>IF(Names!$B147="M","Mr.",IF(Names!$B147="F","Ms.","Mx."))</f>
        <v>Mr.</v>
      </c>
      <c r="G147" s="2" t="str">
        <f>IF(Names!$B147="M","he",IF(Names!$B147="F","she","they"))</f>
        <v>he</v>
      </c>
      <c r="H147" s="2" t="str">
        <f>IF(Names!$B147="M","him",IF(Names!$B147="F","her","them"))</f>
        <v>him</v>
      </c>
      <c r="I147" s="2" t="str">
        <f>IF(Names!$B147="M","his",IF(Names!$B147="F","her","their"))</f>
        <v>his</v>
      </c>
    </row>
    <row r="148" ht="14.25" customHeight="1">
      <c r="A148" s="2">
        <v>147.0</v>
      </c>
      <c r="B148" s="2" t="s">
        <v>26</v>
      </c>
      <c r="C148" s="2" t="str">
        <f t="shared" si="1"/>
        <v>Quyền Xuân An</v>
      </c>
      <c r="D148" s="2" t="s">
        <v>346</v>
      </c>
      <c r="E148" s="2" t="s">
        <v>347</v>
      </c>
      <c r="F148" s="2" t="str">
        <f>IF(Names!$B148="M","Mr.",IF(Names!$B148="F","Ms.","Mx."))</f>
        <v>Mr.</v>
      </c>
      <c r="G148" s="2" t="str">
        <f>IF(Names!$B148="M","he",IF(Names!$B148="F","she","they"))</f>
        <v>he</v>
      </c>
      <c r="H148" s="2" t="str">
        <f>IF(Names!$B148="M","him",IF(Names!$B148="F","her","them"))</f>
        <v>him</v>
      </c>
      <c r="I148" s="2" t="str">
        <f>IF(Names!$B148="M","his",IF(Names!$B148="F","her","their"))</f>
        <v>his</v>
      </c>
    </row>
    <row r="149" ht="14.25" customHeight="1">
      <c r="A149" s="2">
        <v>148.0</v>
      </c>
      <c r="B149" s="2" t="s">
        <v>26</v>
      </c>
      <c r="C149" s="2" t="str">
        <f t="shared" si="1"/>
        <v>Lương Thành Châu</v>
      </c>
      <c r="D149" s="2" t="s">
        <v>348</v>
      </c>
      <c r="E149" s="2" t="s">
        <v>349</v>
      </c>
      <c r="F149" s="2" t="str">
        <f>IF(Names!$B149="M","Mr.",IF(Names!$B149="F","Ms.","Mx."))</f>
        <v>Mr.</v>
      </c>
      <c r="G149" s="2" t="str">
        <f>IF(Names!$B149="M","he",IF(Names!$B149="F","she","they"))</f>
        <v>he</v>
      </c>
      <c r="H149" s="2" t="str">
        <f>IF(Names!$B149="M","him",IF(Names!$B149="F","her","them"))</f>
        <v>him</v>
      </c>
      <c r="I149" s="2" t="str">
        <f>IF(Names!$B149="M","his",IF(Names!$B149="F","her","their"))</f>
        <v>his</v>
      </c>
    </row>
    <row r="150" ht="14.25" customHeight="1">
      <c r="A150" s="2">
        <v>149.0</v>
      </c>
      <c r="B150" s="2" t="s">
        <v>26</v>
      </c>
      <c r="C150" s="2" t="str">
        <f t="shared" si="1"/>
        <v>Chula Choosak</v>
      </c>
      <c r="D150" s="2" t="s">
        <v>350</v>
      </c>
      <c r="E150" s="2" t="s">
        <v>351</v>
      </c>
      <c r="F150" s="2" t="str">
        <f>IF(Names!$B150="M","Mr.",IF(Names!$B150="F","Ms.","Mx."))</f>
        <v>Mr.</v>
      </c>
      <c r="G150" s="2" t="str">
        <f>IF(Names!$B150="M","he",IF(Names!$B150="F","she","they"))</f>
        <v>he</v>
      </c>
      <c r="H150" s="2" t="str">
        <f>IF(Names!$B150="M","him",IF(Names!$B150="F","her","them"))</f>
        <v>him</v>
      </c>
      <c r="I150" s="2" t="str">
        <f>IF(Names!$B150="M","his",IF(Names!$B150="F","her","their"))</f>
        <v>his</v>
      </c>
    </row>
    <row r="151" ht="14.25" customHeight="1">
      <c r="A151" s="2">
        <v>150.0</v>
      </c>
      <c r="B151" s="2" t="s">
        <v>26</v>
      </c>
      <c r="C151" s="2" t="str">
        <f t="shared" si="1"/>
        <v>Karom Somwan</v>
      </c>
      <c r="D151" s="2" t="s">
        <v>352</v>
      </c>
      <c r="E151" s="2" t="s">
        <v>353</v>
      </c>
      <c r="F151" s="2" t="str">
        <f>IF(Names!$B151="M","Mr.",IF(Names!$B151="F","Ms.","Mx."))</f>
        <v>Mr.</v>
      </c>
      <c r="G151" s="2" t="str">
        <f>IF(Names!$B151="M","he",IF(Names!$B151="F","she","they"))</f>
        <v>he</v>
      </c>
      <c r="H151" s="2" t="str">
        <f>IF(Names!$B151="M","him",IF(Names!$B151="F","her","them"))</f>
        <v>him</v>
      </c>
      <c r="I151" s="2" t="str">
        <f>IF(Names!$B151="M","his",IF(Names!$B151="F","her","their"))</f>
        <v>his</v>
      </c>
    </row>
    <row r="152" ht="14.25" customHeight="1">
      <c r="A152" s="2">
        <v>151.0</v>
      </c>
      <c r="B152" s="2" t="s">
        <v>26</v>
      </c>
      <c r="C152" s="2" t="str">
        <f t="shared" si="1"/>
        <v>Thanetpol Nitpattanasai</v>
      </c>
      <c r="D152" s="2" t="s">
        <v>354</v>
      </c>
      <c r="E152" s="2" t="s">
        <v>355</v>
      </c>
      <c r="F152" s="2" t="str">
        <f>IF(Names!$B152="M","Mr.",IF(Names!$B152="F","Ms.","Mx."))</f>
        <v>Mr.</v>
      </c>
      <c r="G152" s="2" t="str">
        <f>IF(Names!$B152="M","he",IF(Names!$B152="F","she","they"))</f>
        <v>he</v>
      </c>
      <c r="H152" s="2" t="str">
        <f>IF(Names!$B152="M","him",IF(Names!$B152="F","her","them"))</f>
        <v>him</v>
      </c>
      <c r="I152" s="2" t="str">
        <f>IF(Names!$B152="M","his",IF(Names!$B152="F","her","their"))</f>
        <v>his</v>
      </c>
    </row>
    <row r="153" ht="14.25" customHeight="1">
      <c r="A153" s="2">
        <v>152.0</v>
      </c>
      <c r="B153" s="2" t="s">
        <v>26</v>
      </c>
      <c r="C153" s="2" t="str">
        <f t="shared" si="1"/>
        <v>Keerati Wattanapanit</v>
      </c>
      <c r="D153" s="2" t="s">
        <v>356</v>
      </c>
      <c r="E153" s="2" t="s">
        <v>357</v>
      </c>
      <c r="F153" s="2" t="str">
        <f>IF(Names!$B153="M","Mr.",IF(Names!$B153="F","Ms.","Mx."))</f>
        <v>Mr.</v>
      </c>
      <c r="G153" s="2" t="str">
        <f>IF(Names!$B153="M","he",IF(Names!$B153="F","she","they"))</f>
        <v>he</v>
      </c>
      <c r="H153" s="2" t="str">
        <f>IF(Names!$B153="M","him",IF(Names!$B153="F","her","them"))</f>
        <v>him</v>
      </c>
      <c r="I153" s="2" t="str">
        <f>IF(Names!$B153="M","his",IF(Names!$B153="F","her","their"))</f>
        <v>his</v>
      </c>
    </row>
    <row r="154" ht="14.25" customHeight="1">
      <c r="A154" s="2">
        <v>153.0</v>
      </c>
      <c r="B154" s="2" t="s">
        <v>26</v>
      </c>
      <c r="C154" s="2" t="str">
        <f t="shared" si="1"/>
        <v>Hanuman Inchareon</v>
      </c>
      <c r="D154" s="2" t="s">
        <v>358</v>
      </c>
      <c r="E154" s="2" t="s">
        <v>359</v>
      </c>
      <c r="F154" s="2" t="str">
        <f>IF(Names!$B154="M","Mr.",IF(Names!$B154="F","Ms.","Mx."))</f>
        <v>Mr.</v>
      </c>
      <c r="G154" s="2" t="str">
        <f>IF(Names!$B154="M","he",IF(Names!$B154="F","she","they"))</f>
        <v>he</v>
      </c>
      <c r="H154" s="2" t="str">
        <f>IF(Names!$B154="M","him",IF(Names!$B154="F","her","them"))</f>
        <v>him</v>
      </c>
      <c r="I154" s="2" t="str">
        <f>IF(Names!$B154="M","his",IF(Names!$B154="F","her","their"))</f>
        <v>his</v>
      </c>
    </row>
    <row r="155" ht="14.25" customHeight="1">
      <c r="A155" s="2">
        <v>154.0</v>
      </c>
      <c r="B155" s="2" t="s">
        <v>26</v>
      </c>
      <c r="C155" s="2" t="str">
        <f t="shared" si="1"/>
        <v>Napatthorn Kukrit</v>
      </c>
      <c r="D155" s="2" t="s">
        <v>360</v>
      </c>
      <c r="E155" s="2" t="s">
        <v>361</v>
      </c>
      <c r="F155" s="2" t="str">
        <f>IF(Names!$B155="M","Mr.",IF(Names!$B155="F","Ms.","Mx."))</f>
        <v>Mr.</v>
      </c>
      <c r="G155" s="2" t="str">
        <f>IF(Names!$B155="M","he",IF(Names!$B155="F","she","they"))</f>
        <v>he</v>
      </c>
      <c r="H155" s="2" t="str">
        <f>IF(Names!$B155="M","him",IF(Names!$B155="F","her","them"))</f>
        <v>him</v>
      </c>
      <c r="I155" s="2" t="str">
        <f>IF(Names!$B155="M","his",IF(Names!$B155="F","her","their"))</f>
        <v>his</v>
      </c>
    </row>
    <row r="156" ht="14.25" customHeight="1">
      <c r="A156" s="2">
        <v>155.0</v>
      </c>
      <c r="B156" s="2" t="s">
        <v>26</v>
      </c>
      <c r="C156" s="2" t="str">
        <f t="shared" si="1"/>
        <v>Paron Sudham</v>
      </c>
      <c r="D156" s="2" t="s">
        <v>362</v>
      </c>
      <c r="E156" s="2" t="s">
        <v>363</v>
      </c>
      <c r="F156" s="2" t="str">
        <f>IF(Names!$B156="M","Mr.",IF(Names!$B156="F","Ms.","Mx."))</f>
        <v>Mr.</v>
      </c>
      <c r="G156" s="2" t="str">
        <f>IF(Names!$B156="M","he",IF(Names!$B156="F","she","they"))</f>
        <v>he</v>
      </c>
      <c r="H156" s="2" t="str">
        <f>IF(Names!$B156="M","him",IF(Names!$B156="F","her","them"))</f>
        <v>him</v>
      </c>
      <c r="I156" s="2" t="str">
        <f>IF(Names!$B156="M","his",IF(Names!$B156="F","her","their"))</f>
        <v>his</v>
      </c>
    </row>
    <row r="157" ht="14.25" customHeight="1">
      <c r="A157" s="2">
        <v>156.0</v>
      </c>
      <c r="B157" s="2" t="s">
        <v>26</v>
      </c>
      <c r="C157" s="2" t="str">
        <f t="shared" si="1"/>
        <v>Theeratham Gason</v>
      </c>
      <c r="D157" s="2" t="s">
        <v>364</v>
      </c>
      <c r="E157" s="2" t="s">
        <v>365</v>
      </c>
      <c r="F157" s="2" t="str">
        <f>IF(Names!$B157="M","Mr.",IF(Names!$B157="F","Ms.","Mx."))</f>
        <v>Mr.</v>
      </c>
      <c r="G157" s="2" t="str">
        <f>IF(Names!$B157="M","he",IF(Names!$B157="F","she","they"))</f>
        <v>he</v>
      </c>
      <c r="H157" s="2" t="str">
        <f>IF(Names!$B157="M","him",IF(Names!$B157="F","her","them"))</f>
        <v>him</v>
      </c>
      <c r="I157" s="2" t="str">
        <f>IF(Names!$B157="M","his",IF(Names!$B157="F","her","their"))</f>
        <v>his</v>
      </c>
    </row>
    <row r="158" ht="14.25" customHeight="1">
      <c r="A158" s="2">
        <v>157.0</v>
      </c>
      <c r="B158" s="2" t="s">
        <v>26</v>
      </c>
      <c r="C158" s="2" t="str">
        <f t="shared" si="1"/>
        <v>Nipitpon Lekcharuthas</v>
      </c>
      <c r="D158" s="2" t="s">
        <v>366</v>
      </c>
      <c r="E158" s="2" t="s">
        <v>367</v>
      </c>
      <c r="F158" s="2" t="str">
        <f>IF(Names!$B158="M","Mr.",IF(Names!$B158="F","Ms.","Mx."))</f>
        <v>Mr.</v>
      </c>
      <c r="G158" s="2" t="str">
        <f>IF(Names!$B158="M","he",IF(Names!$B158="F","she","they"))</f>
        <v>he</v>
      </c>
      <c r="H158" s="2" t="str">
        <f>IF(Names!$B158="M","him",IF(Names!$B158="F","her","them"))</f>
        <v>him</v>
      </c>
      <c r="I158" s="2" t="str">
        <f>IF(Names!$B158="M","his",IF(Names!$B158="F","her","their"))</f>
        <v>his</v>
      </c>
    </row>
    <row r="159" ht="14.25" customHeight="1">
      <c r="A159" s="2">
        <v>158.0</v>
      </c>
      <c r="B159" s="2" t="s">
        <v>26</v>
      </c>
      <c r="C159" s="2" t="str">
        <f t="shared" si="1"/>
        <v>Wasan Sirisopa</v>
      </c>
      <c r="D159" s="2" t="s">
        <v>368</v>
      </c>
      <c r="E159" s="2" t="s">
        <v>369</v>
      </c>
      <c r="F159" s="2" t="str">
        <f>IF(Names!$B159="M","Mr.",IF(Names!$B159="F","Ms.","Mx."))</f>
        <v>Mr.</v>
      </c>
      <c r="G159" s="2" t="str">
        <f>IF(Names!$B159="M","he",IF(Names!$B159="F","she","they"))</f>
        <v>he</v>
      </c>
      <c r="H159" s="2" t="str">
        <f>IF(Names!$B159="M","him",IF(Names!$B159="F","her","them"))</f>
        <v>him</v>
      </c>
      <c r="I159" s="2" t="str">
        <f>IF(Names!$B159="M","his",IF(Names!$B159="F","her","their"))</f>
        <v>his</v>
      </c>
    </row>
    <row r="160" ht="14.25" customHeight="1">
      <c r="A160" s="2">
        <v>159.0</v>
      </c>
      <c r="B160" s="2" t="s">
        <v>26</v>
      </c>
      <c r="C160" s="2" t="str">
        <f t="shared" si="1"/>
        <v>Abdul Khaliq al-Abdo</v>
      </c>
      <c r="D160" s="2" t="s">
        <v>370</v>
      </c>
      <c r="E160" s="2" t="s">
        <v>371</v>
      </c>
      <c r="F160" s="2" t="str">
        <f>IF(Names!$B160="M","Mr.",IF(Names!$B160="F","Ms.","Mx."))</f>
        <v>Mr.</v>
      </c>
      <c r="G160" s="2" t="str">
        <f>IF(Names!$B160="M","he",IF(Names!$B160="F","she","they"))</f>
        <v>he</v>
      </c>
      <c r="H160" s="2" t="str">
        <f>IF(Names!$B160="M","him",IF(Names!$B160="F","her","them"))</f>
        <v>him</v>
      </c>
      <c r="I160" s="2" t="str">
        <f>IF(Names!$B160="M","his",IF(Names!$B160="F","her","their"))</f>
        <v>his</v>
      </c>
    </row>
    <row r="161" ht="14.25" customHeight="1">
      <c r="A161" s="2">
        <v>160.0</v>
      </c>
      <c r="B161" s="2" t="s">
        <v>26</v>
      </c>
      <c r="C161" s="2" t="str">
        <f t="shared" si="1"/>
        <v>Uthmaa N al-Firman</v>
      </c>
      <c r="D161" s="2" t="s">
        <v>372</v>
      </c>
      <c r="E161" s="2" t="s">
        <v>373</v>
      </c>
      <c r="F161" s="2" t="str">
        <f>IF(Names!$B161="M","Mr.",IF(Names!$B161="F","Ms.","Mx."))</f>
        <v>Mr.</v>
      </c>
      <c r="G161" s="2" t="str">
        <f>IF(Names!$B161="M","he",IF(Names!$B161="F","she","they"))</f>
        <v>he</v>
      </c>
      <c r="H161" s="2" t="str">
        <f>IF(Names!$B161="M","him",IF(Names!$B161="F","her","them"))</f>
        <v>him</v>
      </c>
      <c r="I161" s="2" t="str">
        <f>IF(Names!$B161="M","his",IF(Names!$B161="F","her","their"))</f>
        <v>his</v>
      </c>
    </row>
    <row r="162" ht="14.25" customHeight="1">
      <c r="A162" s="2">
        <v>161.0</v>
      </c>
      <c r="B162" s="2" t="s">
        <v>26</v>
      </c>
      <c r="C162" s="2" t="str">
        <f t="shared" si="1"/>
        <v>Badruddeen al-Abdo</v>
      </c>
      <c r="D162" s="2" t="s">
        <v>374</v>
      </c>
      <c r="E162" s="2" t="s">
        <v>375</v>
      </c>
      <c r="F162" s="2" t="str">
        <f>IF(Names!$B162="M","Mr.",IF(Names!$B162="F","Ms.","Mx."))</f>
        <v>Mr.</v>
      </c>
      <c r="G162" s="2" t="str">
        <f>IF(Names!$B162="M","he",IF(Names!$B162="F","she","they"))</f>
        <v>he</v>
      </c>
      <c r="H162" s="2" t="str">
        <f>IF(Names!$B162="M","him",IF(Names!$B162="F","her","them"))</f>
        <v>him</v>
      </c>
      <c r="I162" s="2" t="str">
        <f>IF(Names!$B162="M","his",IF(Names!$B162="F","her","their"))</f>
        <v>his</v>
      </c>
    </row>
    <row r="163" ht="14.25" customHeight="1">
      <c r="A163" s="2">
        <v>162.0</v>
      </c>
      <c r="B163" s="2" t="s">
        <v>26</v>
      </c>
      <c r="C163" s="2" t="str">
        <f t="shared" si="1"/>
        <v>Marwaan al-Wahba</v>
      </c>
      <c r="D163" s="2" t="s">
        <v>376</v>
      </c>
      <c r="E163" s="2" t="s">
        <v>377</v>
      </c>
      <c r="F163" s="2" t="str">
        <f>IF(Names!$B163="M","Mr.",IF(Names!$B163="F","Ms.","Mx."))</f>
        <v>Mr.</v>
      </c>
      <c r="G163" s="2" t="str">
        <f>IF(Names!$B163="M","he",IF(Names!$B163="F","she","they"))</f>
        <v>he</v>
      </c>
      <c r="H163" s="2" t="str">
        <f>IF(Names!$B163="M","him",IF(Names!$B163="F","her","them"))</f>
        <v>him</v>
      </c>
      <c r="I163" s="2" t="str">
        <f>IF(Names!$B163="M","his",IF(Names!$B163="F","her","their"))</f>
        <v>his</v>
      </c>
    </row>
    <row r="164" ht="14.25" customHeight="1">
      <c r="A164" s="2">
        <v>163.0</v>
      </c>
      <c r="B164" s="2" t="s">
        <v>26</v>
      </c>
      <c r="C164" s="2" t="str">
        <f t="shared" si="1"/>
        <v>Ihaab el-Dallal</v>
      </c>
      <c r="D164" s="2" t="s">
        <v>378</v>
      </c>
      <c r="E164" s="2" t="s">
        <v>379</v>
      </c>
      <c r="F164" s="2" t="str">
        <f>IF(Names!$B164="M","Mr.",IF(Names!$B164="F","Ms.","Mx."))</f>
        <v>Mr.</v>
      </c>
      <c r="G164" s="2" t="str">
        <f>IF(Names!$B164="M","he",IF(Names!$B164="F","she","they"))</f>
        <v>he</v>
      </c>
      <c r="H164" s="2" t="str">
        <f>IF(Names!$B164="M","him",IF(Names!$B164="F","her","them"))</f>
        <v>him</v>
      </c>
      <c r="I164" s="2" t="str">
        <f>IF(Names!$B164="M","his",IF(Names!$B164="F","her","their"))</f>
        <v>his</v>
      </c>
    </row>
    <row r="165" ht="14.25" customHeight="1">
      <c r="A165" s="2">
        <v>164.0</v>
      </c>
      <c r="B165" s="2" t="s">
        <v>26</v>
      </c>
      <c r="C165" s="2" t="str">
        <f t="shared" si="1"/>
        <v>Faaid al-Jafri</v>
      </c>
      <c r="D165" s="2" t="s">
        <v>380</v>
      </c>
      <c r="E165" s="2" t="s">
        <v>381</v>
      </c>
      <c r="F165" s="2" t="str">
        <f>IF(Names!$B165="M","Mr.",IF(Names!$B165="F","Ms.","Mx."))</f>
        <v>Mr.</v>
      </c>
      <c r="G165" s="2" t="str">
        <f>IF(Names!$B165="M","he",IF(Names!$B165="F","she","they"))</f>
        <v>he</v>
      </c>
      <c r="H165" s="2" t="str">
        <f>IF(Names!$B165="M","him",IF(Names!$B165="F","her","them"))</f>
        <v>him</v>
      </c>
      <c r="I165" s="2" t="str">
        <f>IF(Names!$B165="M","his",IF(Names!$B165="F","her","their"))</f>
        <v>his</v>
      </c>
    </row>
    <row r="166" ht="14.25" customHeight="1">
      <c r="A166" s="2">
        <v>165.0</v>
      </c>
      <c r="B166" s="2" t="s">
        <v>26</v>
      </c>
      <c r="C166" s="2" t="str">
        <f t="shared" si="1"/>
        <v>Faarooq el-Saladin</v>
      </c>
      <c r="D166" s="2" t="s">
        <v>382</v>
      </c>
      <c r="E166" s="2" t="s">
        <v>383</v>
      </c>
      <c r="F166" s="2" t="str">
        <f>IF(Names!$B166="M","Mr.",IF(Names!$B166="F","Ms.","Mx."))</f>
        <v>Mr.</v>
      </c>
      <c r="G166" s="2" t="str">
        <f>IF(Names!$B166="M","he",IF(Names!$B166="F","she","they"))</f>
        <v>he</v>
      </c>
      <c r="H166" s="2" t="str">
        <f>IF(Names!$B166="M","him",IF(Names!$B166="F","her","them"))</f>
        <v>him</v>
      </c>
      <c r="I166" s="2" t="str">
        <f>IF(Names!$B166="M","his",IF(Names!$B166="F","her","their"))</f>
        <v>his</v>
      </c>
    </row>
    <row r="167" ht="14.25" customHeight="1">
      <c r="A167" s="2">
        <v>166.0</v>
      </c>
      <c r="B167" s="2" t="s">
        <v>26</v>
      </c>
      <c r="C167" s="2" t="str">
        <f t="shared" si="1"/>
        <v>Waleed el-Sader</v>
      </c>
      <c r="D167" s="2" t="s">
        <v>384</v>
      </c>
      <c r="E167" s="2" t="s">
        <v>385</v>
      </c>
      <c r="F167" s="2" t="str">
        <f>IF(Names!$B167="M","Mr.",IF(Names!$B167="F","Ms.","Mx."))</f>
        <v>Mr.</v>
      </c>
      <c r="G167" s="2" t="str">
        <f>IF(Names!$B167="M","he",IF(Names!$B167="F","she","they"))</f>
        <v>he</v>
      </c>
      <c r="H167" s="2" t="str">
        <f>IF(Names!$B167="M","him",IF(Names!$B167="F","her","them"))</f>
        <v>him</v>
      </c>
      <c r="I167" s="2" t="str">
        <f>IF(Names!$B167="M","his",IF(Names!$B167="F","her","their"))</f>
        <v>his</v>
      </c>
    </row>
    <row r="168" ht="14.25" customHeight="1">
      <c r="A168" s="2">
        <v>167.0</v>
      </c>
      <c r="B168" s="2" t="s">
        <v>26</v>
      </c>
      <c r="C168" s="2" t="str">
        <f t="shared" si="1"/>
        <v>Muzammil al-Emami</v>
      </c>
      <c r="D168" s="2" t="s">
        <v>386</v>
      </c>
      <c r="E168" s="2" t="s">
        <v>387</v>
      </c>
      <c r="F168" s="2" t="str">
        <f>IF(Names!$B168="M","Mr.",IF(Names!$B168="F","Ms.","Mx."))</f>
        <v>Mr.</v>
      </c>
      <c r="G168" s="2" t="str">
        <f>IF(Names!$B168="M","he",IF(Names!$B168="F","she","they"))</f>
        <v>he</v>
      </c>
      <c r="H168" s="2" t="str">
        <f>IF(Names!$B168="M","him",IF(Names!$B168="F","her","them"))</f>
        <v>him</v>
      </c>
      <c r="I168" s="2" t="str">
        <f>IF(Names!$B168="M","his",IF(Names!$B168="F","her","their"))</f>
        <v>his</v>
      </c>
    </row>
    <row r="169" ht="14.25" customHeight="1">
      <c r="A169" s="2">
        <v>168.0</v>
      </c>
      <c r="B169" s="2" t="s">
        <v>26</v>
      </c>
      <c r="C169" s="2" t="str">
        <f t="shared" si="1"/>
        <v>Fawwaaz al-Zaman</v>
      </c>
      <c r="D169" s="2" t="s">
        <v>388</v>
      </c>
      <c r="E169" s="2" t="s">
        <v>389</v>
      </c>
      <c r="F169" s="2" t="str">
        <f>IF(Names!$B169="M","Mr.",IF(Names!$B169="F","Ms.","Mx."))</f>
        <v>Mr.</v>
      </c>
      <c r="G169" s="2" t="str">
        <f>IF(Names!$B169="M","he",IF(Names!$B169="F","she","they"))</f>
        <v>he</v>
      </c>
      <c r="H169" s="2" t="str">
        <f>IF(Names!$B169="M","him",IF(Names!$B169="F","her","them"))</f>
        <v>him</v>
      </c>
      <c r="I169" s="2" t="str">
        <f>IF(Names!$B169="M","his",IF(Names!$B169="F","her","their"))</f>
        <v>his</v>
      </c>
    </row>
    <row r="170" ht="14.25" customHeight="1">
      <c r="A170" s="2">
        <v>169.0</v>
      </c>
      <c r="B170" s="2" t="s">
        <v>26</v>
      </c>
      <c r="C170" s="2" t="s">
        <v>390</v>
      </c>
      <c r="D170" s="2" t="s">
        <v>391</v>
      </c>
      <c r="E170" s="2" t="s">
        <v>392</v>
      </c>
      <c r="F170" s="2" t="str">
        <f>IF(Names!$B170="M","Mr.",IF(Names!$B170="F","Ms.","Mx."))</f>
        <v>Mr.</v>
      </c>
      <c r="G170" s="2" t="str">
        <f>IF(Names!$B170="M","he",IF(Names!$B170="F","she","they"))</f>
        <v>he</v>
      </c>
      <c r="H170" s="2" t="str">
        <f>IF(Names!$B170="M","him",IF(Names!$B170="F","her","them"))</f>
        <v>him</v>
      </c>
      <c r="I170" s="2" t="str">
        <f>IF(Names!$B170="M","his",IF(Names!$B170="F","her","their"))</f>
        <v>his</v>
      </c>
    </row>
    <row r="171" ht="14.25" customHeight="1">
      <c r="A171" s="2">
        <v>170.0</v>
      </c>
      <c r="B171" s="2" t="s">
        <v>26</v>
      </c>
      <c r="C171" s="2" t="s">
        <v>393</v>
      </c>
      <c r="D171" s="2" t="s">
        <v>394</v>
      </c>
      <c r="E171" s="2" t="s">
        <v>395</v>
      </c>
      <c r="F171" s="2" t="str">
        <f>IF(Names!$B171="M","Mr.",IF(Names!$B171="F","Ms.","Mx."))</f>
        <v>Mr.</v>
      </c>
      <c r="G171" s="2" t="str">
        <f>IF(Names!$B171="M","he",IF(Names!$B171="F","she","they"))</f>
        <v>he</v>
      </c>
      <c r="H171" s="2" t="str">
        <f>IF(Names!$B171="M","him",IF(Names!$B171="F","her","them"))</f>
        <v>him</v>
      </c>
      <c r="I171" s="2" t="str">
        <f>IF(Names!$B171="M","his",IF(Names!$B171="F","her","their"))</f>
        <v>his</v>
      </c>
    </row>
    <row r="172" ht="14.25" customHeight="1">
      <c r="A172" s="2">
        <v>171.0</v>
      </c>
      <c r="B172" s="2" t="s">
        <v>26</v>
      </c>
      <c r="C172" s="2" t="s">
        <v>396</v>
      </c>
      <c r="D172" s="2" t="s">
        <v>397</v>
      </c>
      <c r="E172" s="2" t="s">
        <v>398</v>
      </c>
      <c r="F172" s="2" t="str">
        <f>IF(Names!$B172="M","Mr.",IF(Names!$B172="F","Ms.","Mx."))</f>
        <v>Mr.</v>
      </c>
      <c r="G172" s="2" t="str">
        <f>IF(Names!$B172="M","he",IF(Names!$B172="F","she","they"))</f>
        <v>he</v>
      </c>
      <c r="H172" s="2" t="str">
        <f>IF(Names!$B172="M","him",IF(Names!$B172="F","her","them"))</f>
        <v>him</v>
      </c>
      <c r="I172" s="2" t="str">
        <f>IF(Names!$B172="M","his",IF(Names!$B172="F","her","their"))</f>
        <v>his</v>
      </c>
    </row>
    <row r="173" ht="14.25" customHeight="1">
      <c r="A173" s="2">
        <v>172.0</v>
      </c>
      <c r="B173" s="2" t="s">
        <v>26</v>
      </c>
      <c r="C173" s="2" t="s">
        <v>399</v>
      </c>
      <c r="D173" s="2" t="s">
        <v>400</v>
      </c>
      <c r="E173" s="2" t="s">
        <v>401</v>
      </c>
      <c r="F173" s="2" t="str">
        <f>IF(Names!$B173="M","Mr.",IF(Names!$B173="F","Ms.","Mx."))</f>
        <v>Mr.</v>
      </c>
      <c r="G173" s="2" t="str">
        <f>IF(Names!$B173="M","he",IF(Names!$B173="F","she","they"))</f>
        <v>he</v>
      </c>
      <c r="H173" s="2" t="str">
        <f>IF(Names!$B173="M","him",IF(Names!$B173="F","her","them"))</f>
        <v>him</v>
      </c>
      <c r="I173" s="2" t="str">
        <f>IF(Names!$B173="M","his",IF(Names!$B173="F","her","their"))</f>
        <v>his</v>
      </c>
    </row>
    <row r="174" ht="14.25" customHeight="1">
      <c r="A174" s="2">
        <v>173.0</v>
      </c>
      <c r="B174" s="2" t="s">
        <v>26</v>
      </c>
      <c r="C174" s="2" t="s">
        <v>402</v>
      </c>
      <c r="D174" s="2" t="s">
        <v>403</v>
      </c>
      <c r="E174" s="2" t="s">
        <v>404</v>
      </c>
      <c r="F174" s="2" t="str">
        <f>IF(Names!$B174="M","Mr.",IF(Names!$B174="F","Ms.","Mx."))</f>
        <v>Mr.</v>
      </c>
      <c r="G174" s="2" t="str">
        <f>IF(Names!$B174="M","he",IF(Names!$B174="F","she","they"))</f>
        <v>he</v>
      </c>
      <c r="H174" s="2" t="str">
        <f>IF(Names!$B174="M","him",IF(Names!$B174="F","her","them"))</f>
        <v>him</v>
      </c>
      <c r="I174" s="2" t="str">
        <f>IF(Names!$B174="M","his",IF(Names!$B174="F","her","their"))</f>
        <v>his</v>
      </c>
    </row>
    <row r="175" ht="14.25" customHeight="1">
      <c r="A175" s="2">
        <v>174.0</v>
      </c>
      <c r="B175" s="2" t="s">
        <v>26</v>
      </c>
      <c r="C175" s="2" t="s">
        <v>405</v>
      </c>
      <c r="D175" s="2" t="s">
        <v>406</v>
      </c>
      <c r="E175" s="2" t="s">
        <v>407</v>
      </c>
      <c r="F175" s="2" t="str">
        <f>IF(Names!$B175="M","Mr.",IF(Names!$B175="F","Ms.","Mx."))</f>
        <v>Mr.</v>
      </c>
      <c r="G175" s="2" t="str">
        <f>IF(Names!$B175="M","he",IF(Names!$B175="F","she","they"))</f>
        <v>he</v>
      </c>
      <c r="H175" s="2" t="str">
        <f>IF(Names!$B175="M","him",IF(Names!$B175="F","her","them"))</f>
        <v>him</v>
      </c>
      <c r="I175" s="2" t="str">
        <f>IF(Names!$B175="M","his",IF(Names!$B175="F","her","their"))</f>
        <v>his</v>
      </c>
    </row>
    <row r="176" ht="14.25" customHeight="1">
      <c r="A176" s="2">
        <v>175.0</v>
      </c>
      <c r="B176" s="2" t="s">
        <v>26</v>
      </c>
      <c r="C176" s="2" t="s">
        <v>408</v>
      </c>
      <c r="D176" s="2" t="s">
        <v>409</v>
      </c>
      <c r="E176" s="2" t="s">
        <v>410</v>
      </c>
      <c r="F176" s="2" t="str">
        <f>IF(Names!$B176="M","Mr.",IF(Names!$B176="F","Ms.","Mx."))</f>
        <v>Mr.</v>
      </c>
      <c r="G176" s="2" t="str">
        <f>IF(Names!$B176="M","he",IF(Names!$B176="F","she","they"))</f>
        <v>he</v>
      </c>
      <c r="H176" s="2" t="str">
        <f>IF(Names!$B176="M","him",IF(Names!$B176="F","her","them"))</f>
        <v>him</v>
      </c>
      <c r="I176" s="2" t="str">
        <f>IF(Names!$B176="M","his",IF(Names!$B176="F","her","their"))</f>
        <v>his</v>
      </c>
    </row>
    <row r="177" ht="14.25" customHeight="1">
      <c r="A177" s="2">
        <v>176.0</v>
      </c>
      <c r="B177" s="2" t="s">
        <v>26</v>
      </c>
      <c r="C177" s="2" t="s">
        <v>411</v>
      </c>
      <c r="D177" s="2" t="s">
        <v>412</v>
      </c>
      <c r="E177" s="2" t="s">
        <v>413</v>
      </c>
      <c r="F177" s="2" t="str">
        <f>IF(Names!$B177="M","Mr.",IF(Names!$B177="F","Ms.","Mx."))</f>
        <v>Mr.</v>
      </c>
      <c r="G177" s="2" t="str">
        <f>IF(Names!$B177="M","he",IF(Names!$B177="F","she","they"))</f>
        <v>he</v>
      </c>
      <c r="H177" s="2" t="str">
        <f>IF(Names!$B177="M","him",IF(Names!$B177="F","her","them"))</f>
        <v>him</v>
      </c>
      <c r="I177" s="2" t="str">
        <f>IF(Names!$B177="M","his",IF(Names!$B177="F","her","their"))</f>
        <v>his</v>
      </c>
    </row>
    <row r="178" ht="14.25" customHeight="1">
      <c r="A178" s="2">
        <v>177.0</v>
      </c>
      <c r="B178" s="2" t="s">
        <v>26</v>
      </c>
      <c r="C178" s="2" t="s">
        <v>414</v>
      </c>
      <c r="D178" s="2" t="s">
        <v>415</v>
      </c>
      <c r="E178" s="2" t="s">
        <v>416</v>
      </c>
      <c r="F178" s="2" t="str">
        <f>IF(Names!$B178="M","Mr.",IF(Names!$B178="F","Ms.","Mx."))</f>
        <v>Mr.</v>
      </c>
      <c r="G178" s="2" t="str">
        <f>IF(Names!$B178="M","he",IF(Names!$B178="F","she","they"))</f>
        <v>he</v>
      </c>
      <c r="H178" s="2" t="str">
        <f>IF(Names!$B178="M","him",IF(Names!$B178="F","her","them"))</f>
        <v>him</v>
      </c>
      <c r="I178" s="2" t="str">
        <f>IF(Names!$B178="M","his",IF(Names!$B178="F","her","their"))</f>
        <v>his</v>
      </c>
    </row>
    <row r="179" ht="14.25" customHeight="1">
      <c r="A179" s="2">
        <v>178.0</v>
      </c>
      <c r="B179" s="2" t="s">
        <v>26</v>
      </c>
      <c r="C179" s="2" t="s">
        <v>417</v>
      </c>
      <c r="D179" s="2" t="s">
        <v>418</v>
      </c>
      <c r="E179" s="2" t="s">
        <v>419</v>
      </c>
      <c r="F179" s="2" t="str">
        <f>IF(Names!$B179="M","Mr.",IF(Names!$B179="F","Ms.","Mx."))</f>
        <v>Mr.</v>
      </c>
      <c r="G179" s="2" t="str">
        <f>IF(Names!$B179="M","he",IF(Names!$B179="F","she","they"))</f>
        <v>he</v>
      </c>
      <c r="H179" s="2" t="str">
        <f>IF(Names!$B179="M","him",IF(Names!$B179="F","her","them"))</f>
        <v>him</v>
      </c>
      <c r="I179" s="2" t="str">
        <f>IF(Names!$B179="M","his",IF(Names!$B179="F","her","their"))</f>
        <v>his</v>
      </c>
    </row>
    <row r="180" ht="14.25" customHeight="1">
      <c r="A180" s="2">
        <v>179.0</v>
      </c>
      <c r="B180" s="2" t="s">
        <v>26</v>
      </c>
      <c r="C180" s="2" t="s">
        <v>420</v>
      </c>
      <c r="D180" s="2" t="s">
        <v>421</v>
      </c>
      <c r="E180" s="2" t="s">
        <v>422</v>
      </c>
      <c r="F180" s="2" t="str">
        <f>IF(Names!$B180="M","Mr.",IF(Names!$B180="F","Ms.","Mx."))</f>
        <v>Mr.</v>
      </c>
      <c r="G180" s="2" t="str">
        <f>IF(Names!$B180="M","he",IF(Names!$B180="F","she","they"))</f>
        <v>he</v>
      </c>
      <c r="H180" s="2" t="str">
        <f>IF(Names!$B180="M","him",IF(Names!$B180="F","her","them"))</f>
        <v>him</v>
      </c>
      <c r="I180" s="2" t="str">
        <f>IF(Names!$B180="M","his",IF(Names!$B180="F","her","their"))</f>
        <v>his</v>
      </c>
    </row>
    <row r="181" ht="14.25" customHeight="1">
      <c r="A181" s="2">
        <v>180.0</v>
      </c>
      <c r="B181" s="2" t="s">
        <v>26</v>
      </c>
      <c r="C181" s="2" t="s">
        <v>423</v>
      </c>
      <c r="D181" s="2" t="s">
        <v>424</v>
      </c>
      <c r="E181" s="2" t="s">
        <v>425</v>
      </c>
      <c r="F181" s="2" t="str">
        <f>IF(Names!$B181="M","Mr.",IF(Names!$B181="F","Ms.","Mx."))</f>
        <v>Mr.</v>
      </c>
      <c r="G181" s="2" t="str">
        <f>IF(Names!$B181="M","he",IF(Names!$B181="F","she","they"))</f>
        <v>he</v>
      </c>
      <c r="H181" s="2" t="str">
        <f>IF(Names!$B181="M","him",IF(Names!$B181="F","her","them"))</f>
        <v>him</v>
      </c>
      <c r="I181" s="2" t="str">
        <f>IF(Names!$B181="M","his",IF(Names!$B181="F","her","their"))</f>
        <v>his</v>
      </c>
    </row>
    <row r="182" ht="14.25" customHeight="1">
      <c r="A182" s="2">
        <v>181.0</v>
      </c>
      <c r="B182" s="2" t="s">
        <v>26</v>
      </c>
      <c r="C182" s="2" t="s">
        <v>426</v>
      </c>
      <c r="D182" s="2" t="s">
        <v>427</v>
      </c>
      <c r="E182" s="2" t="s">
        <v>428</v>
      </c>
      <c r="F182" s="2" t="str">
        <f>IF(Names!$B182="M","Mr.",IF(Names!$B182="F","Ms.","Mx."))</f>
        <v>Mr.</v>
      </c>
      <c r="G182" s="2" t="str">
        <f>IF(Names!$B182="M","he",IF(Names!$B182="F","she","they"))</f>
        <v>he</v>
      </c>
      <c r="H182" s="2" t="str">
        <f>IF(Names!$B182="M","him",IF(Names!$B182="F","her","them"))</f>
        <v>him</v>
      </c>
      <c r="I182" s="2" t="str">
        <f>IF(Names!$B182="M","his",IF(Names!$B182="F","her","their"))</f>
        <v>his</v>
      </c>
    </row>
    <row r="183" ht="14.25" customHeight="1">
      <c r="A183" s="2">
        <v>182.0</v>
      </c>
      <c r="B183" s="2" t="s">
        <v>26</v>
      </c>
      <c r="C183" s="2" t="s">
        <v>429</v>
      </c>
      <c r="D183" s="2" t="s">
        <v>430</v>
      </c>
      <c r="E183" s="2" t="s">
        <v>431</v>
      </c>
      <c r="F183" s="2" t="str">
        <f>IF(Names!$B183="M","Mr.",IF(Names!$B183="F","Ms.","Mx."))</f>
        <v>Mr.</v>
      </c>
      <c r="G183" s="2" t="str">
        <f>IF(Names!$B183="M","he",IF(Names!$B183="F","she","they"))</f>
        <v>he</v>
      </c>
      <c r="H183" s="2" t="str">
        <f>IF(Names!$B183="M","him",IF(Names!$B183="F","her","them"))</f>
        <v>him</v>
      </c>
      <c r="I183" s="2" t="str">
        <f>IF(Names!$B183="M","his",IF(Names!$B183="F","her","their"))</f>
        <v>his</v>
      </c>
    </row>
    <row r="184" ht="14.25" customHeight="1">
      <c r="A184" s="2">
        <v>183.0</v>
      </c>
      <c r="B184" s="2" t="s">
        <v>26</v>
      </c>
      <c r="C184" s="2" t="s">
        <v>432</v>
      </c>
      <c r="D184" s="2" t="s">
        <v>433</v>
      </c>
      <c r="E184" s="2" t="s">
        <v>434</v>
      </c>
      <c r="F184" s="2" t="str">
        <f>IF(Names!$B184="M","Mr.",IF(Names!$B184="F","Ms.","Mx."))</f>
        <v>Mr.</v>
      </c>
      <c r="G184" s="2" t="str">
        <f>IF(Names!$B184="M","he",IF(Names!$B184="F","she","they"))</f>
        <v>he</v>
      </c>
      <c r="H184" s="2" t="str">
        <f>IF(Names!$B184="M","him",IF(Names!$B184="F","her","them"))</f>
        <v>him</v>
      </c>
      <c r="I184" s="2" t="str">
        <f>IF(Names!$B184="M","his",IF(Names!$B184="F","her","their"))</f>
        <v>his</v>
      </c>
    </row>
    <row r="185" ht="14.25" customHeight="1">
      <c r="A185" s="2">
        <v>184.0</v>
      </c>
      <c r="B185" s="2" t="s">
        <v>26</v>
      </c>
      <c r="C185" s="2" t="s">
        <v>435</v>
      </c>
      <c r="D185" s="2" t="s">
        <v>436</v>
      </c>
      <c r="E185" s="2" t="s">
        <v>74</v>
      </c>
      <c r="F185" s="2" t="str">
        <f>IF(Names!$B185="M","Mr.",IF(Names!$B185="F","Ms.","Mx."))</f>
        <v>Mr.</v>
      </c>
      <c r="G185" s="2" t="str">
        <f>IF(Names!$B185="M","he",IF(Names!$B185="F","she","they"))</f>
        <v>he</v>
      </c>
      <c r="H185" s="2" t="str">
        <f>IF(Names!$B185="M","him",IF(Names!$B185="F","her","them"))</f>
        <v>him</v>
      </c>
      <c r="I185" s="2" t="str">
        <f>IF(Names!$B185="M","his",IF(Names!$B185="F","her","their"))</f>
        <v>his</v>
      </c>
    </row>
    <row r="186" ht="14.25" customHeight="1">
      <c r="A186" s="2">
        <v>185.0</v>
      </c>
      <c r="B186" s="2" t="s">
        <v>26</v>
      </c>
      <c r="C186" s="2" t="s">
        <v>437</v>
      </c>
      <c r="D186" s="2" t="s">
        <v>161</v>
      </c>
      <c r="E186" s="2" t="s">
        <v>438</v>
      </c>
      <c r="F186" s="2" t="str">
        <f>IF(Names!$B186="M","Mr.",IF(Names!$B186="F","Ms.","Mx."))</f>
        <v>Mr.</v>
      </c>
      <c r="G186" s="2" t="str">
        <f>IF(Names!$B186="M","he",IF(Names!$B186="F","she","they"))</f>
        <v>he</v>
      </c>
      <c r="H186" s="2" t="str">
        <f>IF(Names!$B186="M","him",IF(Names!$B186="F","her","them"))</f>
        <v>him</v>
      </c>
      <c r="I186" s="2" t="str">
        <f>IF(Names!$B186="M","his",IF(Names!$B186="F","her","their"))</f>
        <v>his</v>
      </c>
    </row>
    <row r="187" ht="14.25" customHeight="1">
      <c r="A187" s="2">
        <v>186.0</v>
      </c>
      <c r="B187" s="2" t="s">
        <v>26</v>
      </c>
      <c r="C187" s="2" t="s">
        <v>439</v>
      </c>
      <c r="D187" s="2" t="s">
        <v>440</v>
      </c>
      <c r="E187" s="2" t="s">
        <v>441</v>
      </c>
      <c r="F187" s="2" t="str">
        <f>IF(Names!$B187="M","Mr.",IF(Names!$B187="F","Ms.","Mx."))</f>
        <v>Mr.</v>
      </c>
      <c r="G187" s="2" t="str">
        <f>IF(Names!$B187="M","he",IF(Names!$B187="F","she","they"))</f>
        <v>he</v>
      </c>
      <c r="H187" s="2" t="str">
        <f>IF(Names!$B187="M","him",IF(Names!$B187="F","her","them"))</f>
        <v>him</v>
      </c>
      <c r="I187" s="2" t="str">
        <f>IF(Names!$B187="M","his",IF(Names!$B187="F","her","their"))</f>
        <v>his</v>
      </c>
    </row>
    <row r="188" ht="14.25" customHeight="1">
      <c r="A188" s="2">
        <v>187.0</v>
      </c>
      <c r="B188" s="2" t="s">
        <v>26</v>
      </c>
      <c r="C188" s="2" t="s">
        <v>442</v>
      </c>
      <c r="D188" s="2" t="s">
        <v>443</v>
      </c>
      <c r="E188" s="2" t="s">
        <v>444</v>
      </c>
      <c r="F188" s="2" t="str">
        <f>IF(Names!$B188="M","Mr.",IF(Names!$B188="F","Ms.","Mx."))</f>
        <v>Mr.</v>
      </c>
      <c r="G188" s="2" t="str">
        <f>IF(Names!$B188="M","he",IF(Names!$B188="F","she","they"))</f>
        <v>he</v>
      </c>
      <c r="H188" s="2" t="str">
        <f>IF(Names!$B188="M","him",IF(Names!$B188="F","her","them"))</f>
        <v>him</v>
      </c>
      <c r="I188" s="2" t="str">
        <f>IF(Names!$B188="M","his",IF(Names!$B188="F","her","their"))</f>
        <v>his</v>
      </c>
    </row>
    <row r="189" ht="14.25" customHeight="1">
      <c r="A189" s="2">
        <v>188.0</v>
      </c>
      <c r="B189" s="2" t="s">
        <v>26</v>
      </c>
      <c r="C189" s="2" t="s">
        <v>445</v>
      </c>
      <c r="D189" s="2" t="s">
        <v>446</v>
      </c>
      <c r="E189" s="2" t="s">
        <v>422</v>
      </c>
      <c r="F189" s="2" t="str">
        <f>IF(Names!$B189="M","Mr.",IF(Names!$B189="F","Ms.","Mx."))</f>
        <v>Mr.</v>
      </c>
      <c r="G189" s="2" t="str">
        <f>IF(Names!$B189="M","he",IF(Names!$B189="F","she","they"))</f>
        <v>he</v>
      </c>
      <c r="H189" s="2" t="str">
        <f>IF(Names!$B189="M","him",IF(Names!$B189="F","her","them"))</f>
        <v>him</v>
      </c>
      <c r="I189" s="2" t="str">
        <f>IF(Names!$B189="M","his",IF(Names!$B189="F","her","their"))</f>
        <v>his</v>
      </c>
    </row>
    <row r="190" ht="14.25" customHeight="1">
      <c r="A190" s="2">
        <v>189.0</v>
      </c>
      <c r="B190" s="2" t="s">
        <v>447</v>
      </c>
      <c r="C190" s="2" t="s">
        <v>448</v>
      </c>
      <c r="D190" s="2" t="s">
        <v>449</v>
      </c>
      <c r="E190" s="2" t="s">
        <v>450</v>
      </c>
      <c r="F190" s="2" t="str">
        <f>IF(Names!$B190="M","Mr.",IF(Names!$B190="F","Ms.","Mx."))</f>
        <v>Ms.</v>
      </c>
      <c r="G190" s="2" t="str">
        <f>IF(Names!$B190="M","he",IF(Names!$B190="F","she","they"))</f>
        <v>she</v>
      </c>
      <c r="H190" s="2" t="str">
        <f>IF(Names!$B190="M","him",IF(Names!$B190="F","her","them"))</f>
        <v>her</v>
      </c>
      <c r="I190" s="2" t="str">
        <f>IF(Names!$B190="M","his",IF(Names!$B190="F","her","their"))</f>
        <v>her</v>
      </c>
    </row>
    <row r="191" ht="14.25" customHeight="1">
      <c r="A191" s="2">
        <v>190.0</v>
      </c>
      <c r="B191" s="2" t="s">
        <v>447</v>
      </c>
      <c r="C191" s="2" t="s">
        <v>451</v>
      </c>
      <c r="D191" s="2" t="s">
        <v>452</v>
      </c>
      <c r="E191" s="2" t="s">
        <v>453</v>
      </c>
      <c r="F191" s="2" t="str">
        <f>IF(Names!$B191="M","Mr.",IF(Names!$B191="F","Ms.","Mx."))</f>
        <v>Ms.</v>
      </c>
      <c r="G191" s="2" t="str">
        <f>IF(Names!$B191="M","he",IF(Names!$B191="F","she","they"))</f>
        <v>she</v>
      </c>
      <c r="H191" s="2" t="str">
        <f>IF(Names!$B191="M","him",IF(Names!$B191="F","her","them"))</f>
        <v>her</v>
      </c>
      <c r="I191" s="2" t="str">
        <f>IF(Names!$B191="M","his",IF(Names!$B191="F","her","their"))</f>
        <v>her</v>
      </c>
    </row>
    <row r="192" ht="14.25" customHeight="1">
      <c r="A192" s="2">
        <v>191.0</v>
      </c>
      <c r="B192" s="2" t="s">
        <v>447</v>
      </c>
      <c r="C192" s="2" t="s">
        <v>454</v>
      </c>
      <c r="D192" s="2" t="s">
        <v>29</v>
      </c>
      <c r="E192" s="2" t="s">
        <v>455</v>
      </c>
      <c r="F192" s="2" t="str">
        <f>IF(Names!$B192="M","Mr.",IF(Names!$B192="F","Ms.","Mx."))</f>
        <v>Ms.</v>
      </c>
      <c r="G192" s="2" t="str">
        <f>IF(Names!$B192="M","he",IF(Names!$B192="F","she","they"))</f>
        <v>she</v>
      </c>
      <c r="H192" s="2" t="str">
        <f>IF(Names!$B192="M","him",IF(Names!$B192="F","her","them"))</f>
        <v>her</v>
      </c>
      <c r="I192" s="2" t="str">
        <f>IF(Names!$B192="M","his",IF(Names!$B192="F","her","their"))</f>
        <v>her</v>
      </c>
    </row>
    <row r="193" ht="14.25" customHeight="1">
      <c r="A193" s="2">
        <v>192.0</v>
      </c>
      <c r="B193" s="2" t="s">
        <v>447</v>
      </c>
      <c r="C193" s="2" t="s">
        <v>456</v>
      </c>
      <c r="D193" s="2" t="s">
        <v>457</v>
      </c>
      <c r="E193" s="2" t="s">
        <v>458</v>
      </c>
      <c r="F193" s="2" t="str">
        <f>IF(Names!$B193="M","Mr.",IF(Names!$B193="F","Ms.","Mx."))</f>
        <v>Ms.</v>
      </c>
      <c r="G193" s="2" t="str">
        <f>IF(Names!$B193="M","he",IF(Names!$B193="F","she","they"))</f>
        <v>she</v>
      </c>
      <c r="H193" s="2" t="str">
        <f>IF(Names!$B193="M","him",IF(Names!$B193="F","her","them"))</f>
        <v>her</v>
      </c>
      <c r="I193" s="2" t="str">
        <f>IF(Names!$B193="M","his",IF(Names!$B193="F","her","their"))</f>
        <v>her</v>
      </c>
    </row>
    <row r="194" ht="14.25" customHeight="1">
      <c r="A194" s="2">
        <v>193.0</v>
      </c>
      <c r="B194" s="2" t="s">
        <v>447</v>
      </c>
      <c r="C194" s="2" t="s">
        <v>459</v>
      </c>
      <c r="D194" s="2" t="s">
        <v>460</v>
      </c>
      <c r="E194" s="2" t="s">
        <v>461</v>
      </c>
      <c r="F194" s="2" t="str">
        <f>IF(Names!$B194="M","Mr.",IF(Names!$B194="F","Ms.","Mx."))</f>
        <v>Ms.</v>
      </c>
      <c r="G194" s="2" t="str">
        <f>IF(Names!$B194="M","he",IF(Names!$B194="F","she","they"))</f>
        <v>she</v>
      </c>
      <c r="H194" s="2" t="str">
        <f>IF(Names!$B194="M","him",IF(Names!$B194="F","her","them"))</f>
        <v>her</v>
      </c>
      <c r="I194" s="2" t="str">
        <f>IF(Names!$B194="M","his",IF(Names!$B194="F","her","their"))</f>
        <v>her</v>
      </c>
    </row>
    <row r="195" ht="14.25" customHeight="1">
      <c r="A195" s="2">
        <v>194.0</v>
      </c>
      <c r="B195" s="2" t="s">
        <v>447</v>
      </c>
      <c r="C195" s="2" t="s">
        <v>462</v>
      </c>
      <c r="D195" s="2" t="s">
        <v>463</v>
      </c>
      <c r="E195" s="2" t="s">
        <v>458</v>
      </c>
      <c r="F195" s="2" t="str">
        <f>IF(Names!$B195="M","Mr.",IF(Names!$B195="F","Ms.","Mx."))</f>
        <v>Ms.</v>
      </c>
      <c r="G195" s="2" t="str">
        <f>IF(Names!$B195="M","he",IF(Names!$B195="F","she","they"))</f>
        <v>she</v>
      </c>
      <c r="H195" s="2" t="str">
        <f>IF(Names!$B195="M","him",IF(Names!$B195="F","her","them"))</f>
        <v>her</v>
      </c>
      <c r="I195" s="2" t="str">
        <f>IF(Names!$B195="M","his",IF(Names!$B195="F","her","their"))</f>
        <v>her</v>
      </c>
    </row>
    <row r="196" ht="14.25" customHeight="1">
      <c r="A196" s="2">
        <v>195.0</v>
      </c>
      <c r="B196" s="2" t="s">
        <v>447</v>
      </c>
      <c r="C196" s="2" t="s">
        <v>464</v>
      </c>
      <c r="D196" s="2" t="s">
        <v>465</v>
      </c>
      <c r="E196" s="2" t="s">
        <v>466</v>
      </c>
      <c r="F196" s="2" t="str">
        <f>IF(Names!$B196="M","Mr.",IF(Names!$B196="F","Ms.","Mx."))</f>
        <v>Ms.</v>
      </c>
      <c r="G196" s="2" t="str">
        <f>IF(Names!$B196="M","he",IF(Names!$B196="F","she","they"))</f>
        <v>she</v>
      </c>
      <c r="H196" s="2" t="str">
        <f>IF(Names!$B196="M","him",IF(Names!$B196="F","her","them"))</f>
        <v>her</v>
      </c>
      <c r="I196" s="2" t="str">
        <f>IF(Names!$B196="M","his",IF(Names!$B196="F","her","their"))</f>
        <v>her</v>
      </c>
    </row>
    <row r="197" ht="14.25" customHeight="1">
      <c r="A197" s="2">
        <v>196.0</v>
      </c>
      <c r="B197" s="2" t="s">
        <v>447</v>
      </c>
      <c r="C197" s="2" t="s">
        <v>467</v>
      </c>
      <c r="D197" s="2" t="s">
        <v>468</v>
      </c>
      <c r="E197" s="2" t="s">
        <v>469</v>
      </c>
      <c r="F197" s="2" t="str">
        <f>IF(Names!$B197="M","Mr.",IF(Names!$B197="F","Ms.","Mx."))</f>
        <v>Ms.</v>
      </c>
      <c r="G197" s="2" t="str">
        <f>IF(Names!$B197="M","he",IF(Names!$B197="F","she","they"))</f>
        <v>she</v>
      </c>
      <c r="H197" s="2" t="str">
        <f>IF(Names!$B197="M","him",IF(Names!$B197="F","her","them"))</f>
        <v>her</v>
      </c>
      <c r="I197" s="2" t="str">
        <f>IF(Names!$B197="M","his",IF(Names!$B197="F","her","their"))</f>
        <v>her</v>
      </c>
    </row>
    <row r="198" ht="14.25" customHeight="1">
      <c r="A198" s="2">
        <v>197.0</v>
      </c>
      <c r="B198" s="2" t="s">
        <v>447</v>
      </c>
      <c r="C198" s="2" t="s">
        <v>470</v>
      </c>
      <c r="D198" s="2" t="s">
        <v>471</v>
      </c>
      <c r="E198" s="2" t="s">
        <v>472</v>
      </c>
      <c r="F198" s="2" t="str">
        <f>IF(Names!$B198="M","Mr.",IF(Names!$B198="F","Ms.","Mx."))</f>
        <v>Ms.</v>
      </c>
      <c r="G198" s="2" t="str">
        <f>IF(Names!$B198="M","he",IF(Names!$B198="F","she","they"))</f>
        <v>she</v>
      </c>
      <c r="H198" s="2" t="str">
        <f>IF(Names!$B198="M","him",IF(Names!$B198="F","her","them"))</f>
        <v>her</v>
      </c>
      <c r="I198" s="2" t="str">
        <f>IF(Names!$B198="M","his",IF(Names!$B198="F","her","their"))</f>
        <v>her</v>
      </c>
    </row>
    <row r="199" ht="14.25" customHeight="1">
      <c r="A199" s="2">
        <v>198.0</v>
      </c>
      <c r="B199" s="2" t="s">
        <v>447</v>
      </c>
      <c r="C199" s="2" t="s">
        <v>473</v>
      </c>
      <c r="D199" s="2" t="s">
        <v>474</v>
      </c>
      <c r="E199" s="2" t="s">
        <v>475</v>
      </c>
      <c r="F199" s="2" t="str">
        <f>IF(Names!$B199="M","Mr.",IF(Names!$B199="F","Ms.","Mx."))</f>
        <v>Ms.</v>
      </c>
      <c r="G199" s="2" t="str">
        <f>IF(Names!$B199="M","he",IF(Names!$B199="F","she","they"))</f>
        <v>she</v>
      </c>
      <c r="H199" s="2" t="str">
        <f>IF(Names!$B199="M","him",IF(Names!$B199="F","her","them"))</f>
        <v>her</v>
      </c>
      <c r="I199" s="2" t="str">
        <f>IF(Names!$B199="M","his",IF(Names!$B199="F","her","their"))</f>
        <v>her</v>
      </c>
    </row>
    <row r="200" ht="14.25" customHeight="1">
      <c r="A200" s="2">
        <v>199.0</v>
      </c>
      <c r="B200" s="2" t="s">
        <v>447</v>
      </c>
      <c r="C200" s="2" t="s">
        <v>476</v>
      </c>
      <c r="D200" s="2" t="s">
        <v>477</v>
      </c>
      <c r="E200" s="2" t="s">
        <v>478</v>
      </c>
      <c r="F200" s="2" t="str">
        <f>IF(Names!$B200="M","Mr.",IF(Names!$B200="F","Ms.","Mx."))</f>
        <v>Ms.</v>
      </c>
      <c r="G200" s="2" t="str">
        <f>IF(Names!$B200="M","he",IF(Names!$B200="F","she","they"))</f>
        <v>she</v>
      </c>
      <c r="H200" s="2" t="str">
        <f>IF(Names!$B200="M","him",IF(Names!$B200="F","her","them"))</f>
        <v>her</v>
      </c>
      <c r="I200" s="2" t="str">
        <f>IF(Names!$B200="M","his",IF(Names!$B200="F","her","their"))</f>
        <v>her</v>
      </c>
    </row>
    <row r="201" ht="14.25" customHeight="1">
      <c r="A201" s="2">
        <v>200.0</v>
      </c>
      <c r="B201" s="2" t="s">
        <v>447</v>
      </c>
      <c r="C201" s="2" t="s">
        <v>479</v>
      </c>
      <c r="D201" s="2" t="s">
        <v>460</v>
      </c>
      <c r="E201" s="2" t="s">
        <v>480</v>
      </c>
      <c r="F201" s="2" t="str">
        <f>IF(Names!$B201="M","Mr.",IF(Names!$B201="F","Ms.","Mx."))</f>
        <v>Ms.</v>
      </c>
      <c r="G201" s="2" t="str">
        <f>IF(Names!$B201="M","he",IF(Names!$B201="F","she","they"))</f>
        <v>she</v>
      </c>
      <c r="H201" s="2" t="str">
        <f>IF(Names!$B201="M","him",IF(Names!$B201="F","her","them"))</f>
        <v>her</v>
      </c>
      <c r="I201" s="2" t="str">
        <f>IF(Names!$B201="M","his",IF(Names!$B201="F","her","their"))</f>
        <v>her</v>
      </c>
    </row>
    <row r="202" ht="14.25" customHeight="1">
      <c r="A202" s="2">
        <v>201.0</v>
      </c>
      <c r="B202" s="2" t="s">
        <v>447</v>
      </c>
      <c r="C202" s="2" t="s">
        <v>481</v>
      </c>
      <c r="D202" s="2" t="s">
        <v>482</v>
      </c>
      <c r="E202" s="2" t="s">
        <v>483</v>
      </c>
      <c r="F202" s="2" t="str">
        <f>IF(Names!$B202="M","Mr.",IF(Names!$B202="F","Ms.","Mx."))</f>
        <v>Ms.</v>
      </c>
      <c r="G202" s="2" t="str">
        <f>IF(Names!$B202="M","he",IF(Names!$B202="F","she","they"))</f>
        <v>she</v>
      </c>
      <c r="H202" s="2" t="str">
        <f>IF(Names!$B202="M","him",IF(Names!$B202="F","her","them"))</f>
        <v>her</v>
      </c>
      <c r="I202" s="2" t="str">
        <f>IF(Names!$B202="M","his",IF(Names!$B202="F","her","their"))</f>
        <v>her</v>
      </c>
    </row>
    <row r="203" ht="14.25" customHeight="1">
      <c r="A203" s="2">
        <v>202.0</v>
      </c>
      <c r="B203" s="2" t="s">
        <v>447</v>
      </c>
      <c r="C203" s="2" t="s">
        <v>484</v>
      </c>
      <c r="D203" s="2" t="s">
        <v>485</v>
      </c>
      <c r="E203" s="2" t="s">
        <v>486</v>
      </c>
      <c r="F203" s="2" t="str">
        <f>IF(Names!$B203="M","Mr.",IF(Names!$B203="F","Ms.","Mx."))</f>
        <v>Ms.</v>
      </c>
      <c r="G203" s="2" t="str">
        <f>IF(Names!$B203="M","he",IF(Names!$B203="F","she","they"))</f>
        <v>she</v>
      </c>
      <c r="H203" s="2" t="str">
        <f>IF(Names!$B203="M","him",IF(Names!$B203="F","her","them"))</f>
        <v>her</v>
      </c>
      <c r="I203" s="2" t="str">
        <f>IF(Names!$B203="M","his",IF(Names!$B203="F","her","their"))</f>
        <v>her</v>
      </c>
    </row>
    <row r="204" ht="14.25" customHeight="1">
      <c r="A204" s="2">
        <v>203.0</v>
      </c>
      <c r="B204" s="2" t="s">
        <v>447</v>
      </c>
      <c r="C204" s="2" t="s">
        <v>487</v>
      </c>
      <c r="D204" s="2" t="s">
        <v>488</v>
      </c>
      <c r="E204" s="2" t="s">
        <v>489</v>
      </c>
      <c r="F204" s="2" t="str">
        <f>IF(Names!$B204="M","Mr.",IF(Names!$B204="F","Ms.","Mx."))</f>
        <v>Ms.</v>
      </c>
      <c r="G204" s="2" t="str">
        <f>IF(Names!$B204="M","he",IF(Names!$B204="F","she","they"))</f>
        <v>she</v>
      </c>
      <c r="H204" s="2" t="str">
        <f>IF(Names!$B204="M","him",IF(Names!$B204="F","her","them"))</f>
        <v>her</v>
      </c>
      <c r="I204" s="2" t="str">
        <f>IF(Names!$B204="M","his",IF(Names!$B204="F","her","their"))</f>
        <v>her</v>
      </c>
    </row>
    <row r="205" ht="14.25" customHeight="1">
      <c r="A205" s="2">
        <v>204.0</v>
      </c>
      <c r="B205" s="2" t="s">
        <v>447</v>
      </c>
      <c r="C205" s="2" t="s">
        <v>490</v>
      </c>
      <c r="D205" s="2" t="s">
        <v>491</v>
      </c>
      <c r="E205" s="2" t="s">
        <v>492</v>
      </c>
      <c r="F205" s="2" t="str">
        <f>IF(Names!$B205="M","Mr.",IF(Names!$B205="F","Ms.","Mx."))</f>
        <v>Ms.</v>
      </c>
      <c r="G205" s="2" t="str">
        <f>IF(Names!$B205="M","he",IF(Names!$B205="F","she","they"))</f>
        <v>she</v>
      </c>
      <c r="H205" s="2" t="str">
        <f>IF(Names!$B205="M","him",IF(Names!$B205="F","her","them"))</f>
        <v>her</v>
      </c>
      <c r="I205" s="2" t="str">
        <f>IF(Names!$B205="M","his",IF(Names!$B205="F","her","their"))</f>
        <v>her</v>
      </c>
    </row>
    <row r="206" ht="14.25" customHeight="1">
      <c r="A206" s="2">
        <v>205.0</v>
      </c>
      <c r="B206" s="2" t="s">
        <v>447</v>
      </c>
      <c r="C206" s="2" t="s">
        <v>493</v>
      </c>
      <c r="D206" s="2" t="s">
        <v>494</v>
      </c>
      <c r="E206" s="2" t="s">
        <v>495</v>
      </c>
      <c r="F206" s="2" t="str">
        <f>IF(Names!$B206="M","Mr.",IF(Names!$B206="F","Ms.","Mx."))</f>
        <v>Ms.</v>
      </c>
      <c r="G206" s="2" t="str">
        <f>IF(Names!$B206="M","he",IF(Names!$B206="F","she","they"))</f>
        <v>she</v>
      </c>
      <c r="H206" s="2" t="str">
        <f>IF(Names!$B206="M","him",IF(Names!$B206="F","her","them"))</f>
        <v>her</v>
      </c>
      <c r="I206" s="2" t="str">
        <f>IF(Names!$B206="M","his",IF(Names!$B206="F","her","their"))</f>
        <v>her</v>
      </c>
    </row>
    <row r="207" ht="14.25" customHeight="1">
      <c r="A207" s="2">
        <v>206.0</v>
      </c>
      <c r="B207" s="2" t="s">
        <v>447</v>
      </c>
      <c r="C207" s="2" t="s">
        <v>496</v>
      </c>
      <c r="D207" s="2" t="s">
        <v>497</v>
      </c>
      <c r="E207" s="2" t="s">
        <v>498</v>
      </c>
      <c r="F207" s="2" t="str">
        <f>IF(Names!$B207="M","Mr.",IF(Names!$B207="F","Ms.","Mx."))</f>
        <v>Ms.</v>
      </c>
      <c r="G207" s="2" t="str">
        <f>IF(Names!$B207="M","he",IF(Names!$B207="F","she","they"))</f>
        <v>she</v>
      </c>
      <c r="H207" s="2" t="str">
        <f>IF(Names!$B207="M","him",IF(Names!$B207="F","her","them"))</f>
        <v>her</v>
      </c>
      <c r="I207" s="2" t="str">
        <f>IF(Names!$B207="M","his",IF(Names!$B207="F","her","their"))</f>
        <v>her</v>
      </c>
    </row>
    <row r="208" ht="14.25" customHeight="1">
      <c r="A208" s="2">
        <v>207.0</v>
      </c>
      <c r="B208" s="2" t="s">
        <v>447</v>
      </c>
      <c r="C208" s="2" t="s">
        <v>499</v>
      </c>
      <c r="D208" s="2" t="s">
        <v>500</v>
      </c>
      <c r="E208" s="2" t="s">
        <v>501</v>
      </c>
      <c r="F208" s="2" t="str">
        <f>IF(Names!$B208="M","Mr.",IF(Names!$B208="F","Ms.","Mx."))</f>
        <v>Ms.</v>
      </c>
      <c r="G208" s="2" t="str">
        <f>IF(Names!$B208="M","he",IF(Names!$B208="F","she","they"))</f>
        <v>she</v>
      </c>
      <c r="H208" s="2" t="str">
        <f>IF(Names!$B208="M","him",IF(Names!$B208="F","her","them"))</f>
        <v>her</v>
      </c>
      <c r="I208" s="2" t="str">
        <f>IF(Names!$B208="M","his",IF(Names!$B208="F","her","their"))</f>
        <v>her</v>
      </c>
    </row>
    <row r="209" ht="14.25" customHeight="1">
      <c r="A209" s="2">
        <v>208.0</v>
      </c>
      <c r="B209" s="2" t="s">
        <v>447</v>
      </c>
      <c r="C209" s="2" t="s">
        <v>502</v>
      </c>
      <c r="D209" s="2" t="s">
        <v>503</v>
      </c>
      <c r="E209" s="2" t="s">
        <v>504</v>
      </c>
      <c r="F209" s="2" t="str">
        <f>IF(Names!$B209="M","Mr.",IF(Names!$B209="F","Ms.","Mx."))</f>
        <v>Ms.</v>
      </c>
      <c r="G209" s="2" t="str">
        <f>IF(Names!$B209="M","he",IF(Names!$B209="F","she","they"))</f>
        <v>she</v>
      </c>
      <c r="H209" s="2" t="str">
        <f>IF(Names!$B209="M","him",IF(Names!$B209="F","her","them"))</f>
        <v>her</v>
      </c>
      <c r="I209" s="2" t="str">
        <f>IF(Names!$B209="M","his",IF(Names!$B209="F","her","their"))</f>
        <v>her</v>
      </c>
    </row>
    <row r="210" ht="14.25" customHeight="1">
      <c r="A210" s="2">
        <v>209.0</v>
      </c>
      <c r="B210" s="2" t="s">
        <v>447</v>
      </c>
      <c r="C210" s="2" t="s">
        <v>505</v>
      </c>
      <c r="D210" s="2" t="s">
        <v>506</v>
      </c>
      <c r="E210" s="2" t="s">
        <v>507</v>
      </c>
      <c r="F210" s="2" t="str">
        <f>IF(Names!$B210="M","Mr.",IF(Names!$B210="F","Ms.","Mx."))</f>
        <v>Ms.</v>
      </c>
      <c r="G210" s="2" t="str">
        <f>IF(Names!$B210="M","he",IF(Names!$B210="F","she","they"))</f>
        <v>she</v>
      </c>
      <c r="H210" s="2" t="str">
        <f>IF(Names!$B210="M","him",IF(Names!$B210="F","her","them"))</f>
        <v>her</v>
      </c>
      <c r="I210" s="2" t="str">
        <f>IF(Names!$B210="M","his",IF(Names!$B210="F","her","their"))</f>
        <v>her</v>
      </c>
    </row>
    <row r="211" ht="14.25" customHeight="1">
      <c r="A211" s="2">
        <v>210.0</v>
      </c>
      <c r="B211" s="2" t="s">
        <v>447</v>
      </c>
      <c r="C211" s="2" t="s">
        <v>508</v>
      </c>
      <c r="D211" s="2" t="s">
        <v>509</v>
      </c>
      <c r="E211" s="2" t="s">
        <v>68</v>
      </c>
      <c r="F211" s="2" t="str">
        <f>IF(Names!$B211="M","Mr.",IF(Names!$B211="F","Ms.","Mx."))</f>
        <v>Ms.</v>
      </c>
      <c r="G211" s="2" t="str">
        <f>IF(Names!$B211="M","he",IF(Names!$B211="F","she","they"))</f>
        <v>she</v>
      </c>
      <c r="H211" s="2" t="str">
        <f>IF(Names!$B211="M","him",IF(Names!$B211="F","her","them"))</f>
        <v>her</v>
      </c>
      <c r="I211" s="2" t="str">
        <f>IF(Names!$B211="M","his",IF(Names!$B211="F","her","their"))</f>
        <v>her</v>
      </c>
    </row>
    <row r="212" ht="14.25" customHeight="1">
      <c r="A212" s="2">
        <v>211.0</v>
      </c>
      <c r="B212" s="2" t="s">
        <v>447</v>
      </c>
      <c r="C212" s="2" t="s">
        <v>510</v>
      </c>
      <c r="D212" s="2" t="s">
        <v>511</v>
      </c>
      <c r="E212" s="2" t="s">
        <v>35</v>
      </c>
      <c r="F212" s="2" t="str">
        <f>IF(Names!$B212="M","Mr.",IF(Names!$B212="F","Ms.","Mx."))</f>
        <v>Ms.</v>
      </c>
      <c r="G212" s="2" t="str">
        <f>IF(Names!$B212="M","he",IF(Names!$B212="F","she","they"))</f>
        <v>she</v>
      </c>
      <c r="H212" s="2" t="str">
        <f>IF(Names!$B212="M","him",IF(Names!$B212="F","her","them"))</f>
        <v>her</v>
      </c>
      <c r="I212" s="2" t="str">
        <f>IF(Names!$B212="M","his",IF(Names!$B212="F","her","their"))</f>
        <v>her</v>
      </c>
    </row>
    <row r="213" ht="14.25" customHeight="1">
      <c r="A213" s="2">
        <v>212.0</v>
      </c>
      <c r="B213" s="2" t="s">
        <v>447</v>
      </c>
      <c r="C213" s="2" t="s">
        <v>512</v>
      </c>
      <c r="D213" s="2" t="s">
        <v>513</v>
      </c>
      <c r="E213" s="2" t="s">
        <v>514</v>
      </c>
      <c r="F213" s="2" t="str">
        <f>IF(Names!$B213="M","Mr.",IF(Names!$B213="F","Ms.","Mx."))</f>
        <v>Ms.</v>
      </c>
      <c r="G213" s="2" t="str">
        <f>IF(Names!$B213="M","he",IF(Names!$B213="F","she","they"))</f>
        <v>she</v>
      </c>
      <c r="H213" s="2" t="str">
        <f>IF(Names!$B213="M","him",IF(Names!$B213="F","her","them"))</f>
        <v>her</v>
      </c>
      <c r="I213" s="2" t="str">
        <f>IF(Names!$B213="M","his",IF(Names!$B213="F","her","their"))</f>
        <v>her</v>
      </c>
    </row>
    <row r="214" ht="14.25" customHeight="1">
      <c r="A214" s="2">
        <v>213.0</v>
      </c>
      <c r="B214" s="2" t="s">
        <v>447</v>
      </c>
      <c r="C214" s="2" t="s">
        <v>515</v>
      </c>
      <c r="D214" s="2" t="s">
        <v>516</v>
      </c>
      <c r="E214" s="2" t="s">
        <v>517</v>
      </c>
      <c r="F214" s="2" t="str">
        <f>IF(Names!$B214="M","Mr.",IF(Names!$B214="F","Ms.","Mx."))</f>
        <v>Ms.</v>
      </c>
      <c r="G214" s="2" t="str">
        <f>IF(Names!$B214="M","he",IF(Names!$B214="F","she","they"))</f>
        <v>she</v>
      </c>
      <c r="H214" s="2" t="str">
        <f>IF(Names!$B214="M","him",IF(Names!$B214="F","her","them"))</f>
        <v>her</v>
      </c>
      <c r="I214" s="2" t="str">
        <f>IF(Names!$B214="M","his",IF(Names!$B214="F","her","their"))</f>
        <v>her</v>
      </c>
    </row>
    <row r="215" ht="14.25" customHeight="1">
      <c r="A215" s="2">
        <v>214.0</v>
      </c>
      <c r="B215" s="2" t="s">
        <v>447</v>
      </c>
      <c r="C215" s="2" t="s">
        <v>518</v>
      </c>
      <c r="D215" s="2" t="s">
        <v>519</v>
      </c>
      <c r="E215" s="2" t="s">
        <v>137</v>
      </c>
      <c r="F215" s="2" t="str">
        <f>IF(Names!$B215="M","Mr.",IF(Names!$B215="F","Ms.","Mx."))</f>
        <v>Ms.</v>
      </c>
      <c r="G215" s="2" t="str">
        <f>IF(Names!$B215="M","he",IF(Names!$B215="F","she","they"))</f>
        <v>she</v>
      </c>
      <c r="H215" s="2" t="str">
        <f>IF(Names!$B215="M","him",IF(Names!$B215="F","her","them"))</f>
        <v>her</v>
      </c>
      <c r="I215" s="2" t="str">
        <f>IF(Names!$B215="M","his",IF(Names!$B215="F","her","their"))</f>
        <v>her</v>
      </c>
    </row>
    <row r="216" ht="14.25" customHeight="1">
      <c r="A216" s="2">
        <v>215.0</v>
      </c>
      <c r="B216" s="2" t="s">
        <v>447</v>
      </c>
      <c r="C216" s="2" t="s">
        <v>520</v>
      </c>
      <c r="D216" s="2" t="s">
        <v>521</v>
      </c>
      <c r="E216" s="2" t="s">
        <v>147</v>
      </c>
      <c r="F216" s="2" t="str">
        <f>IF(Names!$B216="M","Mr.",IF(Names!$B216="F","Ms.","Mx."))</f>
        <v>Ms.</v>
      </c>
      <c r="G216" s="2" t="str">
        <f>IF(Names!$B216="M","he",IF(Names!$B216="F","she","they"))</f>
        <v>she</v>
      </c>
      <c r="H216" s="2" t="str">
        <f>IF(Names!$B216="M","him",IF(Names!$B216="F","her","them"))</f>
        <v>her</v>
      </c>
      <c r="I216" s="2" t="str">
        <f>IF(Names!$B216="M","his",IF(Names!$B216="F","her","their"))</f>
        <v>her</v>
      </c>
    </row>
    <row r="217" ht="14.25" customHeight="1">
      <c r="A217" s="2">
        <v>216.0</v>
      </c>
      <c r="B217" s="2" t="s">
        <v>447</v>
      </c>
      <c r="C217" s="2" t="s">
        <v>522</v>
      </c>
      <c r="D217" s="2" t="s">
        <v>523</v>
      </c>
      <c r="E217" s="2" t="s">
        <v>164</v>
      </c>
      <c r="F217" s="2" t="str">
        <f>IF(Names!$B217="M","Mr.",IF(Names!$B217="F","Ms.","Mx."))</f>
        <v>Ms.</v>
      </c>
      <c r="G217" s="2" t="str">
        <f>IF(Names!$B217="M","he",IF(Names!$B217="F","she","they"))</f>
        <v>she</v>
      </c>
      <c r="H217" s="2" t="str">
        <f>IF(Names!$B217="M","him",IF(Names!$B217="F","her","them"))</f>
        <v>her</v>
      </c>
      <c r="I217" s="2" t="str">
        <f>IF(Names!$B217="M","his",IF(Names!$B217="F","her","their"))</f>
        <v>her</v>
      </c>
    </row>
    <row r="218" ht="14.25" customHeight="1">
      <c r="A218" s="2">
        <v>217.0</v>
      </c>
      <c r="B218" s="2" t="s">
        <v>447</v>
      </c>
      <c r="C218" s="2" t="s">
        <v>524</v>
      </c>
      <c r="D218" s="2" t="s">
        <v>525</v>
      </c>
      <c r="E218" s="2" t="s">
        <v>526</v>
      </c>
      <c r="F218" s="2" t="str">
        <f>IF(Names!$B218="M","Mr.",IF(Names!$B218="F","Ms.","Mx."))</f>
        <v>Ms.</v>
      </c>
      <c r="G218" s="2" t="str">
        <f>IF(Names!$B218="M","he",IF(Names!$B218="F","she","they"))</f>
        <v>she</v>
      </c>
      <c r="H218" s="2" t="str">
        <f>IF(Names!$B218="M","him",IF(Names!$B218="F","her","them"))</f>
        <v>her</v>
      </c>
      <c r="I218" s="2" t="str">
        <f>IF(Names!$B218="M","his",IF(Names!$B218="F","her","their"))</f>
        <v>her</v>
      </c>
    </row>
    <row r="219" ht="14.25" customHeight="1">
      <c r="A219" s="2">
        <v>218.0</v>
      </c>
      <c r="B219" s="2" t="s">
        <v>447</v>
      </c>
      <c r="C219" s="2" t="s">
        <v>527</v>
      </c>
      <c r="D219" s="2" t="s">
        <v>528</v>
      </c>
      <c r="E219" s="2" t="s">
        <v>143</v>
      </c>
      <c r="F219" s="2" t="str">
        <f>IF(Names!$B219="M","Mr.",IF(Names!$B219="F","Ms.","Mx."))</f>
        <v>Ms.</v>
      </c>
      <c r="G219" s="2" t="str">
        <f>IF(Names!$B219="M","he",IF(Names!$B219="F","she","they"))</f>
        <v>she</v>
      </c>
      <c r="H219" s="2" t="str">
        <f>IF(Names!$B219="M","him",IF(Names!$B219="F","her","them"))</f>
        <v>her</v>
      </c>
      <c r="I219" s="2" t="str">
        <f>IF(Names!$B219="M","his",IF(Names!$B219="F","her","their"))</f>
        <v>her</v>
      </c>
    </row>
    <row r="220" ht="14.25" customHeight="1">
      <c r="A220" s="2">
        <v>219.0</v>
      </c>
      <c r="B220" s="2" t="s">
        <v>447</v>
      </c>
      <c r="C220" s="2" t="s">
        <v>529</v>
      </c>
      <c r="D220" s="2" t="s">
        <v>530</v>
      </c>
      <c r="E220" s="2" t="s">
        <v>131</v>
      </c>
      <c r="F220" s="2" t="str">
        <f>IF(Names!$B220="M","Mr.",IF(Names!$B220="F","Ms.","Mx."))</f>
        <v>Ms.</v>
      </c>
      <c r="G220" s="2" t="str">
        <f>IF(Names!$B220="M","he",IF(Names!$B220="F","she","they"))</f>
        <v>she</v>
      </c>
      <c r="H220" s="2" t="str">
        <f>IF(Names!$B220="M","him",IF(Names!$B220="F","her","them"))</f>
        <v>her</v>
      </c>
      <c r="I220" s="2" t="str">
        <f>IF(Names!$B220="M","his",IF(Names!$B220="F","her","their"))</f>
        <v>her</v>
      </c>
    </row>
    <row r="221" ht="14.25" customHeight="1">
      <c r="A221" s="2">
        <v>220.0</v>
      </c>
      <c r="B221" s="2" t="s">
        <v>447</v>
      </c>
      <c r="C221" s="2" t="s">
        <v>531</v>
      </c>
      <c r="D221" s="2" t="s">
        <v>532</v>
      </c>
      <c r="E221" s="2" t="s">
        <v>533</v>
      </c>
      <c r="F221" s="2" t="str">
        <f>IF(Names!$B221="M","Mr.",IF(Names!$B221="F","Ms.","Mx."))</f>
        <v>Ms.</v>
      </c>
      <c r="G221" s="2" t="str">
        <f>IF(Names!$B221="M","he",IF(Names!$B221="F","she","they"))</f>
        <v>she</v>
      </c>
      <c r="H221" s="2" t="str">
        <f>IF(Names!$B221="M","him",IF(Names!$B221="F","her","them"))</f>
        <v>her</v>
      </c>
      <c r="I221" s="2" t="str">
        <f>IF(Names!$B221="M","his",IF(Names!$B221="F","her","their"))</f>
        <v>her</v>
      </c>
    </row>
    <row r="222" ht="14.25" customHeight="1">
      <c r="A222" s="2">
        <v>221.0</v>
      </c>
      <c r="B222" s="2" t="s">
        <v>447</v>
      </c>
      <c r="C222" s="2" t="s">
        <v>534</v>
      </c>
      <c r="D222" s="2" t="s">
        <v>535</v>
      </c>
      <c r="E222" s="2" t="s">
        <v>536</v>
      </c>
      <c r="F222" s="2" t="str">
        <f>IF(Names!$B222="M","Mr.",IF(Names!$B222="F","Ms.","Mx."))</f>
        <v>Ms.</v>
      </c>
      <c r="G222" s="2" t="str">
        <f>IF(Names!$B222="M","he",IF(Names!$B222="F","she","they"))</f>
        <v>she</v>
      </c>
      <c r="H222" s="2" t="str">
        <f>IF(Names!$B222="M","him",IF(Names!$B222="F","her","them"))</f>
        <v>her</v>
      </c>
      <c r="I222" s="2" t="str">
        <f>IF(Names!$B222="M","his",IF(Names!$B222="F","her","their"))</f>
        <v>her</v>
      </c>
    </row>
    <row r="223" ht="14.25" customHeight="1">
      <c r="A223" s="2">
        <v>222.0</v>
      </c>
      <c r="B223" s="2" t="s">
        <v>447</v>
      </c>
      <c r="C223" s="2" t="s">
        <v>537</v>
      </c>
      <c r="D223" s="2" t="s">
        <v>538</v>
      </c>
      <c r="E223" s="2" t="s">
        <v>539</v>
      </c>
      <c r="F223" s="2" t="str">
        <f>IF(Names!$B223="M","Mr.",IF(Names!$B223="F","Ms.","Mx."))</f>
        <v>Ms.</v>
      </c>
      <c r="G223" s="2" t="str">
        <f>IF(Names!$B223="M","he",IF(Names!$B223="F","she","they"))</f>
        <v>she</v>
      </c>
      <c r="H223" s="2" t="str">
        <f>IF(Names!$B223="M","him",IF(Names!$B223="F","her","them"))</f>
        <v>her</v>
      </c>
      <c r="I223" s="2" t="str">
        <f>IF(Names!$B223="M","his",IF(Names!$B223="F","her","their"))</f>
        <v>her</v>
      </c>
    </row>
    <row r="224" ht="14.25" customHeight="1">
      <c r="A224" s="2">
        <v>223.0</v>
      </c>
      <c r="B224" s="2" t="s">
        <v>447</v>
      </c>
      <c r="C224" s="2" t="s">
        <v>540</v>
      </c>
      <c r="D224" s="2" t="s">
        <v>541</v>
      </c>
      <c r="E224" s="2" t="s">
        <v>542</v>
      </c>
      <c r="F224" s="2" t="str">
        <f>IF(Names!$B224="M","Mr.",IF(Names!$B224="F","Ms.","Mx."))</f>
        <v>Ms.</v>
      </c>
      <c r="G224" s="2" t="str">
        <f>IF(Names!$B224="M","he",IF(Names!$B224="F","she","they"))</f>
        <v>she</v>
      </c>
      <c r="H224" s="2" t="str">
        <f>IF(Names!$B224="M","him",IF(Names!$B224="F","her","them"))</f>
        <v>her</v>
      </c>
      <c r="I224" s="2" t="str">
        <f>IF(Names!$B224="M","his",IF(Names!$B224="F","her","their"))</f>
        <v>her</v>
      </c>
    </row>
    <row r="225" ht="14.25" customHeight="1">
      <c r="A225" s="2">
        <v>224.0</v>
      </c>
      <c r="B225" s="2" t="s">
        <v>447</v>
      </c>
      <c r="C225" s="2" t="s">
        <v>543</v>
      </c>
      <c r="D225" s="2" t="s">
        <v>513</v>
      </c>
      <c r="E225" s="2" t="s">
        <v>544</v>
      </c>
      <c r="F225" s="2" t="str">
        <f>IF(Names!$B225="M","Mr.",IF(Names!$B225="F","Ms.","Mx."))</f>
        <v>Ms.</v>
      </c>
      <c r="G225" s="2" t="str">
        <f>IF(Names!$B225="M","he",IF(Names!$B225="F","she","they"))</f>
        <v>she</v>
      </c>
      <c r="H225" s="2" t="str">
        <f>IF(Names!$B225="M","him",IF(Names!$B225="F","her","them"))</f>
        <v>her</v>
      </c>
      <c r="I225" s="2" t="str">
        <f>IF(Names!$B225="M","his",IF(Names!$B225="F","her","their"))</f>
        <v>her</v>
      </c>
    </row>
    <row r="226" ht="14.25" customHeight="1">
      <c r="A226" s="2">
        <v>225.0</v>
      </c>
      <c r="B226" s="2" t="s">
        <v>447</v>
      </c>
      <c r="C226" s="2" t="s">
        <v>545</v>
      </c>
      <c r="D226" s="2" t="s">
        <v>546</v>
      </c>
      <c r="E226" s="2" t="s">
        <v>547</v>
      </c>
      <c r="F226" s="2" t="str">
        <f>IF(Names!$B226="M","Mr.",IF(Names!$B226="F","Ms.","Mx."))</f>
        <v>Ms.</v>
      </c>
      <c r="G226" s="2" t="str">
        <f>IF(Names!$B226="M","he",IF(Names!$B226="F","she","they"))</f>
        <v>she</v>
      </c>
      <c r="H226" s="2" t="str">
        <f>IF(Names!$B226="M","him",IF(Names!$B226="F","her","them"))</f>
        <v>her</v>
      </c>
      <c r="I226" s="2" t="str">
        <f>IF(Names!$B226="M","his",IF(Names!$B226="F","her","their"))</f>
        <v>her</v>
      </c>
    </row>
    <row r="227" ht="14.25" customHeight="1">
      <c r="A227" s="2">
        <v>226.0</v>
      </c>
      <c r="B227" s="2" t="s">
        <v>447</v>
      </c>
      <c r="C227" s="2" t="s">
        <v>548</v>
      </c>
      <c r="D227" s="2" t="s">
        <v>549</v>
      </c>
      <c r="E227" s="2" t="s">
        <v>550</v>
      </c>
      <c r="F227" s="2" t="str">
        <f>IF(Names!$B227="M","Mr.",IF(Names!$B227="F","Ms.","Mx."))</f>
        <v>Ms.</v>
      </c>
      <c r="G227" s="2" t="str">
        <f>IF(Names!$B227="M","he",IF(Names!$B227="F","she","they"))</f>
        <v>she</v>
      </c>
      <c r="H227" s="2" t="str">
        <f>IF(Names!$B227="M","him",IF(Names!$B227="F","her","them"))</f>
        <v>her</v>
      </c>
      <c r="I227" s="2" t="str">
        <f>IF(Names!$B227="M","his",IF(Names!$B227="F","her","their"))</f>
        <v>her</v>
      </c>
    </row>
    <row r="228" ht="14.25" customHeight="1">
      <c r="A228" s="2">
        <v>227.0</v>
      </c>
      <c r="B228" s="2" t="s">
        <v>447</v>
      </c>
      <c r="C228" s="2" t="s">
        <v>551</v>
      </c>
      <c r="D228" s="2" t="s">
        <v>528</v>
      </c>
      <c r="E228" s="2" t="s">
        <v>160</v>
      </c>
      <c r="F228" s="2" t="str">
        <f>IF(Names!$B228="M","Mr.",IF(Names!$B228="F","Ms.","Mx."))</f>
        <v>Ms.</v>
      </c>
      <c r="G228" s="2" t="str">
        <f>IF(Names!$B228="M","he",IF(Names!$B228="F","she","they"))</f>
        <v>she</v>
      </c>
      <c r="H228" s="2" t="str">
        <f>IF(Names!$B228="M","him",IF(Names!$B228="F","her","them"))</f>
        <v>her</v>
      </c>
      <c r="I228" s="2" t="str">
        <f>IF(Names!$B228="M","his",IF(Names!$B228="F","her","their"))</f>
        <v>her</v>
      </c>
    </row>
    <row r="229" ht="14.25" customHeight="1">
      <c r="A229" s="2">
        <v>228.0</v>
      </c>
      <c r="B229" s="2" t="s">
        <v>447</v>
      </c>
      <c r="C229" s="2" t="s">
        <v>552</v>
      </c>
      <c r="D229" s="2" t="s">
        <v>553</v>
      </c>
      <c r="E229" s="2" t="s">
        <v>554</v>
      </c>
      <c r="F229" s="2" t="str">
        <f>IF(Names!$B229="M","Mr.",IF(Names!$B229="F","Ms.","Mx."))</f>
        <v>Ms.</v>
      </c>
      <c r="G229" s="2" t="str">
        <f>IF(Names!$B229="M","he",IF(Names!$B229="F","she","they"))</f>
        <v>she</v>
      </c>
      <c r="H229" s="2" t="str">
        <f>IF(Names!$B229="M","him",IF(Names!$B229="F","her","them"))</f>
        <v>her</v>
      </c>
      <c r="I229" s="2" t="str">
        <f>IF(Names!$B229="M","his",IF(Names!$B229="F","her","their"))</f>
        <v>her</v>
      </c>
    </row>
    <row r="230" ht="14.25" customHeight="1">
      <c r="A230" s="2">
        <v>229.0</v>
      </c>
      <c r="B230" s="2" t="s">
        <v>447</v>
      </c>
      <c r="C230" s="2" t="s">
        <v>555</v>
      </c>
      <c r="D230" s="2" t="s">
        <v>556</v>
      </c>
      <c r="E230" s="2" t="s">
        <v>557</v>
      </c>
      <c r="F230" s="2" t="str">
        <f>IF(Names!$B230="M","Mr.",IF(Names!$B230="F","Ms.","Mx."))</f>
        <v>Ms.</v>
      </c>
      <c r="G230" s="2" t="str">
        <f>IF(Names!$B230="M","he",IF(Names!$B230="F","she","they"))</f>
        <v>she</v>
      </c>
      <c r="H230" s="2" t="str">
        <f>IF(Names!$B230="M","him",IF(Names!$B230="F","her","them"))</f>
        <v>her</v>
      </c>
      <c r="I230" s="2" t="str">
        <f>IF(Names!$B230="M","his",IF(Names!$B230="F","her","their"))</f>
        <v>her</v>
      </c>
    </row>
    <row r="231" ht="14.25" customHeight="1">
      <c r="A231" s="2">
        <v>230.0</v>
      </c>
      <c r="B231" s="2" t="s">
        <v>447</v>
      </c>
      <c r="C231" s="2" t="s">
        <v>558</v>
      </c>
      <c r="D231" s="2" t="s">
        <v>559</v>
      </c>
      <c r="E231" s="2" t="s">
        <v>560</v>
      </c>
      <c r="F231" s="2" t="str">
        <f>IF(Names!$B231="M","Mr.",IF(Names!$B231="F","Ms.","Mx."))</f>
        <v>Ms.</v>
      </c>
      <c r="G231" s="2" t="str">
        <f>IF(Names!$B231="M","he",IF(Names!$B231="F","she","they"))</f>
        <v>she</v>
      </c>
      <c r="H231" s="2" t="str">
        <f>IF(Names!$B231="M","him",IF(Names!$B231="F","her","them"))</f>
        <v>her</v>
      </c>
      <c r="I231" s="2" t="str">
        <f>IF(Names!$B231="M","his",IF(Names!$B231="F","her","their"))</f>
        <v>her</v>
      </c>
    </row>
    <row r="232" ht="14.25" customHeight="1">
      <c r="A232" s="2">
        <v>231.0</v>
      </c>
      <c r="B232" s="2" t="s">
        <v>447</v>
      </c>
      <c r="C232" s="2" t="s">
        <v>561</v>
      </c>
      <c r="D232" s="2" t="s">
        <v>562</v>
      </c>
      <c r="E232" s="2" t="s">
        <v>563</v>
      </c>
      <c r="F232" s="2" t="str">
        <f>IF(Names!$B232="M","Mr.",IF(Names!$B232="F","Ms.","Mx."))</f>
        <v>Ms.</v>
      </c>
      <c r="G232" s="2" t="str">
        <f>IF(Names!$B232="M","he",IF(Names!$B232="F","she","they"))</f>
        <v>she</v>
      </c>
      <c r="H232" s="2" t="str">
        <f>IF(Names!$B232="M","him",IF(Names!$B232="F","her","them"))</f>
        <v>her</v>
      </c>
      <c r="I232" s="2" t="str">
        <f>IF(Names!$B232="M","his",IF(Names!$B232="F","her","their"))</f>
        <v>her</v>
      </c>
    </row>
    <row r="233" ht="14.25" customHeight="1">
      <c r="A233" s="2">
        <v>232.0</v>
      </c>
      <c r="B233" s="2" t="s">
        <v>447</v>
      </c>
      <c r="C233" s="2" t="s">
        <v>564</v>
      </c>
      <c r="D233" s="2" t="s">
        <v>565</v>
      </c>
      <c r="E233" s="2" t="s">
        <v>566</v>
      </c>
      <c r="F233" s="2" t="str">
        <f>IF(Names!$B233="M","Mr.",IF(Names!$B233="F","Ms.","Mx."))</f>
        <v>Ms.</v>
      </c>
      <c r="G233" s="2" t="str">
        <f>IF(Names!$B233="M","he",IF(Names!$B233="F","she","they"))</f>
        <v>she</v>
      </c>
      <c r="H233" s="2" t="str">
        <f>IF(Names!$B233="M","him",IF(Names!$B233="F","her","them"))</f>
        <v>her</v>
      </c>
      <c r="I233" s="2" t="str">
        <f>IF(Names!$B233="M","his",IF(Names!$B233="F","her","their"))</f>
        <v>her</v>
      </c>
    </row>
    <row r="234" ht="14.25" customHeight="1">
      <c r="A234" s="2">
        <v>233.0</v>
      </c>
      <c r="B234" s="2" t="s">
        <v>447</v>
      </c>
      <c r="C234" s="2" t="s">
        <v>567</v>
      </c>
      <c r="D234" s="2" t="s">
        <v>568</v>
      </c>
      <c r="E234" s="2" t="s">
        <v>569</v>
      </c>
      <c r="F234" s="2" t="str">
        <f>IF(Names!$B234="M","Mr.",IF(Names!$B234="F","Ms.","Mx."))</f>
        <v>Ms.</v>
      </c>
      <c r="G234" s="2" t="str">
        <f>IF(Names!$B234="M","he",IF(Names!$B234="F","she","they"))</f>
        <v>she</v>
      </c>
      <c r="H234" s="2" t="str">
        <f>IF(Names!$B234="M","him",IF(Names!$B234="F","her","them"))</f>
        <v>her</v>
      </c>
      <c r="I234" s="2" t="str">
        <f>IF(Names!$B234="M","his",IF(Names!$B234="F","her","their"))</f>
        <v>her</v>
      </c>
    </row>
    <row r="235" ht="14.25" customHeight="1">
      <c r="A235" s="2">
        <v>234.0</v>
      </c>
      <c r="B235" s="2" t="s">
        <v>447</v>
      </c>
      <c r="C235" s="2" t="s">
        <v>570</v>
      </c>
      <c r="D235" s="2" t="s">
        <v>571</v>
      </c>
      <c r="E235" s="2" t="s">
        <v>572</v>
      </c>
      <c r="F235" s="2" t="str">
        <f>IF(Names!$B235="M","Mr.",IF(Names!$B235="F","Ms.","Mx."))</f>
        <v>Ms.</v>
      </c>
      <c r="G235" s="2" t="str">
        <f>IF(Names!$B235="M","he",IF(Names!$B235="F","she","they"))</f>
        <v>she</v>
      </c>
      <c r="H235" s="2" t="str">
        <f>IF(Names!$B235="M","him",IF(Names!$B235="F","her","them"))</f>
        <v>her</v>
      </c>
      <c r="I235" s="2" t="str">
        <f>IF(Names!$B235="M","his",IF(Names!$B235="F","her","their"))</f>
        <v>her</v>
      </c>
    </row>
    <row r="236" ht="14.25" customHeight="1">
      <c r="A236" s="2">
        <v>235.0</v>
      </c>
      <c r="B236" s="2" t="s">
        <v>447</v>
      </c>
      <c r="C236" s="2" t="s">
        <v>573</v>
      </c>
      <c r="D236" s="2" t="s">
        <v>574</v>
      </c>
      <c r="E236" s="2" t="s">
        <v>575</v>
      </c>
      <c r="F236" s="2" t="str">
        <f>IF(Names!$B236="M","Mr.",IF(Names!$B236="F","Ms.","Mx."))</f>
        <v>Ms.</v>
      </c>
      <c r="G236" s="2" t="str">
        <f>IF(Names!$B236="M","he",IF(Names!$B236="F","she","they"))</f>
        <v>she</v>
      </c>
      <c r="H236" s="2" t="str">
        <f>IF(Names!$B236="M","him",IF(Names!$B236="F","her","them"))</f>
        <v>her</v>
      </c>
      <c r="I236" s="2" t="str">
        <f>IF(Names!$B236="M","his",IF(Names!$B236="F","her","their"))</f>
        <v>her</v>
      </c>
    </row>
    <row r="237" ht="14.25" customHeight="1">
      <c r="A237" s="2">
        <v>236.0</v>
      </c>
      <c r="B237" s="2" t="s">
        <v>447</v>
      </c>
      <c r="C237" s="2" t="s">
        <v>576</v>
      </c>
      <c r="D237" s="2" t="s">
        <v>571</v>
      </c>
      <c r="E237" s="2" t="s">
        <v>577</v>
      </c>
      <c r="F237" s="2" t="str">
        <f>IF(Names!$B237="M","Mr.",IF(Names!$B237="F","Ms.","Mx."))</f>
        <v>Ms.</v>
      </c>
      <c r="G237" s="2" t="str">
        <f>IF(Names!$B237="M","he",IF(Names!$B237="F","she","they"))</f>
        <v>she</v>
      </c>
      <c r="H237" s="2" t="str">
        <f>IF(Names!$B237="M","him",IF(Names!$B237="F","her","them"))</f>
        <v>her</v>
      </c>
      <c r="I237" s="2" t="str">
        <f>IF(Names!$B237="M","his",IF(Names!$B237="F","her","their"))</f>
        <v>her</v>
      </c>
    </row>
    <row r="238" ht="14.25" customHeight="1">
      <c r="A238" s="2">
        <v>237.0</v>
      </c>
      <c r="B238" s="2" t="s">
        <v>447</v>
      </c>
      <c r="C238" s="2" t="s">
        <v>578</v>
      </c>
      <c r="D238" s="2" t="s">
        <v>579</v>
      </c>
      <c r="E238" s="2" t="s">
        <v>580</v>
      </c>
      <c r="F238" s="2" t="str">
        <f>IF(Names!$B238="M","Mr.",IF(Names!$B238="F","Ms.","Mx."))</f>
        <v>Ms.</v>
      </c>
      <c r="G238" s="2" t="str">
        <f>IF(Names!$B238="M","he",IF(Names!$B238="F","she","they"))</f>
        <v>she</v>
      </c>
      <c r="H238" s="2" t="str">
        <f>IF(Names!$B238="M","him",IF(Names!$B238="F","her","them"))</f>
        <v>her</v>
      </c>
      <c r="I238" s="2" t="str">
        <f>IF(Names!$B238="M","his",IF(Names!$B238="F","her","their"))</f>
        <v>her</v>
      </c>
    </row>
    <row r="239" ht="14.25" customHeight="1">
      <c r="A239" s="2">
        <v>238.0</v>
      </c>
      <c r="B239" s="2" t="s">
        <v>447</v>
      </c>
      <c r="C239" s="2" t="s">
        <v>581</v>
      </c>
      <c r="D239" s="2" t="s">
        <v>582</v>
      </c>
      <c r="E239" s="2" t="s">
        <v>583</v>
      </c>
      <c r="F239" s="2" t="str">
        <f>IF(Names!$B239="M","Mr.",IF(Names!$B239="F","Ms.","Mx."))</f>
        <v>Ms.</v>
      </c>
      <c r="G239" s="2" t="str">
        <f>IF(Names!$B239="M","he",IF(Names!$B239="F","she","they"))</f>
        <v>she</v>
      </c>
      <c r="H239" s="2" t="str">
        <f>IF(Names!$B239="M","him",IF(Names!$B239="F","her","them"))</f>
        <v>her</v>
      </c>
      <c r="I239" s="2" t="str">
        <f>IF(Names!$B239="M","his",IF(Names!$B239="F","her","their"))</f>
        <v>her</v>
      </c>
    </row>
    <row r="240" ht="14.25" customHeight="1">
      <c r="A240" s="2">
        <v>239.0</v>
      </c>
      <c r="B240" s="2" t="s">
        <v>447</v>
      </c>
      <c r="C240" s="2" t="s">
        <v>584</v>
      </c>
      <c r="D240" s="2" t="s">
        <v>585</v>
      </c>
      <c r="E240" s="2" t="s">
        <v>586</v>
      </c>
      <c r="F240" s="2" t="str">
        <f>IF(Names!$B240="M","Mr.",IF(Names!$B240="F","Ms.","Mx."))</f>
        <v>Ms.</v>
      </c>
      <c r="G240" s="2" t="str">
        <f>IF(Names!$B240="M","he",IF(Names!$B240="F","she","they"))</f>
        <v>she</v>
      </c>
      <c r="H240" s="2" t="str">
        <f>IF(Names!$B240="M","him",IF(Names!$B240="F","her","them"))</f>
        <v>her</v>
      </c>
      <c r="I240" s="2" t="str">
        <f>IF(Names!$B240="M","his",IF(Names!$B240="F","her","their"))</f>
        <v>her</v>
      </c>
    </row>
    <row r="241" ht="14.25" customHeight="1">
      <c r="A241" s="2">
        <v>240.0</v>
      </c>
      <c r="B241" s="2" t="s">
        <v>447</v>
      </c>
      <c r="C241" s="2" t="s">
        <v>587</v>
      </c>
      <c r="D241" s="2" t="s">
        <v>588</v>
      </c>
      <c r="E241" s="2" t="s">
        <v>589</v>
      </c>
      <c r="F241" s="2" t="str">
        <f>IF(Names!$B241="M","Mr.",IF(Names!$B241="F","Ms.","Mx."))</f>
        <v>Ms.</v>
      </c>
      <c r="G241" s="2" t="str">
        <f>IF(Names!$B241="M","he",IF(Names!$B241="F","she","they"))</f>
        <v>she</v>
      </c>
      <c r="H241" s="2" t="str">
        <f>IF(Names!$B241="M","him",IF(Names!$B241="F","her","them"))</f>
        <v>her</v>
      </c>
      <c r="I241" s="2" t="str">
        <f>IF(Names!$B241="M","his",IF(Names!$B241="F","her","their"))</f>
        <v>her</v>
      </c>
    </row>
    <row r="242" ht="14.25" customHeight="1">
      <c r="A242" s="2">
        <v>241.0</v>
      </c>
      <c r="B242" s="2" t="s">
        <v>447</v>
      </c>
      <c r="C242" s="2" t="s">
        <v>590</v>
      </c>
      <c r="D242" s="2" t="s">
        <v>591</v>
      </c>
      <c r="E242" s="2" t="s">
        <v>592</v>
      </c>
      <c r="F242" s="2" t="str">
        <f>IF(Names!$B242="M","Mr.",IF(Names!$B242="F","Ms.","Mx."))</f>
        <v>Ms.</v>
      </c>
      <c r="G242" s="2" t="str">
        <f>IF(Names!$B242="M","he",IF(Names!$B242="F","she","they"))</f>
        <v>she</v>
      </c>
      <c r="H242" s="2" t="str">
        <f>IF(Names!$B242="M","him",IF(Names!$B242="F","her","them"))</f>
        <v>her</v>
      </c>
      <c r="I242" s="2" t="str">
        <f>IF(Names!$B242="M","his",IF(Names!$B242="F","her","their"))</f>
        <v>her</v>
      </c>
    </row>
    <row r="243" ht="14.25" customHeight="1">
      <c r="A243" s="2">
        <v>242.0</v>
      </c>
      <c r="B243" s="2" t="s">
        <v>447</v>
      </c>
      <c r="C243" s="2" t="s">
        <v>593</v>
      </c>
      <c r="D243" s="2" t="s">
        <v>594</v>
      </c>
      <c r="E243" s="2" t="s">
        <v>595</v>
      </c>
      <c r="F243" s="2" t="str">
        <f>IF(Names!$B243="M","Mr.",IF(Names!$B243="F","Ms.","Mx."))</f>
        <v>Ms.</v>
      </c>
      <c r="G243" s="2" t="str">
        <f>IF(Names!$B243="M","he",IF(Names!$B243="F","she","they"))</f>
        <v>she</v>
      </c>
      <c r="H243" s="2" t="str">
        <f>IF(Names!$B243="M","him",IF(Names!$B243="F","her","them"))</f>
        <v>her</v>
      </c>
      <c r="I243" s="2" t="str">
        <f>IF(Names!$B243="M","his",IF(Names!$B243="F","her","their"))</f>
        <v>her</v>
      </c>
    </row>
    <row r="244" ht="14.25" customHeight="1">
      <c r="A244" s="2">
        <v>243.0</v>
      </c>
      <c r="B244" s="2" t="s">
        <v>447</v>
      </c>
      <c r="C244" s="2" t="s">
        <v>596</v>
      </c>
      <c r="D244" s="2" t="s">
        <v>597</v>
      </c>
      <c r="E244" s="2" t="s">
        <v>572</v>
      </c>
      <c r="F244" s="2" t="str">
        <f>IF(Names!$B244="M","Mr.",IF(Names!$B244="F","Ms.","Mx."))</f>
        <v>Ms.</v>
      </c>
      <c r="G244" s="2" t="str">
        <f>IF(Names!$B244="M","he",IF(Names!$B244="F","she","they"))</f>
        <v>she</v>
      </c>
      <c r="H244" s="2" t="str">
        <f>IF(Names!$B244="M","him",IF(Names!$B244="F","her","them"))</f>
        <v>her</v>
      </c>
      <c r="I244" s="2" t="str">
        <f>IF(Names!$B244="M","his",IF(Names!$B244="F","her","their"))</f>
        <v>her</v>
      </c>
    </row>
    <row r="245" ht="14.25" customHeight="1">
      <c r="A245" s="2">
        <v>244.0</v>
      </c>
      <c r="B245" s="2" t="s">
        <v>447</v>
      </c>
      <c r="C245" s="2" t="s">
        <v>598</v>
      </c>
      <c r="D245" s="2" t="s">
        <v>599</v>
      </c>
      <c r="E245" s="2" t="s">
        <v>74</v>
      </c>
      <c r="F245" s="2" t="str">
        <f>IF(Names!$B245="M","Mr.",IF(Names!$B245="F","Ms.","Mx."))</f>
        <v>Ms.</v>
      </c>
      <c r="G245" s="2" t="str">
        <f>IF(Names!$B245="M","he",IF(Names!$B245="F","she","they"))</f>
        <v>she</v>
      </c>
      <c r="H245" s="2" t="str">
        <f>IF(Names!$B245="M","him",IF(Names!$B245="F","her","them"))</f>
        <v>her</v>
      </c>
      <c r="I245" s="2" t="str">
        <f>IF(Names!$B245="M","his",IF(Names!$B245="F","her","their"))</f>
        <v>her</v>
      </c>
    </row>
    <row r="246" ht="14.25" customHeight="1">
      <c r="A246" s="2">
        <v>245.0</v>
      </c>
      <c r="B246" s="2" t="s">
        <v>447</v>
      </c>
      <c r="C246" s="2" t="s">
        <v>600</v>
      </c>
      <c r="D246" s="2" t="s">
        <v>601</v>
      </c>
      <c r="E246" s="2" t="s">
        <v>602</v>
      </c>
      <c r="F246" s="2" t="str">
        <f>IF(Names!$B246="M","Mr.",IF(Names!$B246="F","Ms.","Mx."))</f>
        <v>Ms.</v>
      </c>
      <c r="G246" s="2" t="str">
        <f>IF(Names!$B246="M","he",IF(Names!$B246="F","she","they"))</f>
        <v>she</v>
      </c>
      <c r="H246" s="2" t="str">
        <f>IF(Names!$B246="M","him",IF(Names!$B246="F","her","them"))</f>
        <v>her</v>
      </c>
      <c r="I246" s="2" t="str">
        <f>IF(Names!$B246="M","his",IF(Names!$B246="F","her","their"))</f>
        <v>her</v>
      </c>
    </row>
    <row r="247" ht="14.25" customHeight="1">
      <c r="A247" s="2">
        <v>246.0</v>
      </c>
      <c r="B247" s="2" t="s">
        <v>447</v>
      </c>
      <c r="C247" s="2" t="s">
        <v>603</v>
      </c>
      <c r="D247" s="2" t="s">
        <v>604</v>
      </c>
      <c r="E247" s="2" t="s">
        <v>550</v>
      </c>
      <c r="F247" s="2" t="str">
        <f>IF(Names!$B247="M","Mr.",IF(Names!$B247="F","Ms.","Mx."))</f>
        <v>Ms.</v>
      </c>
      <c r="G247" s="2" t="str">
        <f>IF(Names!$B247="M","he",IF(Names!$B247="F","she","they"))</f>
        <v>she</v>
      </c>
      <c r="H247" s="2" t="str">
        <f>IF(Names!$B247="M","him",IF(Names!$B247="F","her","them"))</f>
        <v>her</v>
      </c>
      <c r="I247" s="2" t="str">
        <f>IF(Names!$B247="M","his",IF(Names!$B247="F","her","their"))</f>
        <v>her</v>
      </c>
    </row>
    <row r="248" ht="14.25" customHeight="1">
      <c r="A248" s="2">
        <v>247.0</v>
      </c>
      <c r="B248" s="2" t="s">
        <v>447</v>
      </c>
      <c r="C248" s="2" t="s">
        <v>605</v>
      </c>
      <c r="D248" s="2" t="s">
        <v>606</v>
      </c>
      <c r="E248" s="2" t="s">
        <v>62</v>
      </c>
      <c r="F248" s="2" t="str">
        <f>IF(Names!$B248="M","Mr.",IF(Names!$B248="F","Ms.","Mx."))</f>
        <v>Ms.</v>
      </c>
      <c r="G248" s="2" t="str">
        <f>IF(Names!$B248="M","he",IF(Names!$B248="F","she","they"))</f>
        <v>she</v>
      </c>
      <c r="H248" s="2" t="str">
        <f>IF(Names!$B248="M","him",IF(Names!$B248="F","her","them"))</f>
        <v>her</v>
      </c>
      <c r="I248" s="2" t="str">
        <f>IF(Names!$B248="M","his",IF(Names!$B248="F","her","their"))</f>
        <v>her</v>
      </c>
    </row>
    <row r="249" ht="14.25" customHeight="1">
      <c r="A249" s="2">
        <v>248.0</v>
      </c>
      <c r="B249" s="2" t="s">
        <v>447</v>
      </c>
      <c r="C249" s="2" t="s">
        <v>607</v>
      </c>
      <c r="D249" s="2" t="s">
        <v>608</v>
      </c>
      <c r="E249" s="2" t="s">
        <v>609</v>
      </c>
      <c r="F249" s="2" t="str">
        <f>IF(Names!$B249="M","Mr.",IF(Names!$B249="F","Ms.","Mx."))</f>
        <v>Ms.</v>
      </c>
      <c r="G249" s="2" t="str">
        <f>IF(Names!$B249="M","he",IF(Names!$B249="F","she","they"))</f>
        <v>she</v>
      </c>
      <c r="H249" s="2" t="str">
        <f>IF(Names!$B249="M","him",IF(Names!$B249="F","her","them"))</f>
        <v>her</v>
      </c>
      <c r="I249" s="2" t="str">
        <f>IF(Names!$B249="M","his",IF(Names!$B249="F","her","their"))</f>
        <v>her</v>
      </c>
    </row>
    <row r="250" ht="14.25" customHeight="1">
      <c r="A250" s="2">
        <v>249.0</v>
      </c>
      <c r="B250" s="2" t="s">
        <v>447</v>
      </c>
      <c r="C250" s="2" t="s">
        <v>610</v>
      </c>
      <c r="D250" s="2" t="s">
        <v>611</v>
      </c>
      <c r="E250" s="2" t="s">
        <v>612</v>
      </c>
      <c r="F250" s="2" t="str">
        <f>IF(Names!$B250="M","Mr.",IF(Names!$B250="F","Ms.","Mx."))</f>
        <v>Ms.</v>
      </c>
      <c r="G250" s="2" t="str">
        <f>IF(Names!$B250="M","he",IF(Names!$B250="F","she","they"))</f>
        <v>she</v>
      </c>
      <c r="H250" s="2" t="str">
        <f>IF(Names!$B250="M","him",IF(Names!$B250="F","her","them"))</f>
        <v>her</v>
      </c>
      <c r="I250" s="2" t="str">
        <f>IF(Names!$B250="M","his",IF(Names!$B250="F","her","their"))</f>
        <v>her</v>
      </c>
    </row>
    <row r="251" ht="14.25" customHeight="1">
      <c r="A251" s="2">
        <v>250.0</v>
      </c>
      <c r="B251" s="2" t="s">
        <v>447</v>
      </c>
      <c r="C251" s="2" t="s">
        <v>613</v>
      </c>
      <c r="D251" s="2" t="s">
        <v>614</v>
      </c>
      <c r="E251" s="2" t="s">
        <v>615</v>
      </c>
      <c r="F251" s="2" t="str">
        <f>IF(Names!$B251="M","Mr.",IF(Names!$B251="F","Ms.","Mx."))</f>
        <v>Ms.</v>
      </c>
      <c r="G251" s="2" t="str">
        <f>IF(Names!$B251="M","he",IF(Names!$B251="F","she","they"))</f>
        <v>she</v>
      </c>
      <c r="H251" s="2" t="str">
        <f>IF(Names!$B251="M","him",IF(Names!$B251="F","her","them"))</f>
        <v>her</v>
      </c>
      <c r="I251" s="2" t="str">
        <f>IF(Names!$B251="M","his",IF(Names!$B251="F","her","their"))</f>
        <v>her</v>
      </c>
    </row>
    <row r="252" ht="14.25" customHeight="1">
      <c r="A252" s="2">
        <v>251.0</v>
      </c>
      <c r="B252" s="2" t="s">
        <v>447</v>
      </c>
      <c r="C252" s="2" t="s">
        <v>616</v>
      </c>
      <c r="D252" s="2" t="s">
        <v>617</v>
      </c>
      <c r="E252" s="2" t="s">
        <v>618</v>
      </c>
      <c r="F252" s="2" t="str">
        <f>IF(Names!$B252="M","Mr.",IF(Names!$B252="F","Ms.","Mx."))</f>
        <v>Ms.</v>
      </c>
      <c r="G252" s="2" t="str">
        <f>IF(Names!$B252="M","he",IF(Names!$B252="F","she","they"))</f>
        <v>she</v>
      </c>
      <c r="H252" s="2" t="str">
        <f>IF(Names!$B252="M","him",IF(Names!$B252="F","her","them"))</f>
        <v>her</v>
      </c>
      <c r="I252" s="2" t="str">
        <f>IF(Names!$B252="M","his",IF(Names!$B252="F","her","their"))</f>
        <v>her</v>
      </c>
    </row>
    <row r="253" ht="14.25" customHeight="1">
      <c r="A253" s="2">
        <v>252.0</v>
      </c>
      <c r="B253" s="2" t="s">
        <v>447</v>
      </c>
      <c r="C253" s="2" t="s">
        <v>619</v>
      </c>
      <c r="D253" s="2" t="s">
        <v>620</v>
      </c>
      <c r="E253" s="2" t="s">
        <v>621</v>
      </c>
      <c r="F253" s="2" t="str">
        <f>IF(Names!$B253="M","Mr.",IF(Names!$B253="F","Ms.","Mx."))</f>
        <v>Ms.</v>
      </c>
      <c r="G253" s="2" t="str">
        <f>IF(Names!$B253="M","he",IF(Names!$B253="F","she","they"))</f>
        <v>she</v>
      </c>
      <c r="H253" s="2" t="str">
        <f>IF(Names!$B253="M","him",IF(Names!$B253="F","her","them"))</f>
        <v>her</v>
      </c>
      <c r="I253" s="2" t="str">
        <f>IF(Names!$B253="M","his",IF(Names!$B253="F","her","their"))</f>
        <v>her</v>
      </c>
    </row>
    <row r="254" ht="14.25" customHeight="1">
      <c r="A254" s="2">
        <v>253.0</v>
      </c>
      <c r="B254" s="2" t="s">
        <v>447</v>
      </c>
      <c r="C254" s="2" t="s">
        <v>622</v>
      </c>
      <c r="D254" s="2" t="s">
        <v>623</v>
      </c>
      <c r="E254" s="2" t="s">
        <v>624</v>
      </c>
      <c r="F254" s="2" t="str">
        <f>IF(Names!$B254="M","Mr.",IF(Names!$B254="F","Ms.","Mx."))</f>
        <v>Ms.</v>
      </c>
      <c r="G254" s="2" t="str">
        <f>IF(Names!$B254="M","he",IF(Names!$B254="F","she","they"))</f>
        <v>she</v>
      </c>
      <c r="H254" s="2" t="str">
        <f>IF(Names!$B254="M","him",IF(Names!$B254="F","her","them"))</f>
        <v>her</v>
      </c>
      <c r="I254" s="2" t="str">
        <f>IF(Names!$B254="M","his",IF(Names!$B254="F","her","their"))</f>
        <v>her</v>
      </c>
    </row>
    <row r="255" ht="14.25" customHeight="1">
      <c r="A255" s="2">
        <v>254.0</v>
      </c>
      <c r="B255" s="2" t="s">
        <v>447</v>
      </c>
      <c r="C255" s="2" t="str">
        <f t="shared" ref="C255:C374" si="2">D255&amp;" "&amp;E255</f>
        <v>Scarlett Duncan</v>
      </c>
      <c r="D255" s="2" t="s">
        <v>625</v>
      </c>
      <c r="E255" s="2" t="s">
        <v>626</v>
      </c>
      <c r="F255" s="2" t="str">
        <f>IF(Names!$B255="M","Mr.",IF(Names!$B255="F","Ms.","Mx."))</f>
        <v>Ms.</v>
      </c>
      <c r="G255" s="2" t="str">
        <f>IF(Names!$B255="M","he",IF(Names!$B255="F","she","they"))</f>
        <v>she</v>
      </c>
      <c r="H255" s="2" t="str">
        <f>IF(Names!$B255="M","him",IF(Names!$B255="F","her","them"))</f>
        <v>her</v>
      </c>
      <c r="I255" s="2" t="str">
        <f>IF(Names!$B255="M","his",IF(Names!$B255="F","her","their"))</f>
        <v>her</v>
      </c>
    </row>
    <row r="256" ht="14.25" customHeight="1">
      <c r="A256" s="2">
        <v>255.0</v>
      </c>
      <c r="B256" s="2" t="s">
        <v>447</v>
      </c>
      <c r="C256" s="2" t="str">
        <f t="shared" si="2"/>
        <v>Madeleine Hunt</v>
      </c>
      <c r="D256" s="2" t="s">
        <v>627</v>
      </c>
      <c r="E256" s="2" t="s">
        <v>628</v>
      </c>
      <c r="F256" s="2" t="str">
        <f>IF(Names!$B256="M","Mr.",IF(Names!$B256="F","Ms.","Mx."))</f>
        <v>Ms.</v>
      </c>
      <c r="G256" s="2" t="str">
        <f>IF(Names!$B256="M","he",IF(Names!$B256="F","she","they"))</f>
        <v>she</v>
      </c>
      <c r="H256" s="2" t="str">
        <f>IF(Names!$B256="M","him",IF(Names!$B256="F","her","them"))</f>
        <v>her</v>
      </c>
      <c r="I256" s="2" t="str">
        <f>IF(Names!$B256="M","his",IF(Names!$B256="F","her","their"))</f>
        <v>her</v>
      </c>
    </row>
    <row r="257" ht="14.25" customHeight="1">
      <c r="A257" s="2">
        <v>256.0</v>
      </c>
      <c r="B257" s="2" t="s">
        <v>447</v>
      </c>
      <c r="C257" s="2" t="str">
        <f t="shared" si="2"/>
        <v>Eloise Burke</v>
      </c>
      <c r="D257" s="2" t="s">
        <v>629</v>
      </c>
      <c r="E257" s="2" t="s">
        <v>630</v>
      </c>
      <c r="F257" s="2" t="str">
        <f>IF(Names!$B257="M","Mr.",IF(Names!$B257="F","Ms.","Mx."))</f>
        <v>Ms.</v>
      </c>
      <c r="G257" s="2" t="str">
        <f>IF(Names!$B257="M","he",IF(Names!$B257="F","she","they"))</f>
        <v>she</v>
      </c>
      <c r="H257" s="2" t="str">
        <f>IF(Names!$B257="M","him",IF(Names!$B257="F","her","them"))</f>
        <v>her</v>
      </c>
      <c r="I257" s="2" t="str">
        <f>IF(Names!$B257="M","his",IF(Names!$B257="F","her","their"))</f>
        <v>her</v>
      </c>
    </row>
    <row r="258" ht="14.25" customHeight="1">
      <c r="A258" s="2">
        <v>257.0</v>
      </c>
      <c r="B258" s="2" t="s">
        <v>447</v>
      </c>
      <c r="C258" s="2" t="str">
        <f t="shared" si="2"/>
        <v>Tilly Hudson</v>
      </c>
      <c r="D258" s="2" t="s">
        <v>631</v>
      </c>
      <c r="E258" s="2" t="s">
        <v>632</v>
      </c>
      <c r="F258" s="2" t="str">
        <f>IF(Names!$B258="M","Mr.",IF(Names!$B258="F","Ms.","Mx."))</f>
        <v>Ms.</v>
      </c>
      <c r="G258" s="2" t="str">
        <f>IF(Names!$B258="M","he",IF(Names!$B258="F","she","they"))</f>
        <v>she</v>
      </c>
      <c r="H258" s="2" t="str">
        <f>IF(Names!$B258="M","him",IF(Names!$B258="F","her","them"))</f>
        <v>her</v>
      </c>
      <c r="I258" s="2" t="str">
        <f>IF(Names!$B258="M","his",IF(Names!$B258="F","her","their"))</f>
        <v>her</v>
      </c>
    </row>
    <row r="259" ht="14.25" customHeight="1">
      <c r="A259" s="2">
        <v>258.0</v>
      </c>
      <c r="B259" s="2" t="s">
        <v>447</v>
      </c>
      <c r="C259" s="2" t="str">
        <f t="shared" si="2"/>
        <v>Charlotte Hunter</v>
      </c>
      <c r="D259" s="2" t="s">
        <v>633</v>
      </c>
      <c r="E259" s="2" t="s">
        <v>634</v>
      </c>
      <c r="F259" s="2" t="str">
        <f>IF(Names!$B259="M","Mr.",IF(Names!$B259="F","Ms.","Mx."))</f>
        <v>Ms.</v>
      </c>
      <c r="G259" s="2" t="str">
        <f>IF(Names!$B259="M","he",IF(Names!$B259="F","she","they"))</f>
        <v>she</v>
      </c>
      <c r="H259" s="2" t="str">
        <f>IF(Names!$B259="M","him",IF(Names!$B259="F","her","them"))</f>
        <v>her</v>
      </c>
      <c r="I259" s="2" t="str">
        <f>IF(Names!$B259="M","his",IF(Names!$B259="F","her","their"))</f>
        <v>her</v>
      </c>
    </row>
    <row r="260" ht="14.25" customHeight="1">
      <c r="A260" s="2">
        <v>259.0</v>
      </c>
      <c r="B260" s="2" t="s">
        <v>447</v>
      </c>
      <c r="C260" s="2" t="str">
        <f t="shared" si="2"/>
        <v>Teagan Flynn</v>
      </c>
      <c r="D260" s="2" t="s">
        <v>192</v>
      </c>
      <c r="E260" s="2" t="s">
        <v>635</v>
      </c>
      <c r="F260" s="2" t="str">
        <f>IF(Names!$B260="M","Mr.",IF(Names!$B260="F","Ms.","Mx."))</f>
        <v>Ms.</v>
      </c>
      <c r="G260" s="2" t="str">
        <f>IF(Names!$B260="M","he",IF(Names!$B260="F","she","they"))</f>
        <v>she</v>
      </c>
      <c r="H260" s="2" t="str">
        <f>IF(Names!$B260="M","him",IF(Names!$B260="F","her","them"))</f>
        <v>her</v>
      </c>
      <c r="I260" s="2" t="str">
        <f>IF(Names!$B260="M","his",IF(Names!$B260="F","her","their"))</f>
        <v>her</v>
      </c>
    </row>
    <row r="261" ht="14.25" customHeight="1">
      <c r="A261" s="2">
        <v>260.0</v>
      </c>
      <c r="B261" s="2" t="s">
        <v>447</v>
      </c>
      <c r="C261" s="2" t="str">
        <f t="shared" si="2"/>
        <v>Alice Harrell</v>
      </c>
      <c r="D261" s="2" t="s">
        <v>588</v>
      </c>
      <c r="E261" s="2" t="s">
        <v>636</v>
      </c>
      <c r="F261" s="2" t="str">
        <f>IF(Names!$B261="M","Mr.",IF(Names!$B261="F","Ms.","Mx."))</f>
        <v>Ms.</v>
      </c>
      <c r="G261" s="2" t="str">
        <f>IF(Names!$B261="M","he",IF(Names!$B261="F","she","they"))</f>
        <v>she</v>
      </c>
      <c r="H261" s="2" t="str">
        <f>IF(Names!$B261="M","him",IF(Names!$B261="F","her","them"))</f>
        <v>her</v>
      </c>
      <c r="I261" s="2" t="str">
        <f>IF(Names!$B261="M","his",IF(Names!$B261="F","her","their"))</f>
        <v>her</v>
      </c>
    </row>
    <row r="262" ht="14.25" customHeight="1">
      <c r="A262" s="2">
        <v>261.0</v>
      </c>
      <c r="B262" s="2" t="s">
        <v>447</v>
      </c>
      <c r="C262" s="2" t="str">
        <f t="shared" si="2"/>
        <v>Kennedy Flowers</v>
      </c>
      <c r="D262" s="2" t="s">
        <v>637</v>
      </c>
      <c r="E262" s="2" t="s">
        <v>638</v>
      </c>
      <c r="F262" s="2" t="str">
        <f>IF(Names!$B262="M","Mr.",IF(Names!$B262="F","Ms.","Mx."))</f>
        <v>Ms.</v>
      </c>
      <c r="G262" s="2" t="str">
        <f>IF(Names!$B262="M","he",IF(Names!$B262="F","she","they"))</f>
        <v>she</v>
      </c>
      <c r="H262" s="2" t="str">
        <f>IF(Names!$B262="M","him",IF(Names!$B262="F","her","them"))</f>
        <v>her</v>
      </c>
      <c r="I262" s="2" t="str">
        <f>IF(Names!$B262="M","his",IF(Names!$B262="F","her","their"))</f>
        <v>her</v>
      </c>
    </row>
    <row r="263" ht="14.25" customHeight="1">
      <c r="A263" s="2">
        <v>262.0</v>
      </c>
      <c r="B263" s="2" t="s">
        <v>447</v>
      </c>
      <c r="C263" s="2" t="str">
        <f t="shared" si="2"/>
        <v>Haylee Barnett</v>
      </c>
      <c r="D263" s="2" t="s">
        <v>639</v>
      </c>
      <c r="E263" s="2" t="s">
        <v>640</v>
      </c>
      <c r="F263" s="2" t="str">
        <f>IF(Names!$B263="M","Mr.",IF(Names!$B263="F","Ms.","Mx."))</f>
        <v>Ms.</v>
      </c>
      <c r="G263" s="2" t="str">
        <f>IF(Names!$B263="M","he",IF(Names!$B263="F","she","they"))</f>
        <v>she</v>
      </c>
      <c r="H263" s="2" t="str">
        <f>IF(Names!$B263="M","him",IF(Names!$B263="F","her","them"))</f>
        <v>her</v>
      </c>
      <c r="I263" s="2" t="str">
        <f>IF(Names!$B263="M","his",IF(Names!$B263="F","her","their"))</f>
        <v>her</v>
      </c>
    </row>
    <row r="264" ht="14.25" customHeight="1">
      <c r="A264" s="2">
        <v>263.0</v>
      </c>
      <c r="B264" s="2" t="s">
        <v>447</v>
      </c>
      <c r="C264" s="2" t="str">
        <f t="shared" si="2"/>
        <v>Linda Stanley</v>
      </c>
      <c r="D264" s="2" t="s">
        <v>641</v>
      </c>
      <c r="E264" s="2" t="s">
        <v>642</v>
      </c>
      <c r="F264" s="2" t="str">
        <f>IF(Names!$B264="M","Mr.",IF(Names!$B264="F","Ms.","Mx."))</f>
        <v>Ms.</v>
      </c>
      <c r="G264" s="2" t="str">
        <f>IF(Names!$B264="M","he",IF(Names!$B264="F","she","they"))</f>
        <v>she</v>
      </c>
      <c r="H264" s="2" t="str">
        <f>IF(Names!$B264="M","him",IF(Names!$B264="F","her","them"))</f>
        <v>her</v>
      </c>
      <c r="I264" s="2" t="str">
        <f>IF(Names!$B264="M","his",IF(Names!$B264="F","her","their"))</f>
        <v>her</v>
      </c>
    </row>
    <row r="265" ht="14.25" customHeight="1">
      <c r="A265" s="2">
        <v>264.0</v>
      </c>
      <c r="B265" s="2" t="s">
        <v>447</v>
      </c>
      <c r="C265" s="2" t="str">
        <f t="shared" si="2"/>
        <v>Natasha Rogers</v>
      </c>
      <c r="D265" s="2" t="s">
        <v>643</v>
      </c>
      <c r="E265" s="2" t="s">
        <v>145</v>
      </c>
      <c r="F265" s="2" t="str">
        <f>IF(Names!$B265="M","Mr.",IF(Names!$B265="F","Ms.","Mx."))</f>
        <v>Ms.</v>
      </c>
      <c r="G265" s="2" t="str">
        <f>IF(Names!$B265="M","he",IF(Names!$B265="F","she","they"))</f>
        <v>she</v>
      </c>
      <c r="H265" s="2" t="str">
        <f>IF(Names!$B265="M","him",IF(Names!$B265="F","her","them"))</f>
        <v>her</v>
      </c>
      <c r="I265" s="2" t="str">
        <f>IF(Names!$B265="M","his",IF(Names!$B265="F","her","their"))</f>
        <v>her</v>
      </c>
    </row>
    <row r="266" ht="14.25" customHeight="1">
      <c r="A266" s="2">
        <v>265.0</v>
      </c>
      <c r="B266" s="2" t="s">
        <v>447</v>
      </c>
      <c r="C266" s="2" t="str">
        <f t="shared" si="2"/>
        <v>Libby Andrews</v>
      </c>
      <c r="D266" s="2" t="s">
        <v>644</v>
      </c>
      <c r="E266" s="2" t="s">
        <v>645</v>
      </c>
      <c r="F266" s="2" t="str">
        <f>IF(Names!$B266="M","Mr.",IF(Names!$B266="F","Ms.","Mx."))</f>
        <v>Ms.</v>
      </c>
      <c r="G266" s="2" t="str">
        <f>IF(Names!$B266="M","he",IF(Names!$B266="F","she","they"))</f>
        <v>she</v>
      </c>
      <c r="H266" s="2" t="str">
        <f>IF(Names!$B266="M","him",IF(Names!$B266="F","her","them"))</f>
        <v>her</v>
      </c>
      <c r="I266" s="2" t="str">
        <f>IF(Names!$B266="M","his",IF(Names!$B266="F","her","their"))</f>
        <v>her</v>
      </c>
    </row>
    <row r="267" ht="14.25" customHeight="1">
      <c r="A267" s="2">
        <v>266.0</v>
      </c>
      <c r="B267" s="2" t="s">
        <v>447</v>
      </c>
      <c r="C267" s="2" t="str">
        <f t="shared" si="2"/>
        <v>Danielle Burke</v>
      </c>
      <c r="D267" s="2" t="s">
        <v>523</v>
      </c>
      <c r="E267" s="2" t="s">
        <v>630</v>
      </c>
      <c r="F267" s="2" t="str">
        <f>IF(Names!$B267="M","Mr.",IF(Names!$B267="F","Ms.","Mx."))</f>
        <v>Ms.</v>
      </c>
      <c r="G267" s="2" t="str">
        <f>IF(Names!$B267="M","he",IF(Names!$B267="F","she","they"))</f>
        <v>she</v>
      </c>
      <c r="H267" s="2" t="str">
        <f>IF(Names!$B267="M","him",IF(Names!$B267="F","her","them"))</f>
        <v>her</v>
      </c>
      <c r="I267" s="2" t="str">
        <f>IF(Names!$B267="M","his",IF(Names!$B267="F","her","their"))</f>
        <v>her</v>
      </c>
    </row>
    <row r="268" ht="14.25" customHeight="1">
      <c r="A268" s="2">
        <v>267.0</v>
      </c>
      <c r="B268" s="2" t="s">
        <v>447</v>
      </c>
      <c r="C268" s="2" t="str">
        <f t="shared" si="2"/>
        <v>Caitlin Bailey</v>
      </c>
      <c r="D268" s="2" t="s">
        <v>646</v>
      </c>
      <c r="E268" s="2" t="s">
        <v>539</v>
      </c>
      <c r="F268" s="2" t="str">
        <f>IF(Names!$B268="M","Mr.",IF(Names!$B268="F","Ms.","Mx."))</f>
        <v>Ms.</v>
      </c>
      <c r="G268" s="2" t="str">
        <f>IF(Names!$B268="M","he",IF(Names!$B268="F","she","they"))</f>
        <v>she</v>
      </c>
      <c r="H268" s="2" t="str">
        <f>IF(Names!$B268="M","him",IF(Names!$B268="F","her","them"))</f>
        <v>her</v>
      </c>
      <c r="I268" s="2" t="str">
        <f>IF(Names!$B268="M","his",IF(Names!$B268="F","her","their"))</f>
        <v>her</v>
      </c>
    </row>
    <row r="269" ht="14.25" customHeight="1">
      <c r="A269" s="2">
        <v>268.0</v>
      </c>
      <c r="B269" s="2" t="s">
        <v>447</v>
      </c>
      <c r="C269" s="2" t="str">
        <f t="shared" si="2"/>
        <v>Scarlett Burton</v>
      </c>
      <c r="D269" s="2" t="s">
        <v>625</v>
      </c>
      <c r="E269" s="2" t="s">
        <v>647</v>
      </c>
      <c r="F269" s="2" t="str">
        <f>IF(Names!$B269="M","Mr.",IF(Names!$B269="F","Ms.","Mx."))</f>
        <v>Ms.</v>
      </c>
      <c r="G269" s="2" t="str">
        <f>IF(Names!$B269="M","he",IF(Names!$B269="F","she","they"))</f>
        <v>she</v>
      </c>
      <c r="H269" s="2" t="str">
        <f>IF(Names!$B269="M","him",IF(Names!$B269="F","her","them"))</f>
        <v>her</v>
      </c>
      <c r="I269" s="2" t="str">
        <f>IF(Names!$B269="M","his",IF(Names!$B269="F","her","their"))</f>
        <v>her</v>
      </c>
    </row>
    <row r="270" ht="14.25" customHeight="1">
      <c r="A270" s="2">
        <v>269.0</v>
      </c>
      <c r="B270" s="2" t="s">
        <v>447</v>
      </c>
      <c r="C270" s="2" t="str">
        <f t="shared" si="2"/>
        <v>Ayana Lane</v>
      </c>
      <c r="D270" s="2" t="s">
        <v>648</v>
      </c>
      <c r="E270" s="2" t="s">
        <v>53</v>
      </c>
      <c r="F270" s="2" t="str">
        <f>IF(Names!$B270="M","Mr.",IF(Names!$B270="F","Ms.","Mx."))</f>
        <v>Ms.</v>
      </c>
      <c r="G270" s="2" t="str">
        <f>IF(Names!$B270="M","he",IF(Names!$B270="F","she","they"))</f>
        <v>she</v>
      </c>
      <c r="H270" s="2" t="str">
        <f>IF(Names!$B270="M","him",IF(Names!$B270="F","her","them"))</f>
        <v>her</v>
      </c>
      <c r="I270" s="2" t="str">
        <f>IF(Names!$B270="M","his",IF(Names!$B270="F","her","their"))</f>
        <v>her</v>
      </c>
    </row>
    <row r="271" ht="14.25" customHeight="1">
      <c r="A271" s="2">
        <v>270.0</v>
      </c>
      <c r="B271" s="2" t="s">
        <v>447</v>
      </c>
      <c r="C271" s="2" t="str">
        <f t="shared" si="2"/>
        <v>Mercedes Maldonado</v>
      </c>
      <c r="D271" s="2" t="s">
        <v>649</v>
      </c>
      <c r="E271" s="2" t="s">
        <v>650</v>
      </c>
      <c r="F271" s="2" t="str">
        <f>IF(Names!$B271="M","Mr.",IF(Names!$B271="F","Ms.","Mx."))</f>
        <v>Ms.</v>
      </c>
      <c r="G271" s="2" t="str">
        <f>IF(Names!$B271="M","he",IF(Names!$B271="F","she","they"))</f>
        <v>she</v>
      </c>
      <c r="H271" s="2" t="str">
        <f>IF(Names!$B271="M","him",IF(Names!$B271="F","her","them"))</f>
        <v>her</v>
      </c>
      <c r="I271" s="2" t="str">
        <f>IF(Names!$B271="M","his",IF(Names!$B271="F","her","their"))</f>
        <v>her</v>
      </c>
    </row>
    <row r="272" ht="14.25" customHeight="1">
      <c r="A272" s="2">
        <v>271.0</v>
      </c>
      <c r="B272" s="2" t="s">
        <v>447</v>
      </c>
      <c r="C272" s="2" t="str">
        <f t="shared" si="2"/>
        <v>Zuri Winters</v>
      </c>
      <c r="D272" s="2" t="s">
        <v>651</v>
      </c>
      <c r="E272" s="2" t="s">
        <v>652</v>
      </c>
      <c r="F272" s="2" t="str">
        <f>IF(Names!$B272="M","Mr.",IF(Names!$B272="F","Ms.","Mx."))</f>
        <v>Ms.</v>
      </c>
      <c r="G272" s="2" t="str">
        <f>IF(Names!$B272="M","he",IF(Names!$B272="F","she","they"))</f>
        <v>she</v>
      </c>
      <c r="H272" s="2" t="str">
        <f>IF(Names!$B272="M","him",IF(Names!$B272="F","her","them"))</f>
        <v>her</v>
      </c>
      <c r="I272" s="2" t="str">
        <f>IF(Names!$B272="M","his",IF(Names!$B272="F","her","their"))</f>
        <v>her</v>
      </c>
    </row>
    <row r="273" ht="14.25" customHeight="1">
      <c r="A273" s="2">
        <v>272.0</v>
      </c>
      <c r="B273" s="2" t="s">
        <v>447</v>
      </c>
      <c r="C273" s="2" t="str">
        <f t="shared" si="2"/>
        <v>Azariah Clements</v>
      </c>
      <c r="D273" s="2" t="s">
        <v>653</v>
      </c>
      <c r="E273" s="2" t="s">
        <v>654</v>
      </c>
      <c r="F273" s="2" t="str">
        <f>IF(Names!$B273="M","Mr.",IF(Names!$B273="F","Ms.","Mx."))</f>
        <v>Ms.</v>
      </c>
      <c r="G273" s="2" t="str">
        <f>IF(Names!$B273="M","he",IF(Names!$B273="F","she","they"))</f>
        <v>she</v>
      </c>
      <c r="H273" s="2" t="str">
        <f>IF(Names!$B273="M","him",IF(Names!$B273="F","her","them"))</f>
        <v>her</v>
      </c>
      <c r="I273" s="2" t="str">
        <f>IF(Names!$B273="M","his",IF(Names!$B273="F","her","their"))</f>
        <v>her</v>
      </c>
    </row>
    <row r="274" ht="14.25" customHeight="1">
      <c r="A274" s="2">
        <v>273.0</v>
      </c>
      <c r="B274" s="2" t="s">
        <v>447</v>
      </c>
      <c r="C274" s="2" t="str">
        <f t="shared" si="2"/>
        <v>Macie Anderson</v>
      </c>
      <c r="D274" s="2" t="s">
        <v>655</v>
      </c>
      <c r="E274" s="2" t="s">
        <v>656</v>
      </c>
      <c r="F274" s="2" t="str">
        <f>IF(Names!$B274="M","Mr.",IF(Names!$B274="F","Ms.","Mx."))</f>
        <v>Ms.</v>
      </c>
      <c r="G274" s="2" t="str">
        <f>IF(Names!$B274="M","he",IF(Names!$B274="F","she","they"))</f>
        <v>she</v>
      </c>
      <c r="H274" s="2" t="str">
        <f>IF(Names!$B274="M","him",IF(Names!$B274="F","her","them"))</f>
        <v>her</v>
      </c>
      <c r="I274" s="2" t="str">
        <f>IF(Names!$B274="M","his",IF(Names!$B274="F","her","their"))</f>
        <v>her</v>
      </c>
    </row>
    <row r="275" ht="14.25" customHeight="1">
      <c r="A275" s="2">
        <v>274.0</v>
      </c>
      <c r="B275" s="2" t="s">
        <v>447</v>
      </c>
      <c r="C275" s="2" t="str">
        <f t="shared" si="2"/>
        <v>Imogen Reynolds</v>
      </c>
      <c r="D275" s="2" t="s">
        <v>657</v>
      </c>
      <c r="E275" s="2" t="s">
        <v>658</v>
      </c>
      <c r="F275" s="2" t="str">
        <f>IF(Names!$B275="M","Mr.",IF(Names!$B275="F","Ms.","Mx."))</f>
        <v>Ms.</v>
      </c>
      <c r="G275" s="2" t="str">
        <f>IF(Names!$B275="M","he",IF(Names!$B275="F","she","they"))</f>
        <v>she</v>
      </c>
      <c r="H275" s="2" t="str">
        <f>IF(Names!$B275="M","him",IF(Names!$B275="F","her","them"))</f>
        <v>her</v>
      </c>
      <c r="I275" s="2" t="str">
        <f>IF(Names!$B275="M","his",IF(Names!$B275="F","her","their"))</f>
        <v>her</v>
      </c>
    </row>
    <row r="276" ht="14.25" customHeight="1">
      <c r="A276" s="2">
        <v>275.0</v>
      </c>
      <c r="B276" s="2" t="s">
        <v>447</v>
      </c>
      <c r="C276" s="2" t="str">
        <f t="shared" si="2"/>
        <v>Scarlett Shaw</v>
      </c>
      <c r="D276" s="2" t="s">
        <v>625</v>
      </c>
      <c r="E276" s="2" t="s">
        <v>659</v>
      </c>
      <c r="F276" s="2" t="str">
        <f>IF(Names!$B276="M","Mr.",IF(Names!$B276="F","Ms.","Mx."))</f>
        <v>Ms.</v>
      </c>
      <c r="G276" s="2" t="str">
        <f>IF(Names!$B276="M","he",IF(Names!$B276="F","she","they"))</f>
        <v>she</v>
      </c>
      <c r="H276" s="2" t="str">
        <f>IF(Names!$B276="M","him",IF(Names!$B276="F","her","them"))</f>
        <v>her</v>
      </c>
      <c r="I276" s="2" t="str">
        <f>IF(Names!$B276="M","his",IF(Names!$B276="F","her","their"))</f>
        <v>her</v>
      </c>
    </row>
    <row r="277" ht="14.25" customHeight="1">
      <c r="A277" s="2">
        <v>276.0</v>
      </c>
      <c r="B277" s="2" t="s">
        <v>447</v>
      </c>
      <c r="C277" s="2" t="str">
        <f t="shared" si="2"/>
        <v>Melissa Owen</v>
      </c>
      <c r="D277" s="2" t="s">
        <v>660</v>
      </c>
      <c r="E277" s="2" t="s">
        <v>661</v>
      </c>
      <c r="F277" s="2" t="str">
        <f>IF(Names!$B277="M","Mr.",IF(Names!$B277="F","Ms.","Mx."))</f>
        <v>Ms.</v>
      </c>
      <c r="G277" s="2" t="str">
        <f>IF(Names!$B277="M","he",IF(Names!$B277="F","she","they"))</f>
        <v>she</v>
      </c>
      <c r="H277" s="2" t="str">
        <f>IF(Names!$B277="M","him",IF(Names!$B277="F","her","them"))</f>
        <v>her</v>
      </c>
      <c r="I277" s="2" t="str">
        <f>IF(Names!$B277="M","his",IF(Names!$B277="F","her","their"))</f>
        <v>her</v>
      </c>
    </row>
    <row r="278" ht="14.25" customHeight="1">
      <c r="A278" s="2">
        <v>277.0</v>
      </c>
      <c r="B278" s="2" t="s">
        <v>447</v>
      </c>
      <c r="C278" s="2" t="str">
        <f t="shared" si="2"/>
        <v>Lucy Martin</v>
      </c>
      <c r="D278" s="2" t="s">
        <v>662</v>
      </c>
      <c r="E278" s="2" t="s">
        <v>663</v>
      </c>
      <c r="F278" s="2" t="str">
        <f>IF(Names!$B278="M","Mr.",IF(Names!$B278="F","Ms.","Mx."))</f>
        <v>Ms.</v>
      </c>
      <c r="G278" s="2" t="str">
        <f>IF(Names!$B278="M","he",IF(Names!$B278="F","she","they"))</f>
        <v>she</v>
      </c>
      <c r="H278" s="2" t="str">
        <f>IF(Names!$B278="M","him",IF(Names!$B278="F","her","them"))</f>
        <v>her</v>
      </c>
      <c r="I278" s="2" t="str">
        <f>IF(Names!$B278="M","his",IF(Names!$B278="F","her","their"))</f>
        <v>her</v>
      </c>
    </row>
    <row r="279" ht="14.25" customHeight="1">
      <c r="A279" s="2">
        <v>278.0</v>
      </c>
      <c r="B279" s="2" t="s">
        <v>447</v>
      </c>
      <c r="C279" s="2" t="str">
        <f t="shared" si="2"/>
        <v>Eve Fletcher</v>
      </c>
      <c r="D279" s="2" t="s">
        <v>574</v>
      </c>
      <c r="E279" s="2" t="s">
        <v>563</v>
      </c>
      <c r="F279" s="2" t="str">
        <f>IF(Names!$B279="M","Mr.",IF(Names!$B279="F","Ms.","Mx."))</f>
        <v>Ms.</v>
      </c>
      <c r="G279" s="2" t="str">
        <f>IF(Names!$B279="M","he",IF(Names!$B279="F","she","they"))</f>
        <v>she</v>
      </c>
      <c r="H279" s="2" t="str">
        <f>IF(Names!$B279="M","him",IF(Names!$B279="F","her","them"))</f>
        <v>her</v>
      </c>
      <c r="I279" s="2" t="str">
        <f>IF(Names!$B279="M","his",IF(Names!$B279="F","her","their"))</f>
        <v>her</v>
      </c>
    </row>
    <row r="280" ht="14.25" customHeight="1">
      <c r="A280" s="2">
        <v>279.0</v>
      </c>
      <c r="B280" s="2" t="s">
        <v>447</v>
      </c>
      <c r="C280" s="2" t="str">
        <f t="shared" si="2"/>
        <v>Raina Terry</v>
      </c>
      <c r="D280" s="2" t="s">
        <v>664</v>
      </c>
      <c r="E280" s="2" t="s">
        <v>665</v>
      </c>
      <c r="F280" s="2" t="str">
        <f>IF(Names!$B280="M","Mr.",IF(Names!$B280="F","Ms.","Mx."))</f>
        <v>Ms.</v>
      </c>
      <c r="G280" s="2" t="str">
        <f>IF(Names!$B280="M","he",IF(Names!$B280="F","she","they"))</f>
        <v>she</v>
      </c>
      <c r="H280" s="2" t="str">
        <f>IF(Names!$B280="M","him",IF(Names!$B280="F","her","them"))</f>
        <v>her</v>
      </c>
      <c r="I280" s="2" t="str">
        <f>IF(Names!$B280="M","his",IF(Names!$B280="F","her","their"))</f>
        <v>her</v>
      </c>
    </row>
    <row r="281" ht="14.25" customHeight="1">
      <c r="A281" s="2">
        <v>280.0</v>
      </c>
      <c r="B281" s="2" t="s">
        <v>447</v>
      </c>
      <c r="C281" s="2" t="str">
        <f t="shared" si="2"/>
        <v>Eva Battle</v>
      </c>
      <c r="D281" s="2" t="s">
        <v>494</v>
      </c>
      <c r="E281" s="2" t="s">
        <v>666</v>
      </c>
      <c r="F281" s="2" t="str">
        <f>IF(Names!$B281="M","Mr.",IF(Names!$B281="F","Ms.","Mx."))</f>
        <v>Ms.</v>
      </c>
      <c r="G281" s="2" t="str">
        <f>IF(Names!$B281="M","he",IF(Names!$B281="F","she","they"))</f>
        <v>she</v>
      </c>
      <c r="H281" s="2" t="str">
        <f>IF(Names!$B281="M","him",IF(Names!$B281="F","her","them"))</f>
        <v>her</v>
      </c>
      <c r="I281" s="2" t="str">
        <f>IF(Names!$B281="M","his",IF(Names!$B281="F","her","their"))</f>
        <v>her</v>
      </c>
    </row>
    <row r="282" ht="14.25" customHeight="1">
      <c r="A282" s="2">
        <v>281.0</v>
      </c>
      <c r="B282" s="2" t="s">
        <v>447</v>
      </c>
      <c r="C282" s="2" t="str">
        <f t="shared" si="2"/>
        <v>Lilly Decker</v>
      </c>
      <c r="D282" s="2" t="s">
        <v>667</v>
      </c>
      <c r="E282" s="2" t="s">
        <v>668</v>
      </c>
      <c r="F282" s="2" t="str">
        <f>IF(Names!$B282="M","Mr.",IF(Names!$B282="F","Ms.","Mx."))</f>
        <v>Ms.</v>
      </c>
      <c r="G282" s="2" t="str">
        <f>IF(Names!$B282="M","he",IF(Names!$B282="F","she","they"))</f>
        <v>she</v>
      </c>
      <c r="H282" s="2" t="str">
        <f>IF(Names!$B282="M","him",IF(Names!$B282="F","her","them"))</f>
        <v>her</v>
      </c>
      <c r="I282" s="2" t="str">
        <f>IF(Names!$B282="M","his",IF(Names!$B282="F","her","their"))</f>
        <v>her</v>
      </c>
    </row>
    <row r="283" ht="14.25" customHeight="1">
      <c r="A283" s="2">
        <v>282.0</v>
      </c>
      <c r="B283" s="2" t="s">
        <v>447</v>
      </c>
      <c r="C283" s="2" t="str">
        <f t="shared" si="2"/>
        <v>Gianna Guthrie</v>
      </c>
      <c r="D283" s="2" t="s">
        <v>669</v>
      </c>
      <c r="E283" s="2" t="s">
        <v>670</v>
      </c>
      <c r="F283" s="2" t="str">
        <f>IF(Names!$B283="M","Mr.",IF(Names!$B283="F","Ms.","Mx."))</f>
        <v>Ms.</v>
      </c>
      <c r="G283" s="2" t="str">
        <f>IF(Names!$B283="M","he",IF(Names!$B283="F","she","they"))</f>
        <v>she</v>
      </c>
      <c r="H283" s="2" t="str">
        <f>IF(Names!$B283="M","him",IF(Names!$B283="F","her","them"))</f>
        <v>her</v>
      </c>
      <c r="I283" s="2" t="str">
        <f>IF(Names!$B283="M","his",IF(Names!$B283="F","her","their"))</f>
        <v>her</v>
      </c>
    </row>
    <row r="284" ht="14.25" customHeight="1">
      <c r="A284" s="2">
        <v>283.0</v>
      </c>
      <c r="B284" s="2" t="s">
        <v>447</v>
      </c>
      <c r="C284" s="2" t="str">
        <f t="shared" si="2"/>
        <v>Kelsey Barton</v>
      </c>
      <c r="D284" s="2" t="s">
        <v>671</v>
      </c>
      <c r="E284" s="2" t="s">
        <v>672</v>
      </c>
      <c r="F284" s="2" t="str">
        <f>IF(Names!$B284="M","Mr.",IF(Names!$B284="F","Ms.","Mx."))</f>
        <v>Ms.</v>
      </c>
      <c r="G284" s="2" t="str">
        <f>IF(Names!$B284="M","he",IF(Names!$B284="F","she","they"))</f>
        <v>she</v>
      </c>
      <c r="H284" s="2" t="str">
        <f>IF(Names!$B284="M","him",IF(Names!$B284="F","her","them"))</f>
        <v>her</v>
      </c>
      <c r="I284" s="2" t="str">
        <f>IF(Names!$B284="M","his",IF(Names!$B284="F","her","their"))</f>
        <v>her</v>
      </c>
    </row>
    <row r="285" ht="14.25" customHeight="1">
      <c r="A285" s="2">
        <v>284.0</v>
      </c>
      <c r="B285" s="2" t="s">
        <v>447</v>
      </c>
      <c r="C285" s="2" t="str">
        <f t="shared" si="2"/>
        <v>Mbong Bapetel</v>
      </c>
      <c r="D285" s="2" t="s">
        <v>673</v>
      </c>
      <c r="E285" s="2" t="s">
        <v>674</v>
      </c>
      <c r="F285" s="2" t="str">
        <f>IF(Names!$B285="M","Mr.",IF(Names!$B285="F","Ms.","Mx."))</f>
        <v>Ms.</v>
      </c>
      <c r="G285" s="2" t="str">
        <f>IF(Names!$B285="M","he",IF(Names!$B285="F","she","they"))</f>
        <v>she</v>
      </c>
      <c r="H285" s="2" t="str">
        <f>IF(Names!$B285="M","him",IF(Names!$B285="F","her","them"))</f>
        <v>her</v>
      </c>
      <c r="I285" s="2" t="str">
        <f>IF(Names!$B285="M","his",IF(Names!$B285="F","her","their"))</f>
        <v>her</v>
      </c>
    </row>
    <row r="286" ht="14.25" customHeight="1">
      <c r="A286" s="2">
        <v>285.0</v>
      </c>
      <c r="B286" s="2" t="s">
        <v>447</v>
      </c>
      <c r="C286" s="2" t="str">
        <f t="shared" si="2"/>
        <v>Bih Limba</v>
      </c>
      <c r="D286" s="2" t="s">
        <v>675</v>
      </c>
      <c r="E286" s="2" t="s">
        <v>676</v>
      </c>
      <c r="F286" s="2" t="str">
        <f>IF(Names!$B286="M","Mr.",IF(Names!$B286="F","Ms.","Mx."))</f>
        <v>Ms.</v>
      </c>
      <c r="G286" s="2" t="str">
        <f>IF(Names!$B286="M","he",IF(Names!$B286="F","she","they"))</f>
        <v>she</v>
      </c>
      <c r="H286" s="2" t="str">
        <f>IF(Names!$B286="M","him",IF(Names!$B286="F","her","them"))</f>
        <v>her</v>
      </c>
      <c r="I286" s="2" t="str">
        <f>IF(Names!$B286="M","his",IF(Names!$B286="F","her","their"))</f>
        <v>her</v>
      </c>
    </row>
    <row r="287" ht="14.25" customHeight="1">
      <c r="A287" s="2">
        <v>286.0</v>
      </c>
      <c r="B287" s="2" t="s">
        <v>447</v>
      </c>
      <c r="C287" s="2" t="str">
        <f t="shared" si="2"/>
        <v>Malun Mekongo</v>
      </c>
      <c r="D287" s="2" t="s">
        <v>677</v>
      </c>
      <c r="E287" s="2" t="s">
        <v>678</v>
      </c>
      <c r="F287" s="2" t="str">
        <f>IF(Names!$B287="M","Mr.",IF(Names!$B287="F","Ms.","Mx."))</f>
        <v>Ms.</v>
      </c>
      <c r="G287" s="2" t="str">
        <f>IF(Names!$B287="M","he",IF(Names!$B287="F","she","they"))</f>
        <v>she</v>
      </c>
      <c r="H287" s="2" t="str">
        <f>IF(Names!$B287="M","him",IF(Names!$B287="F","her","them"))</f>
        <v>her</v>
      </c>
      <c r="I287" s="2" t="str">
        <f>IF(Names!$B287="M","his",IF(Names!$B287="F","her","their"))</f>
        <v>her</v>
      </c>
    </row>
    <row r="288" ht="14.25" customHeight="1">
      <c r="A288" s="2">
        <v>287.0</v>
      </c>
      <c r="B288" s="2" t="s">
        <v>447</v>
      </c>
      <c r="C288" s="2" t="str">
        <f t="shared" si="2"/>
        <v>Naghen Menosha</v>
      </c>
      <c r="D288" s="2" t="s">
        <v>679</v>
      </c>
      <c r="E288" s="2" t="s">
        <v>680</v>
      </c>
      <c r="F288" s="2" t="str">
        <f>IF(Names!$B288="M","Mr.",IF(Names!$B288="F","Ms.","Mx."))</f>
        <v>Ms.</v>
      </c>
      <c r="G288" s="2" t="str">
        <f>IF(Names!$B288="M","he",IF(Names!$B288="F","she","they"))</f>
        <v>she</v>
      </c>
      <c r="H288" s="2" t="str">
        <f>IF(Names!$B288="M","him",IF(Names!$B288="F","her","them"))</f>
        <v>her</v>
      </c>
      <c r="I288" s="2" t="str">
        <f>IF(Names!$B288="M","his",IF(Names!$B288="F","her","their"))</f>
        <v>her</v>
      </c>
    </row>
    <row r="289" ht="14.25" customHeight="1">
      <c r="A289" s="2">
        <v>288.0</v>
      </c>
      <c r="B289" s="2" t="s">
        <v>447</v>
      </c>
      <c r="C289" s="2" t="str">
        <f t="shared" si="2"/>
        <v>Rougayatou Obalambo</v>
      </c>
      <c r="D289" s="2" t="s">
        <v>681</v>
      </c>
      <c r="E289" s="2" t="s">
        <v>682</v>
      </c>
      <c r="F289" s="2" t="str">
        <f>IF(Names!$B289="M","Mr.",IF(Names!$B289="F","Ms.","Mx."))</f>
        <v>Ms.</v>
      </c>
      <c r="G289" s="2" t="str">
        <f>IF(Names!$B289="M","he",IF(Names!$B289="F","she","they"))</f>
        <v>she</v>
      </c>
      <c r="H289" s="2" t="str">
        <f>IF(Names!$B289="M","him",IF(Names!$B289="F","her","them"))</f>
        <v>her</v>
      </c>
      <c r="I289" s="2" t="str">
        <f>IF(Names!$B289="M","his",IF(Names!$B289="F","her","their"))</f>
        <v>her</v>
      </c>
    </row>
    <row r="290" ht="14.25" customHeight="1">
      <c r="A290" s="2">
        <v>289.0</v>
      </c>
      <c r="B290" s="2" t="s">
        <v>447</v>
      </c>
      <c r="C290" s="2" t="str">
        <f t="shared" si="2"/>
        <v>Jennifer Kwasi</v>
      </c>
      <c r="D290" s="2" t="s">
        <v>683</v>
      </c>
      <c r="E290" s="2" t="s">
        <v>684</v>
      </c>
      <c r="F290" s="2" t="str">
        <f>IF(Names!$B290="M","Mr.",IF(Names!$B290="F","Ms.","Mx."))</f>
        <v>Ms.</v>
      </c>
      <c r="G290" s="2" t="str">
        <f>IF(Names!$B290="M","he",IF(Names!$B290="F","she","they"))</f>
        <v>she</v>
      </c>
      <c r="H290" s="2" t="str">
        <f>IF(Names!$B290="M","him",IF(Names!$B290="F","her","them"))</f>
        <v>her</v>
      </c>
      <c r="I290" s="2" t="str">
        <f>IF(Names!$B290="M","his",IF(Names!$B290="F","her","their"))</f>
        <v>her</v>
      </c>
    </row>
    <row r="291" ht="14.25" customHeight="1">
      <c r="A291" s="2">
        <v>290.0</v>
      </c>
      <c r="B291" s="2" t="s">
        <v>447</v>
      </c>
      <c r="C291" s="2" t="str">
        <f t="shared" si="2"/>
        <v>Christelle Lihuli</v>
      </c>
      <c r="D291" s="2" t="s">
        <v>685</v>
      </c>
      <c r="E291" s="2" t="s">
        <v>686</v>
      </c>
      <c r="F291" s="2" t="str">
        <f>IF(Names!$B291="M","Mr.",IF(Names!$B291="F","Ms.","Mx."))</f>
        <v>Ms.</v>
      </c>
      <c r="G291" s="2" t="str">
        <f>IF(Names!$B291="M","he",IF(Names!$B291="F","she","they"))</f>
        <v>she</v>
      </c>
      <c r="H291" s="2" t="str">
        <f>IF(Names!$B291="M","him",IF(Names!$B291="F","her","them"))</f>
        <v>her</v>
      </c>
      <c r="I291" s="2" t="str">
        <f>IF(Names!$B291="M","his",IF(Names!$B291="F","her","their"))</f>
        <v>her</v>
      </c>
    </row>
    <row r="292" ht="14.25" customHeight="1">
      <c r="A292" s="2">
        <v>291.0</v>
      </c>
      <c r="B292" s="2" t="s">
        <v>447</v>
      </c>
      <c r="C292" s="2" t="str">
        <f t="shared" si="2"/>
        <v>Isabella Pongo</v>
      </c>
      <c r="D292" s="2" t="s">
        <v>687</v>
      </c>
      <c r="E292" s="2" t="s">
        <v>688</v>
      </c>
      <c r="F292" s="2" t="str">
        <f>IF(Names!$B292="M","Mr.",IF(Names!$B292="F","Ms.","Mx."))</f>
        <v>Ms.</v>
      </c>
      <c r="G292" s="2" t="str">
        <f>IF(Names!$B292="M","he",IF(Names!$B292="F","she","they"))</f>
        <v>she</v>
      </c>
      <c r="H292" s="2" t="str">
        <f>IF(Names!$B292="M","him",IF(Names!$B292="F","her","them"))</f>
        <v>her</v>
      </c>
      <c r="I292" s="2" t="str">
        <f>IF(Names!$B292="M","his",IF(Names!$B292="F","her","their"))</f>
        <v>her</v>
      </c>
    </row>
    <row r="293" ht="14.25" customHeight="1">
      <c r="A293" s="2">
        <v>292.0</v>
      </c>
      <c r="B293" s="2" t="s">
        <v>447</v>
      </c>
      <c r="C293" s="2" t="str">
        <f t="shared" si="2"/>
        <v>Tia Duala</v>
      </c>
      <c r="D293" s="2" t="s">
        <v>689</v>
      </c>
      <c r="E293" s="2" t="s">
        <v>690</v>
      </c>
      <c r="F293" s="2" t="str">
        <f>IF(Names!$B293="M","Mr.",IF(Names!$B293="F","Ms.","Mx."))</f>
        <v>Ms.</v>
      </c>
      <c r="G293" s="2" t="str">
        <f>IF(Names!$B293="M","he",IF(Names!$B293="F","she","they"))</f>
        <v>she</v>
      </c>
      <c r="H293" s="2" t="str">
        <f>IF(Names!$B293="M","him",IF(Names!$B293="F","her","them"))</f>
        <v>her</v>
      </c>
      <c r="I293" s="2" t="str">
        <f>IF(Names!$B293="M","his",IF(Names!$B293="F","her","their"))</f>
        <v>her</v>
      </c>
    </row>
    <row r="294" ht="14.25" customHeight="1">
      <c r="A294" s="2">
        <v>293.0</v>
      </c>
      <c r="B294" s="2" t="s">
        <v>447</v>
      </c>
      <c r="C294" s="2" t="str">
        <f t="shared" si="2"/>
        <v>Cyrille Miandabu</v>
      </c>
      <c r="D294" s="2" t="s">
        <v>691</v>
      </c>
      <c r="E294" s="2" t="s">
        <v>692</v>
      </c>
      <c r="F294" s="2" t="str">
        <f>IF(Names!$B294="M","Mr.",IF(Names!$B294="F","Ms.","Mx."))</f>
        <v>Ms.</v>
      </c>
      <c r="G294" s="2" t="str">
        <f>IF(Names!$B294="M","he",IF(Names!$B294="F","she","they"))</f>
        <v>she</v>
      </c>
      <c r="H294" s="2" t="str">
        <f>IF(Names!$B294="M","him",IF(Names!$B294="F","her","them"))</f>
        <v>her</v>
      </c>
      <c r="I294" s="2" t="str">
        <f>IF(Names!$B294="M","his",IF(Names!$B294="F","her","their"))</f>
        <v>her</v>
      </c>
    </row>
    <row r="295" ht="14.25" customHeight="1">
      <c r="A295" s="2">
        <v>294.0</v>
      </c>
      <c r="B295" s="2" t="s">
        <v>447</v>
      </c>
      <c r="C295" s="2" t="str">
        <f t="shared" si="2"/>
        <v>Nkemdilim Chyke</v>
      </c>
      <c r="D295" s="2" t="s">
        <v>693</v>
      </c>
      <c r="E295" s="2" t="s">
        <v>694</v>
      </c>
      <c r="F295" s="2" t="str">
        <f>IF(Names!$B295="M","Mr.",IF(Names!$B295="F","Ms.","Mx."))</f>
        <v>Ms.</v>
      </c>
      <c r="G295" s="2" t="str">
        <f>IF(Names!$B295="M","he",IF(Names!$B295="F","she","they"))</f>
        <v>she</v>
      </c>
      <c r="H295" s="2" t="str">
        <f>IF(Names!$B295="M","him",IF(Names!$B295="F","her","them"))</f>
        <v>her</v>
      </c>
      <c r="I295" s="2" t="str">
        <f>IF(Names!$B295="M","his",IF(Names!$B295="F","her","their"))</f>
        <v>her</v>
      </c>
    </row>
    <row r="296" ht="14.25" customHeight="1">
      <c r="A296" s="2">
        <v>295.0</v>
      </c>
      <c r="B296" s="2" t="s">
        <v>447</v>
      </c>
      <c r="C296" s="2" t="str">
        <f t="shared" si="2"/>
        <v>Adaeze Ekene</v>
      </c>
      <c r="D296" s="2" t="s">
        <v>695</v>
      </c>
      <c r="E296" s="2" t="s">
        <v>247</v>
      </c>
      <c r="F296" s="2" t="str">
        <f>IF(Names!$B296="M","Mr.",IF(Names!$B296="F","Ms.","Mx."))</f>
        <v>Ms.</v>
      </c>
      <c r="G296" s="2" t="str">
        <f>IF(Names!$B296="M","he",IF(Names!$B296="F","she","they"))</f>
        <v>she</v>
      </c>
      <c r="H296" s="2" t="str">
        <f>IF(Names!$B296="M","him",IF(Names!$B296="F","her","them"))</f>
        <v>her</v>
      </c>
      <c r="I296" s="2" t="str">
        <f>IF(Names!$B296="M","his",IF(Names!$B296="F","her","their"))</f>
        <v>her</v>
      </c>
    </row>
    <row r="297" ht="14.25" customHeight="1">
      <c r="A297" s="2">
        <v>296.0</v>
      </c>
      <c r="B297" s="2" t="s">
        <v>447</v>
      </c>
      <c r="C297" s="2" t="str">
        <f t="shared" si="2"/>
        <v>Adaora Orji</v>
      </c>
      <c r="D297" s="2" t="s">
        <v>696</v>
      </c>
      <c r="E297" s="2" t="s">
        <v>697</v>
      </c>
      <c r="F297" s="2" t="str">
        <f>IF(Names!$B297="M","Mr.",IF(Names!$B297="F","Ms.","Mx."))</f>
        <v>Ms.</v>
      </c>
      <c r="G297" s="2" t="str">
        <f>IF(Names!$B297="M","he",IF(Names!$B297="F","she","they"))</f>
        <v>she</v>
      </c>
      <c r="H297" s="2" t="str">
        <f>IF(Names!$B297="M","him",IF(Names!$B297="F","her","them"))</f>
        <v>her</v>
      </c>
      <c r="I297" s="2" t="str">
        <f>IF(Names!$B297="M","his",IF(Names!$B297="F","her","their"))</f>
        <v>her</v>
      </c>
    </row>
    <row r="298" ht="14.25" customHeight="1">
      <c r="A298" s="2">
        <v>297.0</v>
      </c>
      <c r="B298" s="2" t="s">
        <v>447</v>
      </c>
      <c r="C298" s="2" t="str">
        <f t="shared" si="2"/>
        <v>Chideah Uchechey</v>
      </c>
      <c r="D298" s="2" t="s">
        <v>698</v>
      </c>
      <c r="E298" s="2" t="s">
        <v>699</v>
      </c>
      <c r="F298" s="2" t="str">
        <f>IF(Names!$B298="M","Mr.",IF(Names!$B298="F","Ms.","Mx."))</f>
        <v>Ms.</v>
      </c>
      <c r="G298" s="2" t="str">
        <f>IF(Names!$B298="M","he",IF(Names!$B298="F","she","they"))</f>
        <v>she</v>
      </c>
      <c r="H298" s="2" t="str">
        <f>IF(Names!$B298="M","him",IF(Names!$B298="F","her","them"))</f>
        <v>her</v>
      </c>
      <c r="I298" s="2" t="str">
        <f>IF(Names!$B298="M","his",IF(Names!$B298="F","her","their"))</f>
        <v>her</v>
      </c>
    </row>
    <row r="299" ht="14.25" customHeight="1">
      <c r="A299" s="2">
        <v>298.0</v>
      </c>
      <c r="B299" s="2" t="s">
        <v>447</v>
      </c>
      <c r="C299" s="2" t="str">
        <f t="shared" si="2"/>
        <v>Yobachukwu Jelanea</v>
      </c>
      <c r="D299" s="2" t="s">
        <v>245</v>
      </c>
      <c r="E299" s="2" t="s">
        <v>250</v>
      </c>
      <c r="F299" s="2" t="str">
        <f>IF(Names!$B299="M","Mr.",IF(Names!$B299="F","Ms.","Mx."))</f>
        <v>Ms.</v>
      </c>
      <c r="G299" s="2" t="str">
        <f>IF(Names!$B299="M","he",IF(Names!$B299="F","she","they"))</f>
        <v>she</v>
      </c>
      <c r="H299" s="2" t="str">
        <f>IF(Names!$B299="M","him",IF(Names!$B299="F","her","them"))</f>
        <v>her</v>
      </c>
      <c r="I299" s="2" t="str">
        <f>IF(Names!$B299="M","his",IF(Names!$B299="F","her","their"))</f>
        <v>her</v>
      </c>
    </row>
    <row r="300" ht="14.25" customHeight="1">
      <c r="A300" s="2">
        <v>299.0</v>
      </c>
      <c r="B300" s="2" t="s">
        <v>447</v>
      </c>
      <c r="C300" s="2" t="str">
        <f t="shared" si="2"/>
        <v>Iweobiegbulam Okafo</v>
      </c>
      <c r="D300" s="2" t="s">
        <v>700</v>
      </c>
      <c r="E300" s="2" t="s">
        <v>701</v>
      </c>
      <c r="F300" s="2" t="str">
        <f>IF(Names!$B300="M","Mr.",IF(Names!$B300="F","Ms.","Mx."))</f>
        <v>Ms.</v>
      </c>
      <c r="G300" s="2" t="str">
        <f>IF(Names!$B300="M","he",IF(Names!$B300="F","she","they"))</f>
        <v>she</v>
      </c>
      <c r="H300" s="2" t="str">
        <f>IF(Names!$B300="M","him",IF(Names!$B300="F","her","them"))</f>
        <v>her</v>
      </c>
      <c r="I300" s="2" t="str">
        <f>IF(Names!$B300="M","his",IF(Names!$B300="F","her","their"))</f>
        <v>her</v>
      </c>
    </row>
    <row r="301" ht="14.25" customHeight="1">
      <c r="A301" s="2">
        <v>300.0</v>
      </c>
      <c r="B301" s="2" t="s">
        <v>447</v>
      </c>
      <c r="C301" s="2" t="str">
        <f t="shared" si="2"/>
        <v>Amachy Orjea</v>
      </c>
      <c r="D301" s="2" t="s">
        <v>702</v>
      </c>
      <c r="E301" s="2" t="s">
        <v>703</v>
      </c>
      <c r="F301" s="2" t="str">
        <f>IF(Names!$B301="M","Mr.",IF(Names!$B301="F","Ms.","Mx."))</f>
        <v>Ms.</v>
      </c>
      <c r="G301" s="2" t="str">
        <f>IF(Names!$B301="M","he",IF(Names!$B301="F","she","they"))</f>
        <v>she</v>
      </c>
      <c r="H301" s="2" t="str">
        <f>IF(Names!$B301="M","him",IF(Names!$B301="F","her","them"))</f>
        <v>her</v>
      </c>
      <c r="I301" s="2" t="str">
        <f>IF(Names!$B301="M","his",IF(Names!$B301="F","her","their"))</f>
        <v>her</v>
      </c>
    </row>
    <row r="302" ht="14.25" customHeight="1">
      <c r="A302" s="2">
        <v>301.0</v>
      </c>
      <c r="B302" s="2" t="s">
        <v>447</v>
      </c>
      <c r="C302" s="2" t="str">
        <f t="shared" si="2"/>
        <v>Onyeka Chinuah</v>
      </c>
      <c r="D302" s="2" t="s">
        <v>704</v>
      </c>
      <c r="E302" s="2" t="s">
        <v>705</v>
      </c>
      <c r="F302" s="2" t="str">
        <f>IF(Names!$B302="M","Mr.",IF(Names!$B302="F","Ms.","Mx."))</f>
        <v>Ms.</v>
      </c>
      <c r="G302" s="2" t="str">
        <f>IF(Names!$B302="M","he",IF(Names!$B302="F","she","they"))</f>
        <v>she</v>
      </c>
      <c r="H302" s="2" t="str">
        <f>IF(Names!$B302="M","him",IF(Names!$B302="F","her","them"))</f>
        <v>her</v>
      </c>
      <c r="I302" s="2" t="str">
        <f>IF(Names!$B302="M","his",IF(Names!$B302="F","her","their"))</f>
        <v>her</v>
      </c>
    </row>
    <row r="303" ht="14.25" customHeight="1">
      <c r="A303" s="2">
        <v>302.0</v>
      </c>
      <c r="B303" s="2" t="s">
        <v>447</v>
      </c>
      <c r="C303" s="2" t="str">
        <f t="shared" si="2"/>
        <v>Chinasa Akachi</v>
      </c>
      <c r="D303" s="2" t="s">
        <v>706</v>
      </c>
      <c r="E303" s="2" t="s">
        <v>707</v>
      </c>
      <c r="F303" s="2" t="str">
        <f>IF(Names!$B303="M","Mr.",IF(Names!$B303="F","Ms.","Mx."))</f>
        <v>Ms.</v>
      </c>
      <c r="G303" s="2" t="str">
        <f>IF(Names!$B303="M","he",IF(Names!$B303="F","she","they"))</f>
        <v>she</v>
      </c>
      <c r="H303" s="2" t="str">
        <f>IF(Names!$B303="M","him",IF(Names!$B303="F","her","them"))</f>
        <v>her</v>
      </c>
      <c r="I303" s="2" t="str">
        <f>IF(Names!$B303="M","his",IF(Names!$B303="F","her","their"))</f>
        <v>her</v>
      </c>
    </row>
    <row r="304" ht="14.25" customHeight="1">
      <c r="A304" s="2">
        <v>303.0</v>
      </c>
      <c r="B304" s="2" t="s">
        <v>447</v>
      </c>
      <c r="C304" s="2" t="str">
        <f t="shared" si="2"/>
        <v>Uchennah Chukwuemeka</v>
      </c>
      <c r="D304" s="2" t="s">
        <v>708</v>
      </c>
      <c r="E304" s="2" t="s">
        <v>709</v>
      </c>
      <c r="F304" s="2" t="str">
        <f>IF(Names!$B304="M","Mr.",IF(Names!$B304="F","Ms.","Mx."))</f>
        <v>Ms.</v>
      </c>
      <c r="G304" s="2" t="str">
        <f>IF(Names!$B304="M","he",IF(Names!$B304="F","she","they"))</f>
        <v>she</v>
      </c>
      <c r="H304" s="2" t="str">
        <f>IF(Names!$B304="M","him",IF(Names!$B304="F","her","them"))</f>
        <v>her</v>
      </c>
      <c r="I304" s="2" t="str">
        <f>IF(Names!$B304="M","his",IF(Names!$B304="F","her","their"))</f>
        <v>her</v>
      </c>
    </row>
    <row r="305" ht="14.25" customHeight="1">
      <c r="A305" s="2">
        <v>304.0</v>
      </c>
      <c r="B305" s="2" t="s">
        <v>447</v>
      </c>
      <c r="C305" s="2" t="str">
        <f t="shared" si="2"/>
        <v>Cheng He</v>
      </c>
      <c r="D305" s="2" t="s">
        <v>710</v>
      </c>
      <c r="E305" s="2" t="s">
        <v>256</v>
      </c>
      <c r="F305" s="2" t="str">
        <f>IF(Names!$B305="M","Mr.",IF(Names!$B305="F","Ms.","Mx."))</f>
        <v>Ms.</v>
      </c>
      <c r="G305" s="2" t="str">
        <f>IF(Names!$B305="M","he",IF(Names!$B305="F","she","they"))</f>
        <v>she</v>
      </c>
      <c r="H305" s="2" t="str">
        <f>IF(Names!$B305="M","him",IF(Names!$B305="F","her","them"))</f>
        <v>her</v>
      </c>
      <c r="I305" s="2" t="str">
        <f>IF(Names!$B305="M","his",IF(Names!$B305="F","her","their"))</f>
        <v>her</v>
      </c>
    </row>
    <row r="306" ht="14.25" customHeight="1">
      <c r="A306" s="2">
        <v>305.0</v>
      </c>
      <c r="B306" s="2" t="s">
        <v>447</v>
      </c>
      <c r="C306" s="2" t="str">
        <f t="shared" si="2"/>
        <v>Geng Ruogang</v>
      </c>
      <c r="D306" s="2" t="s">
        <v>269</v>
      </c>
      <c r="E306" s="2" t="s">
        <v>711</v>
      </c>
      <c r="F306" s="2" t="str">
        <f>IF(Names!$B306="M","Mr.",IF(Names!$B306="F","Ms.","Mx."))</f>
        <v>Ms.</v>
      </c>
      <c r="G306" s="2" t="str">
        <f>IF(Names!$B306="M","he",IF(Names!$B306="F","she","they"))</f>
        <v>she</v>
      </c>
      <c r="H306" s="2" t="str">
        <f>IF(Names!$B306="M","him",IF(Names!$B306="F","her","them"))</f>
        <v>her</v>
      </c>
      <c r="I306" s="2" t="str">
        <f>IF(Names!$B306="M","his",IF(Names!$B306="F","her","their"))</f>
        <v>her</v>
      </c>
    </row>
    <row r="307" ht="14.25" customHeight="1">
      <c r="A307" s="2">
        <v>306.0</v>
      </c>
      <c r="B307" s="2" t="s">
        <v>447</v>
      </c>
      <c r="C307" s="2" t="str">
        <f t="shared" si="2"/>
        <v>Jin Shuren</v>
      </c>
      <c r="D307" s="2" t="s">
        <v>712</v>
      </c>
      <c r="E307" s="2" t="s">
        <v>268</v>
      </c>
      <c r="F307" s="2" t="str">
        <f>IF(Names!$B307="M","Mr.",IF(Names!$B307="F","Ms.","Mx."))</f>
        <v>Ms.</v>
      </c>
      <c r="G307" s="2" t="str">
        <f>IF(Names!$B307="M","he",IF(Names!$B307="F","she","they"))</f>
        <v>she</v>
      </c>
      <c r="H307" s="2" t="str">
        <f>IF(Names!$B307="M","him",IF(Names!$B307="F","her","them"))</f>
        <v>her</v>
      </c>
      <c r="I307" s="2" t="str">
        <f>IF(Names!$B307="M","his",IF(Names!$B307="F","her","their"))</f>
        <v>her</v>
      </c>
    </row>
    <row r="308" ht="14.25" customHeight="1">
      <c r="A308" s="2">
        <v>307.0</v>
      </c>
      <c r="B308" s="2" t="s">
        <v>447</v>
      </c>
      <c r="C308" s="2" t="str">
        <f t="shared" si="2"/>
        <v>Xiao Chen</v>
      </c>
      <c r="D308" s="2" t="s">
        <v>713</v>
      </c>
      <c r="E308" s="2" t="s">
        <v>714</v>
      </c>
      <c r="F308" s="2" t="str">
        <f>IF(Names!$B308="M","Mr.",IF(Names!$B308="F","Ms.","Mx."))</f>
        <v>Ms.</v>
      </c>
      <c r="G308" s="2" t="str">
        <f>IF(Names!$B308="M","he",IF(Names!$B308="F","she","they"))</f>
        <v>she</v>
      </c>
      <c r="H308" s="2" t="str">
        <f>IF(Names!$B308="M","him",IF(Names!$B308="F","her","them"))</f>
        <v>her</v>
      </c>
      <c r="I308" s="2" t="str">
        <f>IF(Names!$B308="M","his",IF(Names!$B308="F","her","their"))</f>
        <v>her</v>
      </c>
    </row>
    <row r="309" ht="14.25" customHeight="1">
      <c r="A309" s="2">
        <v>308.0</v>
      </c>
      <c r="B309" s="2" t="s">
        <v>447</v>
      </c>
      <c r="C309" s="2" t="str">
        <f t="shared" si="2"/>
        <v>Wang My</v>
      </c>
      <c r="D309" s="2" t="s">
        <v>715</v>
      </c>
      <c r="E309" s="2" t="s">
        <v>716</v>
      </c>
      <c r="F309" s="2" t="str">
        <f>IF(Names!$B309="M","Mr.",IF(Names!$B309="F","Ms.","Mx."))</f>
        <v>Ms.</v>
      </c>
      <c r="G309" s="2" t="str">
        <f>IF(Names!$B309="M","he",IF(Names!$B309="F","she","they"))</f>
        <v>she</v>
      </c>
      <c r="H309" s="2" t="str">
        <f>IF(Names!$B309="M","him",IF(Names!$B309="F","her","them"))</f>
        <v>her</v>
      </c>
      <c r="I309" s="2" t="str">
        <f>IF(Names!$B309="M","his",IF(Names!$B309="F","her","their"))</f>
        <v>her</v>
      </c>
    </row>
    <row r="310" ht="14.25" customHeight="1">
      <c r="A310" s="2">
        <v>309.0</v>
      </c>
      <c r="B310" s="2" t="s">
        <v>447</v>
      </c>
      <c r="C310" s="2" t="str">
        <f t="shared" si="2"/>
        <v>Hou Jin</v>
      </c>
      <c r="D310" s="2" t="s">
        <v>717</v>
      </c>
      <c r="E310" s="2" t="s">
        <v>712</v>
      </c>
      <c r="F310" s="2" t="str">
        <f>IF(Names!$B310="M","Mr.",IF(Names!$B310="F","Ms.","Mx."))</f>
        <v>Ms.</v>
      </c>
      <c r="G310" s="2" t="str">
        <f>IF(Names!$B310="M","he",IF(Names!$B310="F","she","they"))</f>
        <v>she</v>
      </c>
      <c r="H310" s="2" t="str">
        <f>IF(Names!$B310="M","him",IF(Names!$B310="F","her","them"))</f>
        <v>her</v>
      </c>
      <c r="I310" s="2" t="str">
        <f>IF(Names!$B310="M","his",IF(Names!$B310="F","her","their"))</f>
        <v>her</v>
      </c>
    </row>
    <row r="311" ht="14.25" customHeight="1">
      <c r="A311" s="2">
        <v>310.0</v>
      </c>
      <c r="B311" s="2" t="s">
        <v>447</v>
      </c>
      <c r="C311" s="2" t="str">
        <f t="shared" si="2"/>
        <v>Yao Jia</v>
      </c>
      <c r="D311" s="2" t="s">
        <v>718</v>
      </c>
      <c r="E311" s="2" t="s">
        <v>719</v>
      </c>
      <c r="F311" s="2" t="str">
        <f>IF(Names!$B311="M","Mr.",IF(Names!$B311="F","Ms.","Mx."))</f>
        <v>Ms.</v>
      </c>
      <c r="G311" s="2" t="str">
        <f>IF(Names!$B311="M","he",IF(Names!$B311="F","she","they"))</f>
        <v>she</v>
      </c>
      <c r="H311" s="2" t="str">
        <f>IF(Names!$B311="M","him",IF(Names!$B311="F","her","them"))</f>
        <v>her</v>
      </c>
      <c r="I311" s="2" t="str">
        <f>IF(Names!$B311="M","his",IF(Names!$B311="F","her","their"))</f>
        <v>her</v>
      </c>
    </row>
    <row r="312" ht="14.25" customHeight="1">
      <c r="A312" s="2">
        <v>311.0</v>
      </c>
      <c r="B312" s="2" t="s">
        <v>447</v>
      </c>
      <c r="C312" s="2" t="str">
        <f t="shared" si="2"/>
        <v>Shen Ling</v>
      </c>
      <c r="D312" s="2" t="s">
        <v>720</v>
      </c>
      <c r="E312" s="2" t="s">
        <v>721</v>
      </c>
      <c r="F312" s="2" t="str">
        <f>IF(Names!$B312="M","Mr.",IF(Names!$B312="F","Ms.","Mx."))</f>
        <v>Ms.</v>
      </c>
      <c r="G312" s="2" t="str">
        <f>IF(Names!$B312="M","he",IF(Names!$B312="F","she","they"))</f>
        <v>she</v>
      </c>
      <c r="H312" s="2" t="str">
        <f>IF(Names!$B312="M","him",IF(Names!$B312="F","her","them"))</f>
        <v>her</v>
      </c>
      <c r="I312" s="2" t="str">
        <f>IF(Names!$B312="M","his",IF(Names!$B312="F","her","their"))</f>
        <v>her</v>
      </c>
    </row>
    <row r="313" ht="14.25" customHeight="1">
      <c r="A313" s="2">
        <v>312.0</v>
      </c>
      <c r="B313" s="2" t="s">
        <v>447</v>
      </c>
      <c r="C313" s="2" t="str">
        <f t="shared" si="2"/>
        <v>Sun Chao</v>
      </c>
      <c r="D313" s="2" t="s">
        <v>722</v>
      </c>
      <c r="E313" s="2" t="s">
        <v>723</v>
      </c>
      <c r="F313" s="2" t="str">
        <f>IF(Names!$B313="M","Mr.",IF(Names!$B313="F","Ms.","Mx."))</f>
        <v>Ms.</v>
      </c>
      <c r="G313" s="2" t="str">
        <f>IF(Names!$B313="M","he",IF(Names!$B313="F","she","they"))</f>
        <v>she</v>
      </c>
      <c r="H313" s="2" t="str">
        <f>IF(Names!$B313="M","him",IF(Names!$B313="F","her","them"))</f>
        <v>her</v>
      </c>
      <c r="I313" s="2" t="str">
        <f>IF(Names!$B313="M","his",IF(Names!$B313="F","her","their"))</f>
        <v>her</v>
      </c>
    </row>
    <row r="314" ht="14.25" customHeight="1">
      <c r="A314" s="2">
        <v>313.0</v>
      </c>
      <c r="B314" s="2" t="s">
        <v>447</v>
      </c>
      <c r="C314" s="2" t="str">
        <f t="shared" si="2"/>
        <v>Han Fen</v>
      </c>
      <c r="D314" s="2" t="s">
        <v>724</v>
      </c>
      <c r="E314" s="2" t="s">
        <v>725</v>
      </c>
      <c r="F314" s="2" t="str">
        <f>IF(Names!$B314="M","Mr.",IF(Names!$B314="F","Ms.","Mx."))</f>
        <v>Ms.</v>
      </c>
      <c r="G314" s="2" t="str">
        <f>IF(Names!$B314="M","he",IF(Names!$B314="F","she","they"))</f>
        <v>she</v>
      </c>
      <c r="H314" s="2" t="str">
        <f>IF(Names!$B314="M","him",IF(Names!$B314="F","her","them"))</f>
        <v>her</v>
      </c>
      <c r="I314" s="2" t="str">
        <f>IF(Names!$B314="M","his",IF(Names!$B314="F","her","their"))</f>
        <v>her</v>
      </c>
    </row>
    <row r="315" ht="14.25" customHeight="1">
      <c r="A315" s="2">
        <v>314.0</v>
      </c>
      <c r="B315" s="2" t="s">
        <v>447</v>
      </c>
      <c r="C315" s="2" t="str">
        <f t="shared" si="2"/>
        <v>Angelina Macalinao</v>
      </c>
      <c r="D315" s="2" t="s">
        <v>726</v>
      </c>
      <c r="E315" s="2" t="s">
        <v>727</v>
      </c>
      <c r="F315" s="2" t="str">
        <f>IF(Names!$B315="M","Mr.",IF(Names!$B315="F","Ms.","Mx."))</f>
        <v>Ms.</v>
      </c>
      <c r="G315" s="2" t="str">
        <f>IF(Names!$B315="M","he",IF(Names!$B315="F","she","they"))</f>
        <v>she</v>
      </c>
      <c r="H315" s="2" t="str">
        <f>IF(Names!$B315="M","him",IF(Names!$B315="F","her","them"))</f>
        <v>her</v>
      </c>
      <c r="I315" s="2" t="str">
        <f>IF(Names!$B315="M","his",IF(Names!$B315="F","her","their"))</f>
        <v>her</v>
      </c>
    </row>
    <row r="316" ht="14.25" customHeight="1">
      <c r="A316" s="2">
        <v>315.0</v>
      </c>
      <c r="B316" s="2" t="s">
        <v>447</v>
      </c>
      <c r="C316" s="2" t="str">
        <f t="shared" si="2"/>
        <v>Sydnie Infanta</v>
      </c>
      <c r="D316" s="2" t="s">
        <v>728</v>
      </c>
      <c r="E316" s="2" t="s">
        <v>729</v>
      </c>
      <c r="F316" s="2" t="str">
        <f>IF(Names!$B316="M","Mr.",IF(Names!$B316="F","Ms.","Mx."))</f>
        <v>Ms.</v>
      </c>
      <c r="G316" s="2" t="str">
        <f>IF(Names!$B316="M","he",IF(Names!$B316="F","she","they"))</f>
        <v>she</v>
      </c>
      <c r="H316" s="2" t="str">
        <f>IF(Names!$B316="M","him",IF(Names!$B316="F","her","them"))</f>
        <v>her</v>
      </c>
      <c r="I316" s="2" t="str">
        <f>IF(Names!$B316="M","his",IF(Names!$B316="F","her","their"))</f>
        <v>her</v>
      </c>
    </row>
    <row r="317" ht="14.25" customHeight="1">
      <c r="A317" s="2">
        <v>316.0</v>
      </c>
      <c r="B317" s="2" t="s">
        <v>447</v>
      </c>
      <c r="C317" s="2" t="str">
        <f t="shared" si="2"/>
        <v>Janisa Guerra</v>
      </c>
      <c r="D317" s="2" t="s">
        <v>730</v>
      </c>
      <c r="E317" s="2" t="s">
        <v>731</v>
      </c>
      <c r="F317" s="2" t="str">
        <f>IF(Names!$B317="M","Mr.",IF(Names!$B317="F","Ms.","Mx."))</f>
        <v>Ms.</v>
      </c>
      <c r="G317" s="2" t="str">
        <f>IF(Names!$B317="M","he",IF(Names!$B317="F","she","they"))</f>
        <v>she</v>
      </c>
      <c r="H317" s="2" t="str">
        <f>IF(Names!$B317="M","him",IF(Names!$B317="F","her","them"))</f>
        <v>her</v>
      </c>
      <c r="I317" s="2" t="str">
        <f>IF(Names!$B317="M","his",IF(Names!$B317="F","her","their"))</f>
        <v>her</v>
      </c>
    </row>
    <row r="318" ht="14.25" customHeight="1">
      <c r="A318" s="2">
        <v>317.0</v>
      </c>
      <c r="B318" s="2" t="s">
        <v>447</v>
      </c>
      <c r="C318" s="2" t="str">
        <f t="shared" si="2"/>
        <v>Ashlyn Belloso</v>
      </c>
      <c r="D318" s="2" t="s">
        <v>732</v>
      </c>
      <c r="E318" s="2" t="s">
        <v>733</v>
      </c>
      <c r="F318" s="2" t="str">
        <f>IF(Names!$B318="M","Mr.",IF(Names!$B318="F","Ms.","Mx."))</f>
        <v>Ms.</v>
      </c>
      <c r="G318" s="2" t="str">
        <f>IF(Names!$B318="M","he",IF(Names!$B318="F","she","they"))</f>
        <v>she</v>
      </c>
      <c r="H318" s="2" t="str">
        <f>IF(Names!$B318="M","him",IF(Names!$B318="F","her","them"))</f>
        <v>her</v>
      </c>
      <c r="I318" s="2" t="str">
        <f>IF(Names!$B318="M","his",IF(Names!$B318="F","her","their"))</f>
        <v>her</v>
      </c>
    </row>
    <row r="319" ht="14.25" customHeight="1">
      <c r="A319" s="2">
        <v>318.0</v>
      </c>
      <c r="B319" s="2" t="s">
        <v>447</v>
      </c>
      <c r="C319" s="2" t="str">
        <f t="shared" si="2"/>
        <v>Carli Orante</v>
      </c>
      <c r="D319" s="2" t="s">
        <v>734</v>
      </c>
      <c r="E319" s="2" t="s">
        <v>735</v>
      </c>
      <c r="F319" s="2" t="str">
        <f>IF(Names!$B319="M","Mr.",IF(Names!$B319="F","Ms.","Mx."))</f>
        <v>Ms.</v>
      </c>
      <c r="G319" s="2" t="str">
        <f>IF(Names!$B319="M","he",IF(Names!$B319="F","she","they"))</f>
        <v>she</v>
      </c>
      <c r="H319" s="2" t="str">
        <f>IF(Names!$B319="M","him",IF(Names!$B319="F","her","them"))</f>
        <v>her</v>
      </c>
      <c r="I319" s="2" t="str">
        <f>IF(Names!$B319="M","his",IF(Names!$B319="F","her","their"))</f>
        <v>her</v>
      </c>
    </row>
    <row r="320" ht="14.25" customHeight="1">
      <c r="A320" s="2">
        <v>319.0</v>
      </c>
      <c r="B320" s="2" t="s">
        <v>447</v>
      </c>
      <c r="C320" s="2" t="str">
        <f t="shared" si="2"/>
        <v>Estelita Pamplona</v>
      </c>
      <c r="D320" s="2" t="s">
        <v>736</v>
      </c>
      <c r="E320" s="2" t="s">
        <v>737</v>
      </c>
      <c r="F320" s="2" t="str">
        <f>IF(Names!$B320="M","Mr.",IF(Names!$B320="F","Ms.","Mx."))</f>
        <v>Ms.</v>
      </c>
      <c r="G320" s="2" t="str">
        <f>IF(Names!$B320="M","he",IF(Names!$B320="F","she","they"))</f>
        <v>she</v>
      </c>
      <c r="H320" s="2" t="str">
        <f>IF(Names!$B320="M","him",IF(Names!$B320="F","her","them"))</f>
        <v>her</v>
      </c>
      <c r="I320" s="2" t="str">
        <f>IF(Names!$B320="M","his",IF(Names!$B320="F","her","their"))</f>
        <v>her</v>
      </c>
    </row>
    <row r="321" ht="14.25" customHeight="1">
      <c r="A321" s="2">
        <v>320.0</v>
      </c>
      <c r="B321" s="2" t="s">
        <v>447</v>
      </c>
      <c r="C321" s="2" t="str">
        <f t="shared" si="2"/>
        <v>Justice Bataller</v>
      </c>
      <c r="D321" s="2" t="s">
        <v>738</v>
      </c>
      <c r="E321" s="2" t="s">
        <v>739</v>
      </c>
      <c r="F321" s="2" t="str">
        <f>IF(Names!$B321="M","Mr.",IF(Names!$B321="F","Ms.","Mx."))</f>
        <v>Ms.</v>
      </c>
      <c r="G321" s="2" t="str">
        <f>IF(Names!$B321="M","he",IF(Names!$B321="F","she","they"))</f>
        <v>she</v>
      </c>
      <c r="H321" s="2" t="str">
        <f>IF(Names!$B321="M","him",IF(Names!$B321="F","her","them"))</f>
        <v>her</v>
      </c>
      <c r="I321" s="2" t="str">
        <f>IF(Names!$B321="M","his",IF(Names!$B321="F","her","their"))</f>
        <v>her</v>
      </c>
    </row>
    <row r="322" ht="14.25" customHeight="1">
      <c r="A322" s="2">
        <v>321.0</v>
      </c>
      <c r="B322" s="2" t="s">
        <v>447</v>
      </c>
      <c r="C322" s="2" t="str">
        <f t="shared" si="2"/>
        <v>Cindy Niévez</v>
      </c>
      <c r="D322" s="2" t="s">
        <v>740</v>
      </c>
      <c r="E322" s="2" t="s">
        <v>741</v>
      </c>
      <c r="F322" s="2" t="str">
        <f>IF(Names!$B322="M","Mr.",IF(Names!$B322="F","Ms.","Mx."))</f>
        <v>Ms.</v>
      </c>
      <c r="G322" s="2" t="str">
        <f>IF(Names!$B322="M","he",IF(Names!$B322="F","she","they"))</f>
        <v>she</v>
      </c>
      <c r="H322" s="2" t="str">
        <f>IF(Names!$B322="M","him",IF(Names!$B322="F","her","them"))</f>
        <v>her</v>
      </c>
      <c r="I322" s="2" t="str">
        <f>IF(Names!$B322="M","his",IF(Names!$B322="F","her","their"))</f>
        <v>her</v>
      </c>
    </row>
    <row r="323" ht="14.25" customHeight="1">
      <c r="A323" s="2">
        <v>322.0</v>
      </c>
      <c r="B323" s="2" t="s">
        <v>447</v>
      </c>
      <c r="C323" s="2" t="str">
        <f t="shared" si="2"/>
        <v>Tia Baylosis</v>
      </c>
      <c r="D323" s="2" t="s">
        <v>689</v>
      </c>
      <c r="E323" s="2" t="s">
        <v>742</v>
      </c>
      <c r="F323" s="2" t="str">
        <f>IF(Names!$B323="M","Mr.",IF(Names!$B323="F","Ms.","Mx."))</f>
        <v>Ms.</v>
      </c>
      <c r="G323" s="2" t="str">
        <f>IF(Names!$B323="M","he",IF(Names!$B323="F","she","they"))</f>
        <v>she</v>
      </c>
      <c r="H323" s="2" t="str">
        <f>IF(Names!$B323="M","him",IF(Names!$B323="F","her","them"))</f>
        <v>her</v>
      </c>
      <c r="I323" s="2" t="str">
        <f>IF(Names!$B323="M","his",IF(Names!$B323="F","her","their"))</f>
        <v>her</v>
      </c>
    </row>
    <row r="324" ht="14.25" customHeight="1">
      <c r="A324" s="2">
        <v>323.0</v>
      </c>
      <c r="B324" s="2" t="s">
        <v>447</v>
      </c>
      <c r="C324" s="2" t="str">
        <f t="shared" si="2"/>
        <v>Lolita Mañalac</v>
      </c>
      <c r="D324" s="2" t="s">
        <v>743</v>
      </c>
      <c r="E324" s="2" t="s">
        <v>744</v>
      </c>
      <c r="F324" s="2" t="str">
        <f>IF(Names!$B324="M","Mr.",IF(Names!$B324="F","Ms.","Mx."))</f>
        <v>Ms.</v>
      </c>
      <c r="G324" s="2" t="str">
        <f>IF(Names!$B324="M","he",IF(Names!$B324="F","she","they"))</f>
        <v>she</v>
      </c>
      <c r="H324" s="2" t="str">
        <f>IF(Names!$B324="M","him",IF(Names!$B324="F","her","them"))</f>
        <v>her</v>
      </c>
      <c r="I324" s="2" t="str">
        <f>IF(Names!$B324="M","his",IF(Names!$B324="F","her","their"))</f>
        <v>her</v>
      </c>
    </row>
    <row r="325" ht="14.25" customHeight="1">
      <c r="A325" s="2">
        <v>324.0</v>
      </c>
      <c r="B325" s="2" t="s">
        <v>447</v>
      </c>
      <c r="C325" s="2" t="str">
        <f t="shared" si="2"/>
        <v>Komaljot Chhabra</v>
      </c>
      <c r="D325" s="2" t="s">
        <v>745</v>
      </c>
      <c r="E325" s="2" t="s">
        <v>746</v>
      </c>
      <c r="F325" s="2" t="str">
        <f>IF(Names!$B325="M","Mr.",IF(Names!$B325="F","Ms.","Mx."))</f>
        <v>Ms.</v>
      </c>
      <c r="G325" s="2" t="str">
        <f>IF(Names!$B325="M","he",IF(Names!$B325="F","she","they"))</f>
        <v>she</v>
      </c>
      <c r="H325" s="2" t="str">
        <f>IF(Names!$B325="M","him",IF(Names!$B325="F","her","them"))</f>
        <v>her</v>
      </c>
      <c r="I325" s="2" t="str">
        <f>IF(Names!$B325="M","his",IF(Names!$B325="F","her","their"))</f>
        <v>her</v>
      </c>
    </row>
    <row r="326" ht="14.25" customHeight="1">
      <c r="A326" s="2">
        <v>325.0</v>
      </c>
      <c r="B326" s="2" t="s">
        <v>447</v>
      </c>
      <c r="C326" s="2" t="str">
        <f t="shared" si="2"/>
        <v>Uttamliv Bhardwaj</v>
      </c>
      <c r="D326" s="2" t="s">
        <v>747</v>
      </c>
      <c r="E326" s="2" t="s">
        <v>748</v>
      </c>
      <c r="F326" s="2" t="str">
        <f>IF(Names!$B326="M","Mr.",IF(Names!$B326="F","Ms.","Mx."))</f>
        <v>Ms.</v>
      </c>
      <c r="G326" s="2" t="str">
        <f>IF(Names!$B326="M","he",IF(Names!$B326="F","she","they"))</f>
        <v>she</v>
      </c>
      <c r="H326" s="2" t="str">
        <f>IF(Names!$B326="M","him",IF(Names!$B326="F","her","them"))</f>
        <v>her</v>
      </c>
      <c r="I326" s="2" t="str">
        <f>IF(Names!$B326="M","his",IF(Names!$B326="F","her","their"))</f>
        <v>her</v>
      </c>
    </row>
    <row r="327" ht="14.25" customHeight="1">
      <c r="A327" s="2">
        <v>326.0</v>
      </c>
      <c r="B327" s="2" t="s">
        <v>447</v>
      </c>
      <c r="C327" s="2" t="str">
        <f t="shared" si="2"/>
        <v>Pranjita Binar</v>
      </c>
      <c r="D327" s="2" t="s">
        <v>749</v>
      </c>
      <c r="E327" s="2" t="s">
        <v>750</v>
      </c>
      <c r="F327" s="2" t="str">
        <f>IF(Names!$B327="M","Mr.",IF(Names!$B327="F","Ms.","Mx."))</f>
        <v>Ms.</v>
      </c>
      <c r="G327" s="2" t="str">
        <f>IF(Names!$B327="M","he",IF(Names!$B327="F","she","they"))</f>
        <v>she</v>
      </c>
      <c r="H327" s="2" t="str">
        <f>IF(Names!$B327="M","him",IF(Names!$B327="F","her","them"))</f>
        <v>her</v>
      </c>
      <c r="I327" s="2" t="str">
        <f>IF(Names!$B327="M","his",IF(Names!$B327="F","her","their"))</f>
        <v>her</v>
      </c>
    </row>
    <row r="328" ht="14.25" customHeight="1">
      <c r="A328" s="2">
        <v>327.0</v>
      </c>
      <c r="B328" s="2" t="s">
        <v>447</v>
      </c>
      <c r="C328" s="2" t="str">
        <f t="shared" si="2"/>
        <v>Kanwaljot Jolly</v>
      </c>
      <c r="D328" s="2" t="s">
        <v>751</v>
      </c>
      <c r="E328" s="2" t="s">
        <v>752</v>
      </c>
      <c r="F328" s="2" t="str">
        <f>IF(Names!$B328="M","Mr.",IF(Names!$B328="F","Ms.","Mx."))</f>
        <v>Ms.</v>
      </c>
      <c r="G328" s="2" t="str">
        <f>IF(Names!$B328="M","he",IF(Names!$B328="F","she","they"))</f>
        <v>she</v>
      </c>
      <c r="H328" s="2" t="str">
        <f>IF(Names!$B328="M","him",IF(Names!$B328="F","her","them"))</f>
        <v>her</v>
      </c>
      <c r="I328" s="2" t="str">
        <f>IF(Names!$B328="M","his",IF(Names!$B328="F","her","their"))</f>
        <v>her</v>
      </c>
    </row>
    <row r="329" ht="14.25" customHeight="1">
      <c r="A329" s="2">
        <v>328.0</v>
      </c>
      <c r="B329" s="2" t="s">
        <v>447</v>
      </c>
      <c r="C329" s="2" t="str">
        <f t="shared" si="2"/>
        <v>Harneez Grover</v>
      </c>
      <c r="D329" s="2" t="s">
        <v>753</v>
      </c>
      <c r="E329" s="2" t="s">
        <v>754</v>
      </c>
      <c r="F329" s="2" t="str">
        <f>IF(Names!$B329="M","Mr.",IF(Names!$B329="F","Ms.","Mx."))</f>
        <v>Ms.</v>
      </c>
      <c r="G329" s="2" t="str">
        <f>IF(Names!$B329="M","he",IF(Names!$B329="F","she","they"))</f>
        <v>she</v>
      </c>
      <c r="H329" s="2" t="str">
        <f>IF(Names!$B329="M","him",IF(Names!$B329="F","her","them"))</f>
        <v>her</v>
      </c>
      <c r="I329" s="2" t="str">
        <f>IF(Names!$B329="M","his",IF(Names!$B329="F","her","their"))</f>
        <v>her</v>
      </c>
    </row>
    <row r="330" ht="14.25" customHeight="1">
      <c r="A330" s="2">
        <v>329.0</v>
      </c>
      <c r="B330" s="2" t="s">
        <v>447</v>
      </c>
      <c r="C330" s="2" t="str">
        <f t="shared" si="2"/>
        <v>Lakhshmi Badesha</v>
      </c>
      <c r="D330" s="2" t="s">
        <v>755</v>
      </c>
      <c r="E330" s="2" t="s">
        <v>756</v>
      </c>
      <c r="F330" s="2" t="str">
        <f>IF(Names!$B330="M","Mr.",IF(Names!$B330="F","Ms.","Mx."))</f>
        <v>Ms.</v>
      </c>
      <c r="G330" s="2" t="str">
        <f>IF(Names!$B330="M","he",IF(Names!$B330="F","she","they"))</f>
        <v>she</v>
      </c>
      <c r="H330" s="2" t="str">
        <f>IF(Names!$B330="M","him",IF(Names!$B330="F","her","them"))</f>
        <v>her</v>
      </c>
      <c r="I330" s="2" t="str">
        <f>IF(Names!$B330="M","his",IF(Names!$B330="F","her","their"))</f>
        <v>her</v>
      </c>
    </row>
    <row r="331" ht="14.25" customHeight="1">
      <c r="A331" s="2">
        <v>330.0</v>
      </c>
      <c r="B331" s="2" t="s">
        <v>447</v>
      </c>
      <c r="C331" s="2" t="str">
        <f t="shared" si="2"/>
        <v>Jasjeet Sansanwal</v>
      </c>
      <c r="D331" s="2" t="s">
        <v>757</v>
      </c>
      <c r="E331" s="2" t="s">
        <v>758</v>
      </c>
      <c r="F331" s="2" t="str">
        <f>IF(Names!$B331="M","Mr.",IF(Names!$B331="F","Ms.","Mx."))</f>
        <v>Ms.</v>
      </c>
      <c r="G331" s="2" t="str">
        <f>IF(Names!$B331="M","he",IF(Names!$B331="F","she","they"))</f>
        <v>she</v>
      </c>
      <c r="H331" s="2" t="str">
        <f>IF(Names!$B331="M","him",IF(Names!$B331="F","her","them"))</f>
        <v>her</v>
      </c>
      <c r="I331" s="2" t="str">
        <f>IF(Names!$B331="M","his",IF(Names!$B331="F","her","their"))</f>
        <v>her</v>
      </c>
    </row>
    <row r="332" ht="14.25" customHeight="1">
      <c r="A332" s="2">
        <v>331.0</v>
      </c>
      <c r="B332" s="2" t="s">
        <v>447</v>
      </c>
      <c r="C332" s="2" t="str">
        <f t="shared" si="2"/>
        <v>Vadiaya Sejwal</v>
      </c>
      <c r="D332" s="2" t="s">
        <v>759</v>
      </c>
      <c r="E332" s="2" t="s">
        <v>760</v>
      </c>
      <c r="F332" s="2" t="str">
        <f>IF(Names!$B332="M","Mr.",IF(Names!$B332="F","Ms.","Mx."))</f>
        <v>Ms.</v>
      </c>
      <c r="G332" s="2" t="str">
        <f>IF(Names!$B332="M","he",IF(Names!$B332="F","she","they"))</f>
        <v>she</v>
      </c>
      <c r="H332" s="2" t="str">
        <f>IF(Names!$B332="M","him",IF(Names!$B332="F","her","them"))</f>
        <v>her</v>
      </c>
      <c r="I332" s="2" t="str">
        <f>IF(Names!$B332="M","his",IF(Names!$B332="F","her","their"))</f>
        <v>her</v>
      </c>
    </row>
    <row r="333" ht="14.25" customHeight="1">
      <c r="A333" s="2">
        <v>332.0</v>
      </c>
      <c r="B333" s="2" t="s">
        <v>447</v>
      </c>
      <c r="C333" s="2" t="str">
        <f t="shared" si="2"/>
        <v>Namjas Rasoda</v>
      </c>
      <c r="D333" s="2" t="s">
        <v>761</v>
      </c>
      <c r="E333" s="2" t="s">
        <v>762</v>
      </c>
      <c r="F333" s="2" t="str">
        <f>IF(Names!$B333="M","Mr.",IF(Names!$B333="F","Ms.","Mx."))</f>
        <v>Ms.</v>
      </c>
      <c r="G333" s="2" t="str">
        <f>IF(Names!$B333="M","he",IF(Names!$B333="F","she","they"))</f>
        <v>she</v>
      </c>
      <c r="H333" s="2" t="str">
        <f>IF(Names!$B333="M","him",IF(Names!$B333="F","her","them"))</f>
        <v>her</v>
      </c>
      <c r="I333" s="2" t="str">
        <f>IF(Names!$B333="M","his",IF(Names!$B333="F","her","their"))</f>
        <v>her</v>
      </c>
    </row>
    <row r="334" ht="14.25" customHeight="1">
      <c r="A334" s="2">
        <v>333.0</v>
      </c>
      <c r="B334" s="2" t="s">
        <v>447</v>
      </c>
      <c r="C334" s="2" t="str">
        <f t="shared" si="2"/>
        <v>Lakhminder Bogan</v>
      </c>
      <c r="D334" s="2" t="s">
        <v>763</v>
      </c>
      <c r="E334" s="2" t="s">
        <v>764</v>
      </c>
      <c r="F334" s="2" t="str">
        <f>IF(Names!$B334="M","Mr.",IF(Names!$B334="F","Ms.","Mx."))</f>
        <v>Ms.</v>
      </c>
      <c r="G334" s="2" t="str">
        <f>IF(Names!$B334="M","he",IF(Names!$B334="F","she","they"))</f>
        <v>she</v>
      </c>
      <c r="H334" s="2" t="str">
        <f>IF(Names!$B334="M","him",IF(Names!$B334="F","her","them"))</f>
        <v>her</v>
      </c>
      <c r="I334" s="2" t="str">
        <f>IF(Names!$B334="M","his",IF(Names!$B334="F","her","their"))</f>
        <v>her</v>
      </c>
    </row>
    <row r="335" ht="14.25" customHeight="1">
      <c r="A335" s="2">
        <v>334.0</v>
      </c>
      <c r="B335" s="2" t="s">
        <v>447</v>
      </c>
      <c r="C335" s="2" t="str">
        <f t="shared" si="2"/>
        <v>Zama Baqri</v>
      </c>
      <c r="D335" s="2" t="s">
        <v>765</v>
      </c>
      <c r="E335" s="2" t="s">
        <v>766</v>
      </c>
      <c r="F335" s="2" t="str">
        <f>IF(Names!$B335="M","Mr.",IF(Names!$B335="F","Ms.","Mx."))</f>
        <v>Ms.</v>
      </c>
      <c r="G335" s="2" t="str">
        <f>IF(Names!$B335="M","he",IF(Names!$B335="F","she","they"))</f>
        <v>she</v>
      </c>
      <c r="H335" s="2" t="str">
        <f>IF(Names!$B335="M","him",IF(Names!$B335="F","her","them"))</f>
        <v>her</v>
      </c>
      <c r="I335" s="2" t="str">
        <f>IF(Names!$B335="M","his",IF(Names!$B335="F","her","their"))</f>
        <v>her</v>
      </c>
    </row>
    <row r="336" ht="14.25" customHeight="1">
      <c r="A336" s="2">
        <v>335.0</v>
      </c>
      <c r="B336" s="2" t="s">
        <v>447</v>
      </c>
      <c r="C336" s="2" t="str">
        <f t="shared" si="2"/>
        <v>Nasreen Alam</v>
      </c>
      <c r="D336" s="2" t="s">
        <v>767</v>
      </c>
      <c r="E336" s="2" t="s">
        <v>768</v>
      </c>
      <c r="F336" s="2" t="str">
        <f>IF(Names!$B336="M","Mr.",IF(Names!$B336="F","Ms.","Mx."))</f>
        <v>Ms.</v>
      </c>
      <c r="G336" s="2" t="str">
        <f>IF(Names!$B336="M","he",IF(Names!$B336="F","she","they"))</f>
        <v>she</v>
      </c>
      <c r="H336" s="2" t="str">
        <f>IF(Names!$B336="M","him",IF(Names!$B336="F","her","them"))</f>
        <v>her</v>
      </c>
      <c r="I336" s="2" t="str">
        <f>IF(Names!$B336="M","his",IF(Names!$B336="F","her","their"))</f>
        <v>her</v>
      </c>
    </row>
    <row r="337" ht="14.25" customHeight="1">
      <c r="A337" s="2">
        <v>336.0</v>
      </c>
      <c r="B337" s="2" t="s">
        <v>447</v>
      </c>
      <c r="C337" s="2" t="str">
        <f t="shared" si="2"/>
        <v>Hadiqa Pirzada</v>
      </c>
      <c r="D337" s="2" t="s">
        <v>769</v>
      </c>
      <c r="E337" s="2" t="s">
        <v>770</v>
      </c>
      <c r="F337" s="2" t="str">
        <f>IF(Names!$B337="M","Mr.",IF(Names!$B337="F","Ms.","Mx."))</f>
        <v>Ms.</v>
      </c>
      <c r="G337" s="2" t="str">
        <f>IF(Names!$B337="M","he",IF(Names!$B337="F","she","they"))</f>
        <v>she</v>
      </c>
      <c r="H337" s="2" t="str">
        <f>IF(Names!$B337="M","him",IF(Names!$B337="F","her","them"))</f>
        <v>her</v>
      </c>
      <c r="I337" s="2" t="str">
        <f>IF(Names!$B337="M","his",IF(Names!$B337="F","her","their"))</f>
        <v>her</v>
      </c>
    </row>
    <row r="338" ht="14.25" customHeight="1">
      <c r="A338" s="2">
        <v>337.0</v>
      </c>
      <c r="B338" s="2" t="s">
        <v>447</v>
      </c>
      <c r="C338" s="2" t="str">
        <f t="shared" si="2"/>
        <v>Almaz Shafiq</v>
      </c>
      <c r="D338" s="2" t="s">
        <v>771</v>
      </c>
      <c r="E338" s="2" t="s">
        <v>772</v>
      </c>
      <c r="F338" s="2" t="str">
        <f>IF(Names!$B338="M","Mr.",IF(Names!$B338="F","Ms.","Mx."))</f>
        <v>Ms.</v>
      </c>
      <c r="G338" s="2" t="str">
        <f>IF(Names!$B338="M","he",IF(Names!$B338="F","she","they"))</f>
        <v>she</v>
      </c>
      <c r="H338" s="2" t="str">
        <f>IF(Names!$B338="M","him",IF(Names!$B338="F","her","them"))</f>
        <v>her</v>
      </c>
      <c r="I338" s="2" t="str">
        <f>IF(Names!$B338="M","his",IF(Names!$B338="F","her","their"))</f>
        <v>her</v>
      </c>
    </row>
    <row r="339" ht="14.25" customHeight="1">
      <c r="A339" s="2">
        <v>338.0</v>
      </c>
      <c r="B339" s="2" t="s">
        <v>447</v>
      </c>
      <c r="C339" s="2" t="str">
        <f t="shared" si="2"/>
        <v>Atira Chutani</v>
      </c>
      <c r="D339" s="2" t="s">
        <v>773</v>
      </c>
      <c r="E339" s="2" t="s">
        <v>774</v>
      </c>
      <c r="F339" s="2" t="str">
        <f>IF(Names!$B339="M","Mr.",IF(Names!$B339="F","Ms.","Mx."))</f>
        <v>Ms.</v>
      </c>
      <c r="G339" s="2" t="str">
        <f>IF(Names!$B339="M","he",IF(Names!$B339="F","she","they"))</f>
        <v>she</v>
      </c>
      <c r="H339" s="2" t="str">
        <f>IF(Names!$B339="M","him",IF(Names!$B339="F","her","them"))</f>
        <v>her</v>
      </c>
      <c r="I339" s="2" t="str">
        <f>IF(Names!$B339="M","his",IF(Names!$B339="F","her","their"))</f>
        <v>her</v>
      </c>
    </row>
    <row r="340" ht="14.25" customHeight="1">
      <c r="A340" s="2">
        <v>339.0</v>
      </c>
      <c r="B340" s="2" t="s">
        <v>447</v>
      </c>
      <c r="C340" s="2" t="str">
        <f t="shared" si="2"/>
        <v>Sabeen Sadozai</v>
      </c>
      <c r="D340" s="2" t="s">
        <v>775</v>
      </c>
      <c r="E340" s="2" t="s">
        <v>776</v>
      </c>
      <c r="F340" s="2" t="str">
        <f>IF(Names!$B340="M","Mr.",IF(Names!$B340="F","Ms.","Mx."))</f>
        <v>Ms.</v>
      </c>
      <c r="G340" s="2" t="str">
        <f>IF(Names!$B340="M","he",IF(Names!$B340="F","she","they"))</f>
        <v>she</v>
      </c>
      <c r="H340" s="2" t="str">
        <f>IF(Names!$B340="M","him",IF(Names!$B340="F","her","them"))</f>
        <v>her</v>
      </c>
      <c r="I340" s="2" t="str">
        <f>IF(Names!$B340="M","his",IF(Names!$B340="F","her","their"))</f>
        <v>her</v>
      </c>
    </row>
    <row r="341" ht="14.25" customHeight="1">
      <c r="A341" s="2">
        <v>340.0</v>
      </c>
      <c r="B341" s="2" t="s">
        <v>447</v>
      </c>
      <c r="C341" s="2" t="str">
        <f t="shared" si="2"/>
        <v>Mazia Ashkani</v>
      </c>
      <c r="D341" s="2" t="s">
        <v>777</v>
      </c>
      <c r="E341" s="2" t="s">
        <v>778</v>
      </c>
      <c r="F341" s="2" t="str">
        <f>IF(Names!$B341="M","Mr.",IF(Names!$B341="F","Ms.","Mx."))</f>
        <v>Ms.</v>
      </c>
      <c r="G341" s="2" t="str">
        <f>IF(Names!$B341="M","he",IF(Names!$B341="F","she","they"))</f>
        <v>she</v>
      </c>
      <c r="H341" s="2" t="str">
        <f>IF(Names!$B341="M","him",IF(Names!$B341="F","her","them"))</f>
        <v>her</v>
      </c>
      <c r="I341" s="2" t="str">
        <f>IF(Names!$B341="M","his",IF(Names!$B341="F","her","their"))</f>
        <v>her</v>
      </c>
    </row>
    <row r="342" ht="14.25" customHeight="1">
      <c r="A342" s="2">
        <v>341.0</v>
      </c>
      <c r="B342" s="2" t="s">
        <v>447</v>
      </c>
      <c r="C342" s="2" t="str">
        <f t="shared" si="2"/>
        <v>Naeema Rahija</v>
      </c>
      <c r="D342" s="2" t="s">
        <v>779</v>
      </c>
      <c r="E342" s="2" t="s">
        <v>780</v>
      </c>
      <c r="F342" s="2" t="str">
        <f>IF(Names!$B342="M","Mr.",IF(Names!$B342="F","Ms.","Mx."))</f>
        <v>Ms.</v>
      </c>
      <c r="G342" s="2" t="str">
        <f>IF(Names!$B342="M","he",IF(Names!$B342="F","she","they"))</f>
        <v>she</v>
      </c>
      <c r="H342" s="2" t="str">
        <f>IF(Names!$B342="M","him",IF(Names!$B342="F","her","them"))</f>
        <v>her</v>
      </c>
      <c r="I342" s="2" t="str">
        <f>IF(Names!$B342="M","his",IF(Names!$B342="F","her","their"))</f>
        <v>her</v>
      </c>
    </row>
    <row r="343" ht="14.25" customHeight="1">
      <c r="A343" s="2">
        <v>342.0</v>
      </c>
      <c r="B343" s="2" t="s">
        <v>447</v>
      </c>
      <c r="C343" s="2" t="str">
        <f t="shared" si="2"/>
        <v>Hamaira Zaheer</v>
      </c>
      <c r="D343" s="2" t="s">
        <v>781</v>
      </c>
      <c r="E343" s="2" t="s">
        <v>782</v>
      </c>
      <c r="F343" s="2" t="str">
        <f>IF(Names!$B343="M","Mr.",IF(Names!$B343="F","Ms.","Mx."))</f>
        <v>Ms.</v>
      </c>
      <c r="G343" s="2" t="str">
        <f>IF(Names!$B343="M","he",IF(Names!$B343="F","she","they"))</f>
        <v>she</v>
      </c>
      <c r="H343" s="2" t="str">
        <f>IF(Names!$B343="M","him",IF(Names!$B343="F","her","them"))</f>
        <v>her</v>
      </c>
      <c r="I343" s="2" t="str">
        <f>IF(Names!$B343="M","his",IF(Names!$B343="F","her","their"))</f>
        <v>her</v>
      </c>
    </row>
    <row r="344" ht="14.25" customHeight="1">
      <c r="A344" s="2">
        <v>343.0</v>
      </c>
      <c r="B344" s="2" t="s">
        <v>447</v>
      </c>
      <c r="C344" s="2" t="str">
        <f t="shared" si="2"/>
        <v>Atiya Rathore</v>
      </c>
      <c r="D344" s="2" t="s">
        <v>783</v>
      </c>
      <c r="E344" s="2" t="s">
        <v>784</v>
      </c>
      <c r="F344" s="2" t="str">
        <f>IF(Names!$B344="M","Mr.",IF(Names!$B344="F","Ms.","Mx."))</f>
        <v>Ms.</v>
      </c>
      <c r="G344" s="2" t="str">
        <f>IF(Names!$B344="M","he",IF(Names!$B344="F","she","they"))</f>
        <v>she</v>
      </c>
      <c r="H344" s="2" t="str">
        <f>IF(Names!$B344="M","him",IF(Names!$B344="F","her","them"))</f>
        <v>her</v>
      </c>
      <c r="I344" s="2" t="str">
        <f>IF(Names!$B344="M","his",IF(Names!$B344="F","her","their"))</f>
        <v>her</v>
      </c>
    </row>
    <row r="345" ht="14.25" customHeight="1">
      <c r="A345" s="2">
        <v>344.0</v>
      </c>
      <c r="B345" s="2" t="s">
        <v>447</v>
      </c>
      <c r="C345" s="2" t="str">
        <f t="shared" si="2"/>
        <v>Phạm Bảo Uyên</v>
      </c>
      <c r="D345" s="2" t="s">
        <v>785</v>
      </c>
      <c r="E345" s="2" t="s">
        <v>786</v>
      </c>
      <c r="F345" s="2" t="str">
        <f>IF(Names!$B345="M","Mr.",IF(Names!$B345="F","Ms.","Mx."))</f>
        <v>Ms.</v>
      </c>
      <c r="G345" s="2" t="str">
        <f>IF(Names!$B345="M","he",IF(Names!$B345="F","she","they"))</f>
        <v>she</v>
      </c>
      <c r="H345" s="2" t="str">
        <f>IF(Names!$B345="M","him",IF(Names!$B345="F","her","them"))</f>
        <v>her</v>
      </c>
      <c r="I345" s="2" t="str">
        <f>IF(Names!$B345="M","his",IF(Names!$B345="F","her","their"))</f>
        <v>her</v>
      </c>
    </row>
    <row r="346" ht="14.25" customHeight="1">
      <c r="A346" s="2">
        <v>345.0</v>
      </c>
      <c r="B346" s="2" t="s">
        <v>447</v>
      </c>
      <c r="C346" s="2" t="str">
        <f t="shared" si="2"/>
        <v>Trịnh Thảo Uyên</v>
      </c>
      <c r="D346" s="2" t="s">
        <v>787</v>
      </c>
      <c r="E346" s="2" t="s">
        <v>788</v>
      </c>
      <c r="F346" s="2" t="str">
        <f>IF(Names!$B346="M","Mr.",IF(Names!$B346="F","Ms.","Mx."))</f>
        <v>Ms.</v>
      </c>
      <c r="G346" s="2" t="str">
        <f>IF(Names!$B346="M","he",IF(Names!$B346="F","she","they"))</f>
        <v>she</v>
      </c>
      <c r="H346" s="2" t="str">
        <f>IF(Names!$B346="M","him",IF(Names!$B346="F","her","them"))</f>
        <v>her</v>
      </c>
      <c r="I346" s="2" t="str">
        <f>IF(Names!$B346="M","his",IF(Names!$B346="F","her","their"))</f>
        <v>her</v>
      </c>
    </row>
    <row r="347" ht="14.25" customHeight="1">
      <c r="A347" s="2">
        <v>346.0</v>
      </c>
      <c r="B347" s="2" t="s">
        <v>447</v>
      </c>
      <c r="C347" s="2" t="str">
        <f t="shared" si="2"/>
        <v>Tô Quỳnh Dao</v>
      </c>
      <c r="D347" s="2" t="s">
        <v>789</v>
      </c>
      <c r="E347" s="2" t="s">
        <v>790</v>
      </c>
      <c r="F347" s="2" t="str">
        <f>IF(Names!$B347="M","Mr.",IF(Names!$B347="F","Ms.","Mx."))</f>
        <v>Ms.</v>
      </c>
      <c r="G347" s="2" t="str">
        <f>IF(Names!$B347="M","he",IF(Names!$B347="F","she","they"))</f>
        <v>she</v>
      </c>
      <c r="H347" s="2" t="str">
        <f>IF(Names!$B347="M","him",IF(Names!$B347="F","her","them"))</f>
        <v>her</v>
      </c>
      <c r="I347" s="2" t="str">
        <f>IF(Names!$B347="M","his",IF(Names!$B347="F","her","their"))</f>
        <v>her</v>
      </c>
    </row>
    <row r="348" ht="14.25" customHeight="1">
      <c r="A348" s="2">
        <v>347.0</v>
      </c>
      <c r="B348" s="2" t="s">
        <v>447</v>
      </c>
      <c r="C348" s="2" t="str">
        <f t="shared" si="2"/>
        <v>Nguyễn Minh Tuệ</v>
      </c>
      <c r="D348" s="2" t="s">
        <v>791</v>
      </c>
      <c r="E348" s="2" t="s">
        <v>792</v>
      </c>
      <c r="F348" s="2" t="str">
        <f>IF(Names!$B348="M","Mr.",IF(Names!$B348="F","Ms.","Mx."))</f>
        <v>Ms.</v>
      </c>
      <c r="G348" s="2" t="str">
        <f>IF(Names!$B348="M","he",IF(Names!$B348="F","she","they"))</f>
        <v>she</v>
      </c>
      <c r="H348" s="2" t="str">
        <f>IF(Names!$B348="M","him",IF(Names!$B348="F","her","them"))</f>
        <v>her</v>
      </c>
      <c r="I348" s="2" t="str">
        <f>IF(Names!$B348="M","his",IF(Names!$B348="F","her","their"))</f>
        <v>her</v>
      </c>
    </row>
    <row r="349" ht="14.25" customHeight="1">
      <c r="A349" s="2">
        <v>348.0</v>
      </c>
      <c r="B349" s="2" t="s">
        <v>447</v>
      </c>
      <c r="C349" s="2" t="str">
        <f t="shared" si="2"/>
        <v>Ân Cẩm Thúy</v>
      </c>
      <c r="D349" s="2" t="s">
        <v>793</v>
      </c>
      <c r="E349" s="2" t="s">
        <v>794</v>
      </c>
      <c r="F349" s="2" t="str">
        <f>IF(Names!$B349="M","Mr.",IF(Names!$B349="F","Ms.","Mx."))</f>
        <v>Ms.</v>
      </c>
      <c r="G349" s="2" t="str">
        <f>IF(Names!$B349="M","he",IF(Names!$B349="F","she","they"))</f>
        <v>she</v>
      </c>
      <c r="H349" s="2" t="str">
        <f>IF(Names!$B349="M","him",IF(Names!$B349="F","her","them"))</f>
        <v>her</v>
      </c>
      <c r="I349" s="2" t="str">
        <f>IF(Names!$B349="M","his",IF(Names!$B349="F","her","their"))</f>
        <v>her</v>
      </c>
    </row>
    <row r="350" ht="14.25" customHeight="1">
      <c r="A350" s="2">
        <v>349.0</v>
      </c>
      <c r="B350" s="2" t="s">
        <v>447</v>
      </c>
      <c r="C350" s="2" t="str">
        <f t="shared" si="2"/>
        <v>Nguyễn Thùy Nhi</v>
      </c>
      <c r="D350" s="2" t="s">
        <v>791</v>
      </c>
      <c r="E350" s="2" t="s">
        <v>795</v>
      </c>
      <c r="F350" s="2" t="str">
        <f>IF(Names!$B350="M","Mr.",IF(Names!$B350="F","Ms.","Mx."))</f>
        <v>Ms.</v>
      </c>
      <c r="G350" s="2" t="str">
        <f>IF(Names!$B350="M","he",IF(Names!$B350="F","she","they"))</f>
        <v>she</v>
      </c>
      <c r="H350" s="2" t="str">
        <f>IF(Names!$B350="M","him",IF(Names!$B350="F","her","them"))</f>
        <v>her</v>
      </c>
      <c r="I350" s="2" t="str">
        <f>IF(Names!$B350="M","his",IF(Names!$B350="F","her","their"))</f>
        <v>her</v>
      </c>
    </row>
    <row r="351" ht="14.25" customHeight="1">
      <c r="A351" s="2">
        <v>350.0</v>
      </c>
      <c r="B351" s="2" t="s">
        <v>447</v>
      </c>
      <c r="C351" s="2" t="str">
        <f t="shared" si="2"/>
        <v>Võ Quỳnh Dao</v>
      </c>
      <c r="D351" s="2" t="s">
        <v>332</v>
      </c>
      <c r="E351" s="2" t="s">
        <v>790</v>
      </c>
      <c r="F351" s="2" t="str">
        <f>IF(Names!$B351="M","Mr.",IF(Names!$B351="F","Ms.","Mx."))</f>
        <v>Ms.</v>
      </c>
      <c r="G351" s="2" t="str">
        <f>IF(Names!$B351="M","he",IF(Names!$B351="F","she","they"))</f>
        <v>she</v>
      </c>
      <c r="H351" s="2" t="str">
        <f>IF(Names!$B351="M","him",IF(Names!$B351="F","her","them"))</f>
        <v>her</v>
      </c>
      <c r="I351" s="2" t="str">
        <f>IF(Names!$B351="M","his",IF(Names!$B351="F","her","their"))</f>
        <v>her</v>
      </c>
    </row>
    <row r="352" ht="14.25" customHeight="1">
      <c r="A352" s="2">
        <v>351.0</v>
      </c>
      <c r="B352" s="2" t="s">
        <v>447</v>
      </c>
      <c r="C352" s="2" t="str">
        <f t="shared" si="2"/>
        <v>Tô Ngọc Loan</v>
      </c>
      <c r="D352" s="2" t="s">
        <v>789</v>
      </c>
      <c r="E352" s="2" t="s">
        <v>796</v>
      </c>
      <c r="F352" s="2" t="str">
        <f>IF(Names!$B352="M","Mr.",IF(Names!$B352="F","Ms.","Mx."))</f>
        <v>Ms.</v>
      </c>
      <c r="G352" s="2" t="str">
        <f>IF(Names!$B352="M","he",IF(Names!$B352="F","she","they"))</f>
        <v>she</v>
      </c>
      <c r="H352" s="2" t="str">
        <f>IF(Names!$B352="M","him",IF(Names!$B352="F","her","them"))</f>
        <v>her</v>
      </c>
      <c r="I352" s="2" t="str">
        <f>IF(Names!$B352="M","his",IF(Names!$B352="F","her","their"))</f>
        <v>her</v>
      </c>
    </row>
    <row r="353" ht="14.25" customHeight="1">
      <c r="A353" s="2">
        <v>352.0</v>
      </c>
      <c r="B353" s="2" t="s">
        <v>447</v>
      </c>
      <c r="C353" s="2" t="str">
        <f t="shared" si="2"/>
        <v>Chử Hồng Mai</v>
      </c>
      <c r="D353" s="2" t="s">
        <v>336</v>
      </c>
      <c r="E353" s="2" t="s">
        <v>797</v>
      </c>
      <c r="F353" s="2" t="str">
        <f>IF(Names!$B353="M","Mr.",IF(Names!$B353="F","Ms.","Mx."))</f>
        <v>Ms.</v>
      </c>
      <c r="G353" s="2" t="str">
        <f>IF(Names!$B353="M","he",IF(Names!$B353="F","she","they"))</f>
        <v>she</v>
      </c>
      <c r="H353" s="2" t="str">
        <f>IF(Names!$B353="M","him",IF(Names!$B353="F","her","them"))</f>
        <v>her</v>
      </c>
      <c r="I353" s="2" t="str">
        <f>IF(Names!$B353="M","his",IF(Names!$B353="F","her","their"))</f>
        <v>her</v>
      </c>
    </row>
    <row r="354" ht="14.25" customHeight="1">
      <c r="A354" s="2">
        <v>353.0</v>
      </c>
      <c r="B354" s="2" t="s">
        <v>447</v>
      </c>
      <c r="C354" s="2" t="str">
        <f t="shared" si="2"/>
        <v>Phan Trúc Lam</v>
      </c>
      <c r="D354" s="2" t="s">
        <v>798</v>
      </c>
      <c r="E354" s="2" t="s">
        <v>799</v>
      </c>
      <c r="F354" s="2" t="str">
        <f>IF(Names!$B354="M","Mr.",IF(Names!$B354="F","Ms.","Mx."))</f>
        <v>Ms.</v>
      </c>
      <c r="G354" s="2" t="str">
        <f>IF(Names!$B354="M","he",IF(Names!$B354="F","she","they"))</f>
        <v>she</v>
      </c>
      <c r="H354" s="2" t="str">
        <f>IF(Names!$B354="M","him",IF(Names!$B354="F","her","them"))</f>
        <v>her</v>
      </c>
      <c r="I354" s="2" t="str">
        <f>IF(Names!$B354="M","his",IF(Names!$B354="F","her","their"))</f>
        <v>her</v>
      </c>
    </row>
    <row r="355" ht="14.25" customHeight="1">
      <c r="A355" s="2">
        <v>354.0</v>
      </c>
      <c r="B355" s="2" t="s">
        <v>447</v>
      </c>
      <c r="C355" s="2" t="str">
        <f t="shared" si="2"/>
        <v>Nopjira Kongsangchai</v>
      </c>
      <c r="D355" s="2" t="s">
        <v>800</v>
      </c>
      <c r="E355" s="2" t="s">
        <v>801</v>
      </c>
      <c r="F355" s="2" t="str">
        <f>IF(Names!$B355="M","Mr.",IF(Names!$B355="F","Ms.","Mx."))</f>
        <v>Ms.</v>
      </c>
      <c r="G355" s="2" t="str">
        <f>IF(Names!$B355="M","he",IF(Names!$B355="F","she","they"))</f>
        <v>she</v>
      </c>
      <c r="H355" s="2" t="str">
        <f>IF(Names!$B355="M","him",IF(Names!$B355="F","her","them"))</f>
        <v>her</v>
      </c>
      <c r="I355" s="2" t="str">
        <f>IF(Names!$B355="M","his",IF(Names!$B355="F","her","their"))</f>
        <v>her</v>
      </c>
    </row>
    <row r="356" ht="14.25" customHeight="1">
      <c r="A356" s="2">
        <v>355.0</v>
      </c>
      <c r="B356" s="2" t="s">
        <v>447</v>
      </c>
      <c r="C356" s="2" t="str">
        <f t="shared" si="2"/>
        <v>Kulap Nut</v>
      </c>
      <c r="D356" s="2" t="s">
        <v>802</v>
      </c>
      <c r="E356" s="2" t="s">
        <v>803</v>
      </c>
      <c r="F356" s="2" t="str">
        <f>IF(Names!$B356="M","Mr.",IF(Names!$B356="F","Ms.","Mx."))</f>
        <v>Ms.</v>
      </c>
      <c r="G356" s="2" t="str">
        <f>IF(Names!$B356="M","he",IF(Names!$B356="F","she","they"))</f>
        <v>she</v>
      </c>
      <c r="H356" s="2" t="str">
        <f>IF(Names!$B356="M","him",IF(Names!$B356="F","her","them"))</f>
        <v>her</v>
      </c>
      <c r="I356" s="2" t="str">
        <f>IF(Names!$B356="M","his",IF(Names!$B356="F","her","their"))</f>
        <v>her</v>
      </c>
    </row>
    <row r="357" ht="14.25" customHeight="1">
      <c r="A357" s="2">
        <v>356.0</v>
      </c>
      <c r="B357" s="2" t="s">
        <v>447</v>
      </c>
      <c r="C357" s="2" t="str">
        <f t="shared" si="2"/>
        <v>Mekhla Pramoj</v>
      </c>
      <c r="D357" s="2" t="s">
        <v>804</v>
      </c>
      <c r="E357" s="2" t="s">
        <v>805</v>
      </c>
      <c r="F357" s="2" t="str">
        <f>IF(Names!$B357="M","Mr.",IF(Names!$B357="F","Ms.","Mx."))</f>
        <v>Ms.</v>
      </c>
      <c r="G357" s="2" t="str">
        <f>IF(Names!$B357="M","he",IF(Names!$B357="F","she","they"))</f>
        <v>she</v>
      </c>
      <c r="H357" s="2" t="str">
        <f>IF(Names!$B357="M","him",IF(Names!$B357="F","her","them"))</f>
        <v>her</v>
      </c>
      <c r="I357" s="2" t="str">
        <f>IF(Names!$B357="M","his",IF(Names!$B357="F","her","their"))</f>
        <v>her</v>
      </c>
    </row>
    <row r="358" ht="14.25" customHeight="1">
      <c r="A358" s="2">
        <v>357.0</v>
      </c>
      <c r="B358" s="2" t="s">
        <v>447</v>
      </c>
      <c r="C358" s="2" t="str">
        <f t="shared" si="2"/>
        <v>Chaveevan Kurusatienkit</v>
      </c>
      <c r="D358" s="2" t="s">
        <v>806</v>
      </c>
      <c r="E358" s="2" t="s">
        <v>807</v>
      </c>
      <c r="F358" s="2" t="str">
        <f>IF(Names!$B358="M","Mr.",IF(Names!$B358="F","Ms.","Mx."))</f>
        <v>Ms.</v>
      </c>
      <c r="G358" s="2" t="str">
        <f>IF(Names!$B358="M","he",IF(Names!$B358="F","she","they"))</f>
        <v>she</v>
      </c>
      <c r="H358" s="2" t="str">
        <f>IF(Names!$B358="M","him",IF(Names!$B358="F","her","them"))</f>
        <v>her</v>
      </c>
      <c r="I358" s="2" t="str">
        <f>IF(Names!$B358="M","his",IF(Names!$B358="F","her","their"))</f>
        <v>her</v>
      </c>
    </row>
    <row r="359" ht="14.25" customHeight="1">
      <c r="A359" s="2">
        <v>358.0</v>
      </c>
      <c r="B359" s="2" t="s">
        <v>447</v>
      </c>
      <c r="C359" s="2" t="str">
        <f t="shared" si="2"/>
        <v>Mathawee Amornchantanakorn</v>
      </c>
      <c r="D359" s="2" t="s">
        <v>808</v>
      </c>
      <c r="E359" s="2" t="s">
        <v>809</v>
      </c>
      <c r="F359" s="2" t="str">
        <f>IF(Names!$B359="M","Mr.",IF(Names!$B359="F","Ms.","Mx."))</f>
        <v>Ms.</v>
      </c>
      <c r="G359" s="2" t="str">
        <f>IF(Names!$B359="M","he",IF(Names!$B359="F","she","they"))</f>
        <v>she</v>
      </c>
      <c r="H359" s="2" t="str">
        <f>IF(Names!$B359="M","him",IF(Names!$B359="F","her","them"))</f>
        <v>her</v>
      </c>
      <c r="I359" s="2" t="str">
        <f>IF(Names!$B359="M","his",IF(Names!$B359="F","her","their"))</f>
        <v>her</v>
      </c>
    </row>
    <row r="360" ht="14.25" customHeight="1">
      <c r="A360" s="2">
        <v>359.0</v>
      </c>
      <c r="B360" s="2" t="s">
        <v>447</v>
      </c>
      <c r="C360" s="2" t="str">
        <f t="shared" si="2"/>
        <v>Phloi Kriangsak</v>
      </c>
      <c r="D360" s="2" t="s">
        <v>810</v>
      </c>
      <c r="E360" s="2" t="s">
        <v>811</v>
      </c>
      <c r="F360" s="2" t="str">
        <f>IF(Names!$B360="M","Mr.",IF(Names!$B360="F","Ms.","Mx."))</f>
        <v>Ms.</v>
      </c>
      <c r="G360" s="2" t="str">
        <f>IF(Names!$B360="M","he",IF(Names!$B360="F","she","they"))</f>
        <v>she</v>
      </c>
      <c r="H360" s="2" t="str">
        <f>IF(Names!$B360="M","him",IF(Names!$B360="F","her","them"))</f>
        <v>her</v>
      </c>
      <c r="I360" s="2" t="str">
        <f>IF(Names!$B360="M","his",IF(Names!$B360="F","her","their"))</f>
        <v>her</v>
      </c>
    </row>
    <row r="361" ht="14.25" customHeight="1">
      <c r="A361" s="2">
        <v>360.0</v>
      </c>
      <c r="B361" s="2" t="s">
        <v>447</v>
      </c>
      <c r="C361" s="2" t="str">
        <f t="shared" si="2"/>
        <v>Noi Pibul</v>
      </c>
      <c r="D361" s="2" t="s">
        <v>812</v>
      </c>
      <c r="E361" s="2" t="s">
        <v>813</v>
      </c>
      <c r="F361" s="2" t="str">
        <f>IF(Names!$B361="M","Mr.",IF(Names!$B361="F","Ms.","Mx."))</f>
        <v>Ms.</v>
      </c>
      <c r="G361" s="2" t="str">
        <f>IF(Names!$B361="M","he",IF(Names!$B361="F","she","they"))</f>
        <v>she</v>
      </c>
      <c r="H361" s="2" t="str">
        <f>IF(Names!$B361="M","him",IF(Names!$B361="F","her","them"))</f>
        <v>her</v>
      </c>
      <c r="I361" s="2" t="str">
        <f>IF(Names!$B361="M","his",IF(Names!$B361="F","her","their"))</f>
        <v>her</v>
      </c>
    </row>
    <row r="362" ht="14.25" customHeight="1">
      <c r="A362" s="2">
        <v>361.0</v>
      </c>
      <c r="B362" s="2" t="s">
        <v>447</v>
      </c>
      <c r="C362" s="2" t="str">
        <f t="shared" si="2"/>
        <v>Utumporn Khuntilanont</v>
      </c>
      <c r="D362" s="2" t="s">
        <v>814</v>
      </c>
      <c r="E362" s="2" t="s">
        <v>815</v>
      </c>
      <c r="F362" s="2" t="str">
        <f>IF(Names!$B362="M","Mr.",IF(Names!$B362="F","Ms.","Mx."))</f>
        <v>Ms.</v>
      </c>
      <c r="G362" s="2" t="str">
        <f>IF(Names!$B362="M","he",IF(Names!$B362="F","she","they"))</f>
        <v>she</v>
      </c>
      <c r="H362" s="2" t="str">
        <f>IF(Names!$B362="M","him",IF(Names!$B362="F","her","them"))</f>
        <v>her</v>
      </c>
      <c r="I362" s="2" t="str">
        <f>IF(Names!$B362="M","his",IF(Names!$B362="F","her","their"))</f>
        <v>her</v>
      </c>
    </row>
    <row r="363" ht="14.25" customHeight="1">
      <c r="A363" s="2">
        <v>362.0</v>
      </c>
      <c r="B363" s="2" t="s">
        <v>447</v>
      </c>
      <c r="C363" s="2" t="str">
        <f t="shared" si="2"/>
        <v>Ung Panomyaong</v>
      </c>
      <c r="D363" s="2" t="s">
        <v>816</v>
      </c>
      <c r="E363" s="2" t="s">
        <v>817</v>
      </c>
      <c r="F363" s="2" t="str">
        <f>IF(Names!$B363="M","Mr.",IF(Names!$B363="F","Ms.","Mx."))</f>
        <v>Ms.</v>
      </c>
      <c r="G363" s="2" t="str">
        <f>IF(Names!$B363="M","he",IF(Names!$B363="F","she","they"))</f>
        <v>she</v>
      </c>
      <c r="H363" s="2" t="str">
        <f>IF(Names!$B363="M","him",IF(Names!$B363="F","her","them"))</f>
        <v>her</v>
      </c>
      <c r="I363" s="2" t="str">
        <f>IF(Names!$B363="M","his",IF(Names!$B363="F","her","their"))</f>
        <v>her</v>
      </c>
    </row>
    <row r="364" ht="14.25" customHeight="1">
      <c r="A364" s="2">
        <v>363.0</v>
      </c>
      <c r="B364" s="2" t="s">
        <v>447</v>
      </c>
      <c r="C364" s="2" t="str">
        <f t="shared" si="2"/>
        <v>Chomechai Chao</v>
      </c>
      <c r="D364" s="2" t="s">
        <v>818</v>
      </c>
      <c r="E364" s="2" t="s">
        <v>723</v>
      </c>
      <c r="F364" s="2" t="str">
        <f>IF(Names!$B364="M","Mr.",IF(Names!$B364="F","Ms.","Mx."))</f>
        <v>Ms.</v>
      </c>
      <c r="G364" s="2" t="str">
        <f>IF(Names!$B364="M","he",IF(Names!$B364="F","she","they"))</f>
        <v>she</v>
      </c>
      <c r="H364" s="2" t="str">
        <f>IF(Names!$B364="M","him",IF(Names!$B364="F","her","them"))</f>
        <v>her</v>
      </c>
      <c r="I364" s="2" t="str">
        <f>IF(Names!$B364="M","his",IF(Names!$B364="F","her","their"))</f>
        <v>her</v>
      </c>
    </row>
    <row r="365" ht="14.25" customHeight="1">
      <c r="A365" s="2">
        <v>364.0</v>
      </c>
      <c r="B365" s="2" t="s">
        <v>447</v>
      </c>
      <c r="C365" s="2" t="str">
        <f t="shared" si="2"/>
        <v>Tharwa al-Rehman</v>
      </c>
      <c r="D365" s="2" t="s">
        <v>819</v>
      </c>
      <c r="E365" s="2" t="s">
        <v>820</v>
      </c>
      <c r="F365" s="2" t="str">
        <f>IF(Names!$B365="M","Mr.",IF(Names!$B365="F","Ms.","Mx."))</f>
        <v>Ms.</v>
      </c>
      <c r="G365" s="2" t="str">
        <f>IF(Names!$B365="M","he",IF(Names!$B365="F","she","they"))</f>
        <v>she</v>
      </c>
      <c r="H365" s="2" t="str">
        <f>IF(Names!$B365="M","him",IF(Names!$B365="F","her","them"))</f>
        <v>her</v>
      </c>
      <c r="I365" s="2" t="str">
        <f>IF(Names!$B365="M","his",IF(Names!$B365="F","her","their"))</f>
        <v>her</v>
      </c>
    </row>
    <row r="366" ht="14.25" customHeight="1">
      <c r="A366" s="2">
        <v>365.0</v>
      </c>
      <c r="B366" s="2" t="s">
        <v>447</v>
      </c>
      <c r="C366" s="2" t="str">
        <f t="shared" si="2"/>
        <v>Aqeela al-Hariri</v>
      </c>
      <c r="D366" s="2" t="s">
        <v>821</v>
      </c>
      <c r="E366" s="2" t="s">
        <v>822</v>
      </c>
      <c r="F366" s="2" t="str">
        <f>IF(Names!$B366="M","Mr.",IF(Names!$B366="F","Ms.","Mx."))</f>
        <v>Ms.</v>
      </c>
      <c r="G366" s="2" t="str">
        <f>IF(Names!$B366="M","he",IF(Names!$B366="F","she","they"))</f>
        <v>she</v>
      </c>
      <c r="H366" s="2" t="str">
        <f>IF(Names!$B366="M","him",IF(Names!$B366="F","her","them"))</f>
        <v>her</v>
      </c>
      <c r="I366" s="2" t="str">
        <f>IF(Names!$B366="M","his",IF(Names!$B366="F","her","their"))</f>
        <v>her</v>
      </c>
    </row>
    <row r="367" ht="14.25" customHeight="1">
      <c r="A367" s="2">
        <v>366.0</v>
      </c>
      <c r="B367" s="2" t="s">
        <v>447</v>
      </c>
      <c r="C367" s="2" t="str">
        <f t="shared" si="2"/>
        <v>Sumayya al-Sawaya</v>
      </c>
      <c r="D367" s="2" t="s">
        <v>823</v>
      </c>
      <c r="E367" s="2" t="s">
        <v>824</v>
      </c>
      <c r="F367" s="2" t="str">
        <f>IF(Names!$B367="M","Mr.",IF(Names!$B367="F","Ms.","Mx."))</f>
        <v>Ms.</v>
      </c>
      <c r="G367" s="2" t="str">
        <f>IF(Names!$B367="M","he",IF(Names!$B367="F","she","they"))</f>
        <v>she</v>
      </c>
      <c r="H367" s="2" t="str">
        <f>IF(Names!$B367="M","him",IF(Names!$B367="F","her","them"))</f>
        <v>her</v>
      </c>
      <c r="I367" s="2" t="str">
        <f>IF(Names!$B367="M","his",IF(Names!$B367="F","her","their"))</f>
        <v>her</v>
      </c>
    </row>
    <row r="368" ht="14.25" customHeight="1">
      <c r="A368" s="2">
        <v>367.0</v>
      </c>
      <c r="B368" s="2" t="s">
        <v>447</v>
      </c>
      <c r="C368" s="2" t="str">
        <f t="shared" si="2"/>
        <v>Munisa al-Aydin</v>
      </c>
      <c r="D368" s="2" t="s">
        <v>825</v>
      </c>
      <c r="E368" s="2" t="s">
        <v>826</v>
      </c>
      <c r="F368" s="2" t="str">
        <f>IF(Names!$B368="M","Mr.",IF(Names!$B368="F","Ms.","Mx."))</f>
        <v>Ms.</v>
      </c>
      <c r="G368" s="2" t="str">
        <f>IF(Names!$B368="M","he",IF(Names!$B368="F","she","they"))</f>
        <v>she</v>
      </c>
      <c r="H368" s="2" t="str">
        <f>IF(Names!$B368="M","him",IF(Names!$B368="F","her","them"))</f>
        <v>her</v>
      </c>
      <c r="I368" s="2" t="str">
        <f>IF(Names!$B368="M","his",IF(Names!$B368="F","her","their"))</f>
        <v>her</v>
      </c>
    </row>
    <row r="369" ht="14.25" customHeight="1">
      <c r="A369" s="2">
        <v>368.0</v>
      </c>
      <c r="B369" s="2" t="s">
        <v>447</v>
      </c>
      <c r="C369" s="2" t="str">
        <f t="shared" si="2"/>
        <v>Kameela el-Guler</v>
      </c>
      <c r="D369" s="2" t="s">
        <v>827</v>
      </c>
      <c r="E369" s="2" t="s">
        <v>828</v>
      </c>
      <c r="F369" s="2" t="str">
        <f>IF(Names!$B369="M","Mr.",IF(Names!$B369="F","Ms.","Mx."))</f>
        <v>Ms.</v>
      </c>
      <c r="G369" s="2" t="str">
        <f>IF(Names!$B369="M","he",IF(Names!$B369="F","she","they"))</f>
        <v>she</v>
      </c>
      <c r="H369" s="2" t="str">
        <f>IF(Names!$B369="M","him",IF(Names!$B369="F","her","them"))</f>
        <v>her</v>
      </c>
      <c r="I369" s="2" t="str">
        <f>IF(Names!$B369="M","his",IF(Names!$B369="F","her","their"))</f>
        <v>her</v>
      </c>
    </row>
    <row r="370" ht="14.25" customHeight="1">
      <c r="A370" s="2">
        <v>369.0</v>
      </c>
      <c r="B370" s="2" t="s">
        <v>447</v>
      </c>
      <c r="C370" s="2" t="str">
        <f t="shared" si="2"/>
        <v>Layaali el-Farra</v>
      </c>
      <c r="D370" s="2" t="s">
        <v>829</v>
      </c>
      <c r="E370" s="2" t="s">
        <v>830</v>
      </c>
      <c r="F370" s="2" t="str">
        <f>IF(Names!$B370="M","Mr.",IF(Names!$B370="F","Ms.","Mx."))</f>
        <v>Ms.</v>
      </c>
      <c r="G370" s="2" t="str">
        <f>IF(Names!$B370="M","he",IF(Names!$B370="F","she","they"))</f>
        <v>she</v>
      </c>
      <c r="H370" s="2" t="str">
        <f>IF(Names!$B370="M","him",IF(Names!$B370="F","her","them"))</f>
        <v>her</v>
      </c>
      <c r="I370" s="2" t="str">
        <f>IF(Names!$B370="M","his",IF(Names!$B370="F","her","their"))</f>
        <v>her</v>
      </c>
    </row>
    <row r="371" ht="14.25" customHeight="1">
      <c r="A371" s="2">
        <v>370.0</v>
      </c>
      <c r="B371" s="2" t="s">
        <v>447</v>
      </c>
      <c r="C371" s="2" t="str">
        <f t="shared" si="2"/>
        <v>Wafaaa el-Dawood</v>
      </c>
      <c r="D371" s="2" t="s">
        <v>831</v>
      </c>
      <c r="E371" s="2" t="s">
        <v>832</v>
      </c>
      <c r="F371" s="2" t="str">
        <f>IF(Names!$B371="M","Mr.",IF(Names!$B371="F","Ms.","Mx."))</f>
        <v>Ms.</v>
      </c>
      <c r="G371" s="2" t="str">
        <f>IF(Names!$B371="M","he",IF(Names!$B371="F","she","they"))</f>
        <v>she</v>
      </c>
      <c r="H371" s="2" t="str">
        <f>IF(Names!$B371="M","him",IF(Names!$B371="F","her","them"))</f>
        <v>her</v>
      </c>
      <c r="I371" s="2" t="str">
        <f>IF(Names!$B371="M","his",IF(Names!$B371="F","her","their"))</f>
        <v>her</v>
      </c>
    </row>
    <row r="372" ht="14.25" customHeight="1">
      <c r="A372" s="2">
        <v>371.0</v>
      </c>
      <c r="B372" s="2" t="s">
        <v>447</v>
      </c>
      <c r="C372" s="2" t="str">
        <f t="shared" si="2"/>
        <v>Rayyana al-Greiss</v>
      </c>
      <c r="D372" s="2" t="s">
        <v>833</v>
      </c>
      <c r="E372" s="2" t="s">
        <v>834</v>
      </c>
      <c r="F372" s="2" t="str">
        <f>IF(Names!$B372="M","Mr.",IF(Names!$B372="F","Ms.","Mx."))</f>
        <v>Ms.</v>
      </c>
      <c r="G372" s="2" t="str">
        <f>IF(Names!$B372="M","he",IF(Names!$B372="F","she","they"))</f>
        <v>she</v>
      </c>
      <c r="H372" s="2" t="str">
        <f>IF(Names!$B372="M","him",IF(Names!$B372="F","her","them"))</f>
        <v>her</v>
      </c>
      <c r="I372" s="2" t="str">
        <f>IF(Names!$B372="M","his",IF(Names!$B372="F","her","their"))</f>
        <v>her</v>
      </c>
    </row>
    <row r="373" ht="14.25" customHeight="1">
      <c r="A373" s="2">
        <v>372.0</v>
      </c>
      <c r="B373" s="2" t="s">
        <v>447</v>
      </c>
      <c r="C373" s="2" t="str">
        <f t="shared" si="2"/>
        <v>Sawada al-Naderi</v>
      </c>
      <c r="D373" s="2" t="s">
        <v>835</v>
      </c>
      <c r="E373" s="2" t="s">
        <v>836</v>
      </c>
      <c r="F373" s="2" t="str">
        <f>IF(Names!$B373="M","Mr.",IF(Names!$B373="F","Ms.","Mx."))</f>
        <v>Ms.</v>
      </c>
      <c r="G373" s="2" t="str">
        <f>IF(Names!$B373="M","he",IF(Names!$B373="F","she","they"))</f>
        <v>she</v>
      </c>
      <c r="H373" s="2" t="str">
        <f>IF(Names!$B373="M","him",IF(Names!$B373="F","her","them"))</f>
        <v>her</v>
      </c>
      <c r="I373" s="2" t="str">
        <f>IF(Names!$B373="M","his",IF(Names!$B373="F","her","their"))</f>
        <v>her</v>
      </c>
    </row>
    <row r="374" ht="14.25" customHeight="1">
      <c r="A374" s="2">
        <v>373.0</v>
      </c>
      <c r="B374" s="2" t="s">
        <v>447</v>
      </c>
      <c r="C374" s="2" t="str">
        <f t="shared" si="2"/>
        <v>Atheer el-Abdelnour</v>
      </c>
      <c r="D374" s="2" t="s">
        <v>837</v>
      </c>
      <c r="E374" s="2" t="s">
        <v>838</v>
      </c>
      <c r="F374" s="2" t="str">
        <f>IF(Names!$B374="M","Mr.",IF(Names!$B374="F","Ms.","Mx."))</f>
        <v>Ms.</v>
      </c>
      <c r="G374" s="2" t="str">
        <f>IF(Names!$B374="M","he",IF(Names!$B374="F","she","they"))</f>
        <v>she</v>
      </c>
      <c r="H374" s="2" t="str">
        <f>IF(Names!$B374="M","him",IF(Names!$B374="F","her","them"))</f>
        <v>her</v>
      </c>
      <c r="I374" s="2" t="str">
        <f>IF(Names!$B374="M","his",IF(Names!$B374="F","her","their"))</f>
        <v>her</v>
      </c>
    </row>
    <row r="375" ht="14.25" customHeight="1">
      <c r="A375" s="2">
        <v>374.0</v>
      </c>
      <c r="B375" s="2" t="s">
        <v>26</v>
      </c>
      <c r="C375" s="2" t="s">
        <v>839</v>
      </c>
      <c r="D375" s="2" t="s">
        <v>77</v>
      </c>
      <c r="E375" s="2" t="s">
        <v>550</v>
      </c>
      <c r="F375" s="2" t="str">
        <f>IF(Names!$B375="M","Mr.",IF(Names!$B375="F","Ms.","Mx."))</f>
        <v>Mr.</v>
      </c>
      <c r="G375" s="2" t="str">
        <f>IF(Names!$B375="M","he",IF(Names!$B375="F","she","they"))</f>
        <v>he</v>
      </c>
      <c r="H375" s="2" t="str">
        <f>IF(Names!$B375="M","him",IF(Names!$B375="F","her","them"))</f>
        <v>him</v>
      </c>
      <c r="I375" s="2" t="str">
        <f>IF(Names!$B375="M","his",IF(Names!$B375="F","her","their"))</f>
        <v>his</v>
      </c>
    </row>
    <row r="376" ht="14.25" customHeight="1">
      <c r="A376" s="2">
        <v>375.0</v>
      </c>
      <c r="B376" s="2" t="s">
        <v>26</v>
      </c>
      <c r="C376" s="2" t="s">
        <v>840</v>
      </c>
      <c r="D376" s="2" t="s">
        <v>480</v>
      </c>
      <c r="E376" s="2" t="s">
        <v>195</v>
      </c>
      <c r="F376" s="2" t="str">
        <f>IF(Names!$B376="M","Mr.",IF(Names!$B376="F","Ms.","Mx."))</f>
        <v>Mr.</v>
      </c>
      <c r="G376" s="2" t="str">
        <f>IF(Names!$B376="M","he",IF(Names!$B376="F","she","they"))</f>
        <v>he</v>
      </c>
      <c r="H376" s="2" t="str">
        <f>IF(Names!$B376="M","him",IF(Names!$B376="F","her","them"))</f>
        <v>him</v>
      </c>
      <c r="I376" s="2" t="str">
        <f>IF(Names!$B376="M","his",IF(Names!$B376="F","her","their"))</f>
        <v>his</v>
      </c>
    </row>
    <row r="377" ht="14.25" customHeight="1">
      <c r="A377" s="2">
        <v>376.0</v>
      </c>
      <c r="B377" s="2" t="s">
        <v>447</v>
      </c>
      <c r="C377" s="2" t="s">
        <v>841</v>
      </c>
      <c r="D377" s="2" t="s">
        <v>842</v>
      </c>
      <c r="E377" s="2" t="s">
        <v>843</v>
      </c>
      <c r="F377" s="2" t="str">
        <f>IF(Names!$B377="M","Mr.",IF(Names!$B377="F","Ms.","Mx."))</f>
        <v>Ms.</v>
      </c>
      <c r="G377" s="2" t="str">
        <f>IF(Names!$B377="M","he",IF(Names!$B377="F","she","they"))</f>
        <v>she</v>
      </c>
      <c r="H377" s="2" t="str">
        <f>IF(Names!$B377="M","him",IF(Names!$B377="F","her","them"))</f>
        <v>her</v>
      </c>
      <c r="I377" s="2" t="str">
        <f>IF(Names!$B377="M","his",IF(Names!$B377="F","her","their"))</f>
        <v>her</v>
      </c>
    </row>
    <row r="378" ht="14.25" customHeight="1">
      <c r="A378" s="2">
        <v>377.0</v>
      </c>
      <c r="B378" s="2" t="s">
        <v>447</v>
      </c>
      <c r="C378" s="2" t="s">
        <v>844</v>
      </c>
      <c r="D378" s="2" t="s">
        <v>845</v>
      </c>
      <c r="E378" s="2" t="s">
        <v>846</v>
      </c>
      <c r="F378" s="2" t="str">
        <f>IF(Names!$B378="M","Mr.",IF(Names!$B378="F","Ms.","Mx."))</f>
        <v>Ms.</v>
      </c>
      <c r="G378" s="2" t="str">
        <f>IF(Names!$B378="M","he",IF(Names!$B378="F","she","they"))</f>
        <v>she</v>
      </c>
      <c r="H378" s="2" t="str">
        <f>IF(Names!$B378="M","him",IF(Names!$B378="F","her","them"))</f>
        <v>her</v>
      </c>
      <c r="I378" s="2" t="str">
        <f>IF(Names!$B378="M","his",IF(Names!$B378="F","her","their"))</f>
        <v>her</v>
      </c>
    </row>
    <row r="379" ht="14.25" customHeight="1">
      <c r="A379" s="2">
        <v>378.0</v>
      </c>
      <c r="B379" s="2" t="s">
        <v>447</v>
      </c>
      <c r="C379" s="2" t="s">
        <v>847</v>
      </c>
      <c r="D379" s="2" t="s">
        <v>848</v>
      </c>
      <c r="E379" s="2" t="s">
        <v>849</v>
      </c>
      <c r="F379" s="2" t="str">
        <f>IF(Names!$B379="M","Mr.",IF(Names!$B379="F","Ms.","Mx."))</f>
        <v>Ms.</v>
      </c>
      <c r="G379" s="2" t="str">
        <f>IF(Names!$B379="M","he",IF(Names!$B379="F","she","they"))</f>
        <v>she</v>
      </c>
      <c r="H379" s="2" t="str">
        <f>IF(Names!$B379="M","him",IF(Names!$B379="F","her","them"))</f>
        <v>her</v>
      </c>
      <c r="I379" s="2" t="str">
        <f>IF(Names!$B379="M","his",IF(Names!$B379="F","her","their"))</f>
        <v>her</v>
      </c>
    </row>
    <row r="380" ht="14.25" customHeight="1">
      <c r="A380" s="2">
        <v>379.0</v>
      </c>
      <c r="B380" s="2" t="s">
        <v>447</v>
      </c>
      <c r="C380" s="2" t="s">
        <v>850</v>
      </c>
      <c r="D380" s="2" t="s">
        <v>851</v>
      </c>
      <c r="E380" s="2" t="s">
        <v>852</v>
      </c>
      <c r="F380" s="2" t="str">
        <f>IF(Names!$B380="M","Mr.",IF(Names!$B380="F","Ms.","Mx."))</f>
        <v>Ms.</v>
      </c>
      <c r="G380" s="2" t="str">
        <f>IF(Names!$B380="M","he",IF(Names!$B380="F","she","they"))</f>
        <v>she</v>
      </c>
      <c r="H380" s="2" t="str">
        <f>IF(Names!$B380="M","him",IF(Names!$B380="F","her","them"))</f>
        <v>her</v>
      </c>
      <c r="I380" s="2" t="str">
        <f>IF(Names!$B380="M","his",IF(Names!$B380="F","her","their"))</f>
        <v>her</v>
      </c>
    </row>
    <row r="381" ht="14.25" customHeight="1">
      <c r="A381" s="2">
        <v>380.0</v>
      </c>
      <c r="B381" s="2" t="s">
        <v>48</v>
      </c>
      <c r="C381" s="2" t="str">
        <f t="shared" ref="C381:C390" si="3">D381&amp;" "&amp;E381</f>
        <v>Kit Cole</v>
      </c>
      <c r="D381" s="2" t="s">
        <v>853</v>
      </c>
      <c r="E381" s="2" t="s">
        <v>854</v>
      </c>
      <c r="F381" s="2" t="str">
        <f>IF(Names!$B381="M","Mr.",IF(Names!$B381="F","Ms.","Mx."))</f>
        <v>Mx.</v>
      </c>
      <c r="G381" s="2" t="str">
        <f>IF(Names!$B381="M","he",IF(Names!$B381="F","she","they"))</f>
        <v>they</v>
      </c>
      <c r="H381" s="2" t="str">
        <f>IF(Names!$B381="M","him",IF(Names!$B381="F","her","them"))</f>
        <v>them</v>
      </c>
      <c r="I381" s="2" t="str">
        <f>IF(Names!$B381="M","his",IF(Names!$B381="F","her","their"))</f>
        <v>their</v>
      </c>
    </row>
    <row r="382" ht="14.25" customHeight="1">
      <c r="A382" s="2">
        <v>381.0</v>
      </c>
      <c r="B382" s="2" t="s">
        <v>48</v>
      </c>
      <c r="C382" s="2" t="str">
        <f t="shared" si="3"/>
        <v>Alex Moss</v>
      </c>
      <c r="D382" s="2" t="s">
        <v>855</v>
      </c>
      <c r="E382" s="2" t="s">
        <v>197</v>
      </c>
      <c r="F382" s="2" t="str">
        <f>IF(Names!$B382="M","Mr.",IF(Names!$B382="F","Ms.","Mx."))</f>
        <v>Mx.</v>
      </c>
      <c r="G382" s="2" t="str">
        <f>IF(Names!$B382="M","he",IF(Names!$B382="F","she","they"))</f>
        <v>they</v>
      </c>
      <c r="H382" s="2" t="str">
        <f>IF(Names!$B382="M","him",IF(Names!$B382="F","her","them"))</f>
        <v>them</v>
      </c>
      <c r="I382" s="2" t="str">
        <f>IF(Names!$B382="M","his",IF(Names!$B382="F","her","their"))</f>
        <v>their</v>
      </c>
    </row>
    <row r="383" ht="14.25" customHeight="1">
      <c r="A383" s="2">
        <v>382.0</v>
      </c>
      <c r="B383" s="2" t="s">
        <v>48</v>
      </c>
      <c r="C383" s="2" t="str">
        <f t="shared" si="3"/>
        <v>Tanner Rose</v>
      </c>
      <c r="D383" s="2" t="s">
        <v>856</v>
      </c>
      <c r="E383" s="2" t="s">
        <v>115</v>
      </c>
      <c r="F383" s="2" t="str">
        <f>IF(Names!$B383="M","Mr.",IF(Names!$B383="F","Ms.","Mx."))</f>
        <v>Mx.</v>
      </c>
      <c r="G383" s="2" t="str">
        <f>IF(Names!$B383="M","he",IF(Names!$B383="F","she","they"))</f>
        <v>they</v>
      </c>
      <c r="H383" s="2" t="str">
        <f>IF(Names!$B383="M","him",IF(Names!$B383="F","her","them"))</f>
        <v>them</v>
      </c>
      <c r="I383" s="2" t="str">
        <f>IF(Names!$B383="M","his",IF(Names!$B383="F","her","their"))</f>
        <v>their</v>
      </c>
    </row>
    <row r="384" ht="14.25" customHeight="1">
      <c r="A384" s="2">
        <v>383.0</v>
      </c>
      <c r="B384" s="2" t="s">
        <v>48</v>
      </c>
      <c r="C384" s="2" t="str">
        <f t="shared" si="3"/>
        <v>Clem Armstrong</v>
      </c>
      <c r="D384" s="2" t="s">
        <v>857</v>
      </c>
      <c r="E384" s="2" t="s">
        <v>858</v>
      </c>
      <c r="F384" s="2" t="str">
        <f>IF(Names!$B384="M","Mr.",IF(Names!$B384="F","Ms.","Mx."))</f>
        <v>Mx.</v>
      </c>
      <c r="G384" s="2" t="str">
        <f>IF(Names!$B384="M","he",IF(Names!$B384="F","she","they"))</f>
        <v>they</v>
      </c>
      <c r="H384" s="2" t="str">
        <f>IF(Names!$B384="M","him",IF(Names!$B384="F","her","them"))</f>
        <v>them</v>
      </c>
      <c r="I384" s="2" t="str">
        <f>IF(Names!$B384="M","his",IF(Names!$B384="F","her","their"))</f>
        <v>their</v>
      </c>
    </row>
    <row r="385" ht="14.25" customHeight="1">
      <c r="A385" s="2">
        <v>384.0</v>
      </c>
      <c r="B385" s="2" t="s">
        <v>48</v>
      </c>
      <c r="C385" s="2" t="str">
        <f t="shared" si="3"/>
        <v>Rene Parker</v>
      </c>
      <c r="D385" s="2" t="s">
        <v>859</v>
      </c>
      <c r="E385" s="2" t="s">
        <v>860</v>
      </c>
      <c r="F385" s="2" t="str">
        <f>IF(Names!$B385="M","Mr.",IF(Names!$B385="F","Ms.","Mx."))</f>
        <v>Mx.</v>
      </c>
      <c r="G385" s="2" t="str">
        <f>IF(Names!$B385="M","he",IF(Names!$B385="F","she","they"))</f>
        <v>they</v>
      </c>
      <c r="H385" s="2" t="str">
        <f>IF(Names!$B385="M","him",IF(Names!$B385="F","her","them"))</f>
        <v>them</v>
      </c>
      <c r="I385" s="2" t="str">
        <f>IF(Names!$B385="M","his",IF(Names!$B385="F","her","their"))</f>
        <v>their</v>
      </c>
    </row>
    <row r="386" ht="14.25" customHeight="1">
      <c r="A386" s="2">
        <v>385.0</v>
      </c>
      <c r="B386" s="2" t="s">
        <v>48</v>
      </c>
      <c r="C386" s="2" t="str">
        <f t="shared" si="3"/>
        <v>Carmen Boone</v>
      </c>
      <c r="D386" s="2" t="s">
        <v>861</v>
      </c>
      <c r="E386" s="2" t="s">
        <v>862</v>
      </c>
      <c r="F386" s="2" t="str">
        <f>IF(Names!$B386="M","Mr.",IF(Names!$B386="F","Ms.","Mx."))</f>
        <v>Mx.</v>
      </c>
      <c r="G386" s="2" t="str">
        <f>IF(Names!$B386="M","he",IF(Names!$B386="F","she","they"))</f>
        <v>they</v>
      </c>
      <c r="H386" s="2" t="str">
        <f>IF(Names!$B386="M","him",IF(Names!$B386="F","her","them"))</f>
        <v>them</v>
      </c>
      <c r="I386" s="2" t="str">
        <f>IF(Names!$B386="M","his",IF(Names!$B386="F","her","their"))</f>
        <v>their</v>
      </c>
    </row>
    <row r="387" ht="14.25" customHeight="1">
      <c r="A387" s="2">
        <v>386.0</v>
      </c>
      <c r="B387" s="2" t="s">
        <v>48</v>
      </c>
      <c r="C387" s="2" t="str">
        <f t="shared" si="3"/>
        <v>Brynn Padilla</v>
      </c>
      <c r="D387" s="2" t="s">
        <v>863</v>
      </c>
      <c r="E387" s="2" t="s">
        <v>864</v>
      </c>
      <c r="F387" s="2" t="str">
        <f>IF(Names!$B387="M","Mr.",IF(Names!$B387="F","Ms.","Mx."))</f>
        <v>Mx.</v>
      </c>
      <c r="G387" s="2" t="str">
        <f>IF(Names!$B387="M","he",IF(Names!$B387="F","she","they"))</f>
        <v>they</v>
      </c>
      <c r="H387" s="2" t="str">
        <f>IF(Names!$B387="M","him",IF(Names!$B387="F","her","them"))</f>
        <v>them</v>
      </c>
      <c r="I387" s="2" t="str">
        <f>IF(Names!$B387="M","his",IF(Names!$B387="F","her","their"))</f>
        <v>their</v>
      </c>
    </row>
    <row r="388" ht="14.25" customHeight="1">
      <c r="A388" s="2">
        <v>387.0</v>
      </c>
      <c r="B388" s="2" t="s">
        <v>48</v>
      </c>
      <c r="C388" s="2" t="str">
        <f t="shared" si="3"/>
        <v>Raylee Hammond</v>
      </c>
      <c r="D388" s="2" t="s">
        <v>865</v>
      </c>
      <c r="E388" s="2" t="s">
        <v>866</v>
      </c>
      <c r="F388" s="2" t="str">
        <f>IF(Names!$B388="M","Mr.",IF(Names!$B388="F","Ms.","Mx."))</f>
        <v>Mx.</v>
      </c>
      <c r="G388" s="2" t="str">
        <f>IF(Names!$B388="M","he",IF(Names!$B388="F","she","they"))</f>
        <v>they</v>
      </c>
      <c r="H388" s="2" t="str">
        <f>IF(Names!$B388="M","him",IF(Names!$B388="F","her","them"))</f>
        <v>them</v>
      </c>
      <c r="I388" s="2" t="str">
        <f>IF(Names!$B388="M","his",IF(Names!$B388="F","her","their"))</f>
        <v>their</v>
      </c>
    </row>
    <row r="389" ht="14.25" customHeight="1">
      <c r="A389" s="2">
        <v>388.0</v>
      </c>
      <c r="B389" s="2" t="s">
        <v>48</v>
      </c>
      <c r="C389" s="2" t="str">
        <f t="shared" si="3"/>
        <v>Robin Lara</v>
      </c>
      <c r="D389" s="2" t="s">
        <v>867</v>
      </c>
      <c r="E389" s="2" t="s">
        <v>868</v>
      </c>
      <c r="F389" s="2" t="str">
        <f>IF(Names!$B389="M","Mr.",IF(Names!$B389="F","Ms.","Mx."))</f>
        <v>Mx.</v>
      </c>
      <c r="G389" s="2" t="str">
        <f>IF(Names!$B389="M","he",IF(Names!$B389="F","she","they"))</f>
        <v>they</v>
      </c>
      <c r="H389" s="2" t="str">
        <f>IF(Names!$B389="M","him",IF(Names!$B389="F","her","them"))</f>
        <v>them</v>
      </c>
      <c r="I389" s="2" t="str">
        <f>IF(Names!$B389="M","his",IF(Names!$B389="F","her","their"))</f>
        <v>their</v>
      </c>
    </row>
    <row r="390" ht="14.25" customHeight="1">
      <c r="A390" s="2">
        <v>389.0</v>
      </c>
      <c r="B390" s="2" t="s">
        <v>48</v>
      </c>
      <c r="C390" s="2" t="str">
        <f t="shared" si="3"/>
        <v>Ashley Byrd</v>
      </c>
      <c r="D390" s="2" t="s">
        <v>869</v>
      </c>
      <c r="E390" s="2" t="s">
        <v>870</v>
      </c>
      <c r="F390" s="2" t="str">
        <f>IF(Names!$B390="M","Mr.",IF(Names!$B390="F","Ms.","Mx."))</f>
        <v>Mx.</v>
      </c>
      <c r="G390" s="2" t="str">
        <f>IF(Names!$B390="M","he",IF(Names!$B390="F","she","they"))</f>
        <v>they</v>
      </c>
      <c r="H390" s="2" t="str">
        <f>IF(Names!$B390="M","him",IF(Names!$B390="F","her","them"))</f>
        <v>them</v>
      </c>
      <c r="I390" s="2" t="str">
        <f>IF(Names!$B390="M","his",IF(Names!$B390="F","her","their"))</f>
        <v>their</v>
      </c>
    </row>
    <row r="391" ht="14.25" customHeight="1">
      <c r="A391" s="2">
        <v>390.0</v>
      </c>
      <c r="B391" s="2" t="s">
        <v>447</v>
      </c>
      <c r="C391" s="2" t="s">
        <v>871</v>
      </c>
      <c r="D391" s="2" t="s">
        <v>872</v>
      </c>
      <c r="E391" s="2" t="s">
        <v>416</v>
      </c>
      <c r="F391" s="2" t="str">
        <f>IF(Names!$B391="M","Mr.",IF(Names!$B391="F","Ms.","Mx."))</f>
        <v>Ms.</v>
      </c>
      <c r="G391" s="2" t="str">
        <f>IF(Names!$B391="M","he",IF(Names!$B391="F","she","they"))</f>
        <v>she</v>
      </c>
      <c r="H391" s="2" t="str">
        <f>IF(Names!$B391="M","him",IF(Names!$B391="F","her","them"))</f>
        <v>her</v>
      </c>
      <c r="I391" s="2" t="str">
        <f>IF(Names!$B391="M","his",IF(Names!$B391="F","her","their"))</f>
        <v>her</v>
      </c>
    </row>
    <row r="392" ht="14.25" customHeight="1">
      <c r="A392" s="2">
        <v>391.0</v>
      </c>
      <c r="B392" s="2" t="s">
        <v>26</v>
      </c>
      <c r="C392" s="2" t="s">
        <v>873</v>
      </c>
      <c r="D392" s="2" t="s">
        <v>874</v>
      </c>
      <c r="E392" s="2" t="s">
        <v>875</v>
      </c>
      <c r="F392" s="2" t="str">
        <f>IF(Names!$B392="M","Mr.",IF(Names!$B392="F","Ms.","Mx."))</f>
        <v>Mr.</v>
      </c>
      <c r="G392" s="2" t="str">
        <f>IF(Names!$B392="M","he",IF(Names!$B392="F","she","they"))</f>
        <v>he</v>
      </c>
      <c r="H392" s="2" t="str">
        <f>IF(Names!$B392="M","him",IF(Names!$B392="F","her","them"))</f>
        <v>him</v>
      </c>
      <c r="I392" s="2" t="str">
        <f>IF(Names!$B392="M","his",IF(Names!$B392="F","her","their"))</f>
        <v>his</v>
      </c>
    </row>
    <row r="393" ht="14.25" customHeight="1">
      <c r="A393" s="2">
        <v>392.0</v>
      </c>
      <c r="B393" s="2" t="s">
        <v>26</v>
      </c>
      <c r="C393" s="2" t="s">
        <v>876</v>
      </c>
      <c r="D393" s="2" t="s">
        <v>877</v>
      </c>
      <c r="E393" s="2" t="s">
        <v>878</v>
      </c>
      <c r="F393" s="2" t="str">
        <f>IF(Names!$B393="M","Mr.",IF(Names!$B393="F","Ms.","Mx."))</f>
        <v>Mr.</v>
      </c>
      <c r="G393" s="2" t="str">
        <f>IF(Names!$B393="M","he",IF(Names!$B393="F","she","they"))</f>
        <v>he</v>
      </c>
      <c r="H393" s="2" t="str">
        <f>IF(Names!$B393="M","him",IF(Names!$B393="F","her","them"))</f>
        <v>him</v>
      </c>
      <c r="I393" s="2" t="str">
        <f>IF(Names!$B393="M","his",IF(Names!$B393="F","her","their"))</f>
        <v>his</v>
      </c>
    </row>
    <row r="394" ht="14.25" customHeight="1">
      <c r="A394" s="2">
        <v>393.0</v>
      </c>
      <c r="B394" s="2" t="s">
        <v>26</v>
      </c>
      <c r="C394" s="2" t="s">
        <v>879</v>
      </c>
      <c r="D394" s="2" t="s">
        <v>880</v>
      </c>
      <c r="E394" s="2" t="s">
        <v>881</v>
      </c>
      <c r="F394" s="2" t="str">
        <f>IF(Names!$B394="M","Mr.",IF(Names!$B394="F","Ms.","Mx."))</f>
        <v>Mr.</v>
      </c>
      <c r="G394" s="2" t="str">
        <f>IF(Names!$B394="M","he",IF(Names!$B394="F","she","they"))</f>
        <v>he</v>
      </c>
      <c r="H394" s="2" t="str">
        <f>IF(Names!$B394="M","him",IF(Names!$B394="F","her","them"))</f>
        <v>him</v>
      </c>
      <c r="I394" s="2" t="str">
        <f>IF(Names!$B394="M","his",IF(Names!$B394="F","her","their"))</f>
        <v>his</v>
      </c>
    </row>
    <row r="395" ht="14.25" customHeight="1">
      <c r="A395" s="2">
        <v>394.0</v>
      </c>
      <c r="B395" s="2" t="s">
        <v>26</v>
      </c>
      <c r="C395" s="2" t="s">
        <v>882</v>
      </c>
      <c r="D395" s="2" t="s">
        <v>883</v>
      </c>
      <c r="E395" s="2" t="s">
        <v>884</v>
      </c>
      <c r="F395" s="2" t="str">
        <f>IF(Names!$B395="M","Mr.",IF(Names!$B395="F","Ms.","Mx."))</f>
        <v>Mr.</v>
      </c>
      <c r="G395" s="2" t="str">
        <f>IF(Names!$B395="M","he",IF(Names!$B395="F","she","they"))</f>
        <v>he</v>
      </c>
      <c r="H395" s="2" t="str">
        <f>IF(Names!$B395="M","him",IF(Names!$B395="F","her","them"))</f>
        <v>him</v>
      </c>
      <c r="I395" s="2" t="str">
        <f>IF(Names!$B395="M","his",IF(Names!$B395="F","her","their"))</f>
        <v>his</v>
      </c>
    </row>
    <row r="396" ht="14.25" customHeight="1">
      <c r="A396" s="2">
        <v>395.0</v>
      </c>
      <c r="B396" s="2" t="s">
        <v>26</v>
      </c>
      <c r="C396" s="2" t="s">
        <v>885</v>
      </c>
      <c r="D396" s="2" t="s">
        <v>886</v>
      </c>
      <c r="E396" s="2" t="s">
        <v>887</v>
      </c>
      <c r="F396" s="2" t="str">
        <f>IF(Names!$B396="M","Mr.",IF(Names!$B396="F","Ms.","Mx."))</f>
        <v>Mr.</v>
      </c>
      <c r="G396" s="2" t="str">
        <f>IF(Names!$B396="M","he",IF(Names!$B396="F","she","they"))</f>
        <v>he</v>
      </c>
      <c r="H396" s="2" t="str">
        <f>IF(Names!$B396="M","him",IF(Names!$B396="F","her","them"))</f>
        <v>him</v>
      </c>
      <c r="I396" s="2" t="str">
        <f>IF(Names!$B396="M","his",IF(Names!$B396="F","her","their"))</f>
        <v>his</v>
      </c>
    </row>
    <row r="397" ht="14.25" customHeight="1">
      <c r="A397" s="2">
        <v>396.0</v>
      </c>
      <c r="B397" s="2" t="s">
        <v>26</v>
      </c>
      <c r="C397" s="2" t="s">
        <v>888</v>
      </c>
      <c r="D397" s="2" t="s">
        <v>889</v>
      </c>
      <c r="E397" s="2" t="s">
        <v>563</v>
      </c>
      <c r="F397" s="2" t="str">
        <f>IF(Names!$B397="M","Mr.",IF(Names!$B397="F","Ms.","Mx."))</f>
        <v>Mr.</v>
      </c>
      <c r="G397" s="2" t="str">
        <f>IF(Names!$B397="M","he",IF(Names!$B397="F","she","they"))</f>
        <v>he</v>
      </c>
      <c r="H397" s="2" t="str">
        <f>IF(Names!$B397="M","him",IF(Names!$B397="F","her","them"))</f>
        <v>him</v>
      </c>
      <c r="I397" s="2" t="str">
        <f>IF(Names!$B397="M","his",IF(Names!$B397="F","her","their"))</f>
        <v>his</v>
      </c>
    </row>
    <row r="398" ht="14.25" customHeight="1">
      <c r="A398" s="2">
        <v>397.0</v>
      </c>
      <c r="B398" s="2" t="s">
        <v>26</v>
      </c>
      <c r="C398" s="2" t="s">
        <v>890</v>
      </c>
      <c r="D398" s="2" t="s">
        <v>891</v>
      </c>
      <c r="E398" s="2" t="s">
        <v>892</v>
      </c>
      <c r="F398" s="2" t="str">
        <f>IF(Names!$B398="M","Mr.",IF(Names!$B398="F","Ms.","Mx."))</f>
        <v>Mr.</v>
      </c>
      <c r="G398" s="2" t="str">
        <f>IF(Names!$B398="M","he",IF(Names!$B398="F","she","they"))</f>
        <v>he</v>
      </c>
      <c r="H398" s="2" t="str">
        <f>IF(Names!$B398="M","him",IF(Names!$B398="F","her","them"))</f>
        <v>him</v>
      </c>
      <c r="I398" s="2" t="str">
        <f>IF(Names!$B398="M","his",IF(Names!$B398="F","her","their"))</f>
        <v>his</v>
      </c>
    </row>
    <row r="399" ht="14.25" customHeight="1">
      <c r="A399" s="2">
        <v>398.0</v>
      </c>
      <c r="B399" s="2" t="s">
        <v>26</v>
      </c>
      <c r="C399" s="2" t="s">
        <v>893</v>
      </c>
      <c r="D399" s="2" t="s">
        <v>894</v>
      </c>
      <c r="E399" s="2" t="s">
        <v>895</v>
      </c>
      <c r="F399" s="2" t="str">
        <f>IF(Names!$B399="M","Mr.",IF(Names!$B399="F","Ms.","Mx."))</f>
        <v>Mr.</v>
      </c>
      <c r="G399" s="2" t="str">
        <f>IF(Names!$B399="M","he",IF(Names!$B399="F","she","they"))</f>
        <v>he</v>
      </c>
      <c r="H399" s="2" t="str">
        <f>IF(Names!$B399="M","him",IF(Names!$B399="F","her","them"))</f>
        <v>him</v>
      </c>
      <c r="I399" s="2" t="str">
        <f>IF(Names!$B399="M","his",IF(Names!$B399="F","her","their"))</f>
        <v>his</v>
      </c>
    </row>
    <row r="400" ht="14.25" customHeight="1">
      <c r="A400" s="2">
        <v>399.0</v>
      </c>
      <c r="B400" s="2" t="s">
        <v>26</v>
      </c>
      <c r="C400" s="2" t="s">
        <v>896</v>
      </c>
      <c r="D400" s="2" t="s">
        <v>897</v>
      </c>
      <c r="E400" s="2" t="s">
        <v>665</v>
      </c>
      <c r="F400" s="2" t="str">
        <f>IF(Names!$B400="M","Mr.",IF(Names!$B400="F","Ms.","Mx."))</f>
        <v>Mr.</v>
      </c>
      <c r="G400" s="2" t="str">
        <f>IF(Names!$B400="M","he",IF(Names!$B400="F","she","they"))</f>
        <v>he</v>
      </c>
      <c r="H400" s="2" t="str">
        <f>IF(Names!$B400="M","him",IF(Names!$B400="F","her","them"))</f>
        <v>him</v>
      </c>
      <c r="I400" s="2" t="str">
        <f>IF(Names!$B400="M","his",IF(Names!$B400="F","her","their"))</f>
        <v>his</v>
      </c>
    </row>
    <row r="401" ht="14.25" customHeight="1">
      <c r="A401" s="2">
        <v>400.0</v>
      </c>
      <c r="B401" s="2" t="s">
        <v>26</v>
      </c>
      <c r="C401" s="2" t="s">
        <v>898</v>
      </c>
      <c r="D401" s="2" t="s">
        <v>899</v>
      </c>
      <c r="E401" s="2" t="s">
        <v>900</v>
      </c>
      <c r="F401" s="2" t="str">
        <f>IF(Names!$B401="M","Mr.",IF(Names!$B401="F","Ms.","Mx."))</f>
        <v>Mr.</v>
      </c>
      <c r="G401" s="2" t="str">
        <f>IF(Names!$B401="M","he",IF(Names!$B401="F","she","they"))</f>
        <v>he</v>
      </c>
      <c r="H401" s="2" t="str">
        <f>IF(Names!$B401="M","him",IF(Names!$B401="F","her","them"))</f>
        <v>him</v>
      </c>
      <c r="I401" s="2" t="str">
        <f>IF(Names!$B401="M","his",IF(Names!$B401="F","her","their"))</f>
        <v>his</v>
      </c>
    </row>
    <row r="402" ht="14.25" customHeight="1">
      <c r="A402" s="2">
        <v>401.0</v>
      </c>
      <c r="B402" s="2" t="s">
        <v>48</v>
      </c>
      <c r="C402" s="2" t="s">
        <v>901</v>
      </c>
      <c r="D402" s="2" t="s">
        <v>902</v>
      </c>
      <c r="E402" s="2" t="s">
        <v>903</v>
      </c>
      <c r="F402" s="2" t="str">
        <f>IF(Names!$B402="M","Mr.",IF(Names!$B402="F","Ms.","Mx."))</f>
        <v>Mx.</v>
      </c>
      <c r="G402" s="2" t="str">
        <f>IF(Names!$B402="M","he",IF(Names!$B402="F","she","they"))</f>
        <v>they</v>
      </c>
      <c r="H402" s="2" t="str">
        <f>IF(Names!$B402="M","him",IF(Names!$B402="F","her","them"))</f>
        <v>them</v>
      </c>
      <c r="I402" s="2" t="str">
        <f>IF(Names!$B402="M","his",IF(Names!$B402="F","her","their"))</f>
        <v>their</v>
      </c>
    </row>
    <row r="403" ht="14.25" customHeight="1">
      <c r="A403" s="2">
        <v>402.0</v>
      </c>
      <c r="B403" s="2" t="s">
        <v>26</v>
      </c>
      <c r="C403" s="2" t="s">
        <v>904</v>
      </c>
      <c r="D403" s="2" t="s">
        <v>905</v>
      </c>
      <c r="E403" s="2" t="s">
        <v>906</v>
      </c>
      <c r="F403" s="2" t="str">
        <f>IF(Names!$B403="M","Mr.",IF(Names!$B403="F","Ms.","Mx."))</f>
        <v>Mr.</v>
      </c>
      <c r="G403" s="2" t="str">
        <f>IF(Names!$B403="M","he",IF(Names!$B403="F","she","they"))</f>
        <v>he</v>
      </c>
      <c r="H403" s="2" t="str">
        <f>IF(Names!$B403="M","him",IF(Names!$B403="F","her","them"))</f>
        <v>him</v>
      </c>
      <c r="I403" s="2" t="str">
        <f>IF(Names!$B403="M","his",IF(Names!$B403="F","her","their"))</f>
        <v>his</v>
      </c>
    </row>
    <row r="404" ht="14.25" customHeight="1">
      <c r="A404" s="2">
        <v>403.0</v>
      </c>
      <c r="B404" s="2" t="s">
        <v>26</v>
      </c>
      <c r="C404" s="2" t="s">
        <v>907</v>
      </c>
      <c r="D404" s="2" t="s">
        <v>908</v>
      </c>
      <c r="E404" s="2" t="s">
        <v>909</v>
      </c>
      <c r="F404" s="2" t="str">
        <f>IF(Names!$B404="M","Mr.",IF(Names!$B404="F","Ms.","Mx."))</f>
        <v>Mr.</v>
      </c>
      <c r="G404" s="2" t="str">
        <f>IF(Names!$B404="M","he",IF(Names!$B404="F","she","they"))</f>
        <v>he</v>
      </c>
      <c r="H404" s="2" t="str">
        <f>IF(Names!$B404="M","him",IF(Names!$B404="F","her","them"))</f>
        <v>him</v>
      </c>
      <c r="I404" s="2" t="str">
        <f>IF(Names!$B404="M","his",IF(Names!$B404="F","her","their"))</f>
        <v>his</v>
      </c>
    </row>
    <row r="405" ht="14.25" customHeight="1">
      <c r="A405" s="2">
        <v>404.0</v>
      </c>
      <c r="B405" s="2" t="s">
        <v>48</v>
      </c>
      <c r="C405" s="2" t="s">
        <v>910</v>
      </c>
      <c r="D405" s="2" t="s">
        <v>911</v>
      </c>
      <c r="E405" s="2" t="s">
        <v>912</v>
      </c>
      <c r="F405" s="2" t="str">
        <f>IF(Names!$B405="M","Mr.",IF(Names!$B405="F","Ms.","Mx."))</f>
        <v>Mx.</v>
      </c>
      <c r="G405" s="2" t="str">
        <f>IF(Names!$B405="M","he",IF(Names!$B405="F","she","they"))</f>
        <v>they</v>
      </c>
      <c r="H405" s="2" t="str">
        <f>IF(Names!$B405="M","him",IF(Names!$B405="F","her","them"))</f>
        <v>them</v>
      </c>
      <c r="I405" s="2" t="str">
        <f>IF(Names!$B405="M","his",IF(Names!$B405="F","her","their"))</f>
        <v>their</v>
      </c>
    </row>
    <row r="406" ht="14.25" customHeight="1">
      <c r="A406" s="2">
        <v>405.0</v>
      </c>
      <c r="B406" s="2" t="s">
        <v>48</v>
      </c>
      <c r="C406" s="2" t="s">
        <v>913</v>
      </c>
      <c r="D406" s="2" t="s">
        <v>914</v>
      </c>
      <c r="E406" s="2" t="s">
        <v>915</v>
      </c>
      <c r="F406" s="2" t="str">
        <f>IF(Names!$B406="M","Mr.",IF(Names!$B406="F","Ms.","Mx."))</f>
        <v>Mx.</v>
      </c>
      <c r="G406" s="2" t="str">
        <f>IF(Names!$B406="M","he",IF(Names!$B406="F","she","they"))</f>
        <v>they</v>
      </c>
      <c r="H406" s="2" t="str">
        <f>IF(Names!$B406="M","him",IF(Names!$B406="F","her","them"))</f>
        <v>them</v>
      </c>
      <c r="I406" s="2" t="str">
        <f>IF(Names!$B406="M","his",IF(Names!$B406="F","her","their"))</f>
        <v>their</v>
      </c>
    </row>
    <row r="407" ht="14.25" customHeight="1">
      <c r="A407" s="2">
        <v>406.0</v>
      </c>
      <c r="B407" s="2" t="s">
        <v>26</v>
      </c>
      <c r="C407" s="2" t="s">
        <v>916</v>
      </c>
      <c r="D407" s="2" t="s">
        <v>917</v>
      </c>
      <c r="E407" s="2" t="s">
        <v>918</v>
      </c>
      <c r="F407" s="2" t="str">
        <f>IF(Names!$B407="M","Mr.",IF(Names!$B407="F","Ms.","Mx."))</f>
        <v>Mr.</v>
      </c>
      <c r="G407" s="2" t="str">
        <f>IF(Names!$B407="M","he",IF(Names!$B407="F","she","they"))</f>
        <v>he</v>
      </c>
      <c r="H407" s="2" t="str">
        <f>IF(Names!$B407="M","him",IF(Names!$B407="F","her","them"))</f>
        <v>him</v>
      </c>
      <c r="I407" s="2" t="str">
        <f>IF(Names!$B407="M","his",IF(Names!$B407="F","her","their"))</f>
        <v>his</v>
      </c>
    </row>
    <row r="408" ht="14.25" customHeight="1">
      <c r="A408" s="2">
        <v>407.0</v>
      </c>
      <c r="B408" s="2" t="s">
        <v>26</v>
      </c>
      <c r="C408" s="2" t="s">
        <v>919</v>
      </c>
      <c r="D408" s="2" t="s">
        <v>920</v>
      </c>
      <c r="E408" s="2" t="s">
        <v>921</v>
      </c>
      <c r="F408" s="2" t="str">
        <f>IF(Names!$B408="M","Mr.",IF(Names!$B408="F","Ms.","Mx."))</f>
        <v>Mr.</v>
      </c>
      <c r="G408" s="2" t="str">
        <f>IF(Names!$B408="M","he",IF(Names!$B408="F","she","they"))</f>
        <v>he</v>
      </c>
      <c r="H408" s="2" t="str">
        <f>IF(Names!$B408="M","him",IF(Names!$B408="F","her","them"))</f>
        <v>him</v>
      </c>
      <c r="I408" s="2" t="str">
        <f>IF(Names!$B408="M","his",IF(Names!$B408="F","her","their"))</f>
        <v>his</v>
      </c>
    </row>
    <row r="409" ht="14.25" customHeight="1">
      <c r="A409" s="2">
        <v>408.0</v>
      </c>
      <c r="B409" s="2" t="s">
        <v>26</v>
      </c>
      <c r="C409" s="2" t="s">
        <v>922</v>
      </c>
      <c r="D409" s="2" t="s">
        <v>923</v>
      </c>
      <c r="E409" s="2" t="s">
        <v>924</v>
      </c>
      <c r="F409" s="2" t="str">
        <f>IF(Names!$B409="M","Mr.",IF(Names!$B409="F","Ms.","Mx."))</f>
        <v>Mr.</v>
      </c>
      <c r="G409" s="2" t="str">
        <f>IF(Names!$B409="M","he",IF(Names!$B409="F","she","they"))</f>
        <v>he</v>
      </c>
      <c r="H409" s="2" t="str">
        <f>IF(Names!$B409="M","him",IF(Names!$B409="F","her","them"))</f>
        <v>him</v>
      </c>
      <c r="I409" s="2" t="str">
        <f>IF(Names!$B409="M","his",IF(Names!$B409="F","her","their"))</f>
        <v>his</v>
      </c>
    </row>
    <row r="410" ht="14.25" customHeight="1">
      <c r="A410" s="2">
        <v>409.0</v>
      </c>
      <c r="B410" s="2" t="s">
        <v>26</v>
      </c>
      <c r="C410" s="2" t="s">
        <v>925</v>
      </c>
      <c r="D410" s="2" t="s">
        <v>926</v>
      </c>
      <c r="E410" s="2" t="s">
        <v>927</v>
      </c>
      <c r="F410" s="2" t="str">
        <f>IF(Names!$B410="M","Mr.",IF(Names!$B410="F","Ms.","Mx."))</f>
        <v>Mr.</v>
      </c>
      <c r="G410" s="2" t="str">
        <f>IF(Names!$B410="M","he",IF(Names!$B410="F","she","they"))</f>
        <v>he</v>
      </c>
      <c r="H410" s="2" t="str">
        <f>IF(Names!$B410="M","him",IF(Names!$B410="F","her","them"))</f>
        <v>him</v>
      </c>
      <c r="I410" s="2" t="str">
        <f>IF(Names!$B410="M","his",IF(Names!$B410="F","her","their"))</f>
        <v>his</v>
      </c>
    </row>
    <row r="411" ht="14.25" customHeight="1">
      <c r="A411" s="2">
        <v>410.0</v>
      </c>
      <c r="B411" s="2" t="s">
        <v>26</v>
      </c>
      <c r="C411" s="2" t="s">
        <v>928</v>
      </c>
      <c r="D411" s="2" t="s">
        <v>929</v>
      </c>
      <c r="E411" s="2" t="s">
        <v>930</v>
      </c>
      <c r="F411" s="2" t="str">
        <f>IF(Names!$B411="M","Mr.",IF(Names!$B411="F","Ms.","Mx."))</f>
        <v>Mr.</v>
      </c>
      <c r="G411" s="2" t="str">
        <f>IF(Names!$B411="M","he",IF(Names!$B411="F","she","they"))</f>
        <v>he</v>
      </c>
      <c r="H411" s="2" t="str">
        <f>IF(Names!$B411="M","him",IF(Names!$B411="F","her","them"))</f>
        <v>him</v>
      </c>
      <c r="I411" s="2" t="str">
        <f>IF(Names!$B411="M","his",IF(Names!$B411="F","her","their"))</f>
        <v>his</v>
      </c>
    </row>
    <row r="412" ht="14.25" customHeight="1">
      <c r="A412" s="2">
        <v>411.0</v>
      </c>
      <c r="B412" s="2" t="s">
        <v>26</v>
      </c>
      <c r="C412" s="2" t="s">
        <v>931</v>
      </c>
      <c r="D412" s="2" t="s">
        <v>932</v>
      </c>
      <c r="E412" s="2" t="s">
        <v>933</v>
      </c>
      <c r="F412" s="2" t="str">
        <f>IF(Names!$B412="M","Mr.",IF(Names!$B412="F","Ms.","Mx."))</f>
        <v>Mr.</v>
      </c>
      <c r="G412" s="2" t="str">
        <f>IF(Names!$B412="M","he",IF(Names!$B412="F","she","they"))</f>
        <v>he</v>
      </c>
      <c r="H412" s="2" t="str">
        <f>IF(Names!$B412="M","him",IF(Names!$B412="F","her","them"))</f>
        <v>him</v>
      </c>
      <c r="I412" s="2" t="str">
        <f>IF(Names!$B412="M","his",IF(Names!$B412="F","her","their"))</f>
        <v>his</v>
      </c>
    </row>
    <row r="413" ht="14.25" customHeight="1">
      <c r="A413" s="2">
        <v>412.0</v>
      </c>
      <c r="B413" s="2" t="s">
        <v>26</v>
      </c>
      <c r="C413" s="2" t="s">
        <v>934</v>
      </c>
      <c r="D413" s="2" t="s">
        <v>935</v>
      </c>
      <c r="E413" s="2" t="s">
        <v>936</v>
      </c>
      <c r="F413" s="2" t="str">
        <f>IF(Names!$B413="M","Mr.",IF(Names!$B413="F","Ms.","Mx."))</f>
        <v>Mr.</v>
      </c>
      <c r="G413" s="2" t="str">
        <f>IF(Names!$B413="M","he",IF(Names!$B413="F","she","they"))</f>
        <v>he</v>
      </c>
      <c r="H413" s="2" t="str">
        <f>IF(Names!$B413="M","him",IF(Names!$B413="F","her","them"))</f>
        <v>him</v>
      </c>
      <c r="I413" s="2" t="str">
        <f>IF(Names!$B413="M","his",IF(Names!$B413="F","her","their"))</f>
        <v>his</v>
      </c>
    </row>
    <row r="414" ht="14.25" customHeight="1">
      <c r="A414" s="2">
        <v>413.0</v>
      </c>
      <c r="B414" s="2" t="s">
        <v>26</v>
      </c>
      <c r="C414" s="2" t="s">
        <v>937</v>
      </c>
      <c r="D414" s="2" t="s">
        <v>938</v>
      </c>
      <c r="E414" s="2" t="s">
        <v>939</v>
      </c>
      <c r="F414" s="2" t="str">
        <f>IF(Names!$B414="M","Mr.",IF(Names!$B414="F","Ms.","Mx."))</f>
        <v>Mr.</v>
      </c>
      <c r="G414" s="2" t="str">
        <f>IF(Names!$B414="M","he",IF(Names!$B414="F","she","they"))</f>
        <v>he</v>
      </c>
      <c r="H414" s="2" t="str">
        <f>IF(Names!$B414="M","him",IF(Names!$B414="F","her","them"))</f>
        <v>him</v>
      </c>
      <c r="I414" s="2" t="str">
        <f>IF(Names!$B414="M","his",IF(Names!$B414="F","her","their"))</f>
        <v>his</v>
      </c>
    </row>
    <row r="415" ht="14.25" customHeight="1">
      <c r="A415" s="2">
        <v>414.0</v>
      </c>
      <c r="B415" s="2" t="s">
        <v>26</v>
      </c>
      <c r="C415" s="2" t="s">
        <v>940</v>
      </c>
      <c r="D415" s="2" t="s">
        <v>941</v>
      </c>
      <c r="E415" s="2" t="s">
        <v>942</v>
      </c>
      <c r="F415" s="2" t="str">
        <f>IF(Names!$B415="M","Mr.",IF(Names!$B415="F","Ms.","Mx."))</f>
        <v>Mr.</v>
      </c>
      <c r="G415" s="2" t="str">
        <f>IF(Names!$B415="M","he",IF(Names!$B415="F","she","they"))</f>
        <v>he</v>
      </c>
      <c r="H415" s="2" t="str">
        <f>IF(Names!$B415="M","him",IF(Names!$B415="F","her","them"))</f>
        <v>him</v>
      </c>
      <c r="I415" s="2" t="str">
        <f>IF(Names!$B415="M","his",IF(Names!$B415="F","her","their"))</f>
        <v>his</v>
      </c>
    </row>
    <row r="416" ht="14.25" customHeight="1">
      <c r="A416" s="2">
        <v>415.0</v>
      </c>
      <c r="B416" s="2" t="s">
        <v>26</v>
      </c>
      <c r="C416" s="2" t="s">
        <v>943</v>
      </c>
      <c r="D416" s="2" t="s">
        <v>944</v>
      </c>
      <c r="E416" s="2" t="s">
        <v>945</v>
      </c>
      <c r="F416" s="2" t="str">
        <f>IF(Names!$B416="M","Mr.",IF(Names!$B416="F","Ms.","Mx."))</f>
        <v>Mr.</v>
      </c>
      <c r="G416" s="2" t="str">
        <f>IF(Names!$B416="M","he",IF(Names!$B416="F","she","they"))</f>
        <v>he</v>
      </c>
      <c r="H416" s="2" t="str">
        <f>IF(Names!$B416="M","him",IF(Names!$B416="F","her","them"))</f>
        <v>him</v>
      </c>
      <c r="I416" s="2" t="str">
        <f>IF(Names!$B416="M","his",IF(Names!$B416="F","her","their"))</f>
        <v>his</v>
      </c>
    </row>
    <row r="417" ht="14.25" customHeight="1">
      <c r="A417" s="2">
        <v>416.0</v>
      </c>
      <c r="B417" s="2" t="s">
        <v>26</v>
      </c>
      <c r="C417" s="2" t="s">
        <v>946</v>
      </c>
      <c r="D417" s="2" t="s">
        <v>947</v>
      </c>
      <c r="E417" s="2" t="s">
        <v>948</v>
      </c>
      <c r="F417" s="2" t="str">
        <f>IF(Names!$B417="M","Mr.",IF(Names!$B417="F","Ms.","Mx."))</f>
        <v>Mr.</v>
      </c>
      <c r="G417" s="2" t="str">
        <f>IF(Names!$B417="M","he",IF(Names!$B417="F","she","they"))</f>
        <v>he</v>
      </c>
      <c r="H417" s="2" t="str">
        <f>IF(Names!$B417="M","him",IF(Names!$B417="F","her","them"))</f>
        <v>him</v>
      </c>
      <c r="I417" s="2" t="str">
        <f>IF(Names!$B417="M","his",IF(Names!$B417="F","her","their"))</f>
        <v>his</v>
      </c>
    </row>
    <row r="418" ht="14.25" customHeight="1">
      <c r="A418" s="2">
        <v>417.0</v>
      </c>
      <c r="B418" s="2" t="s">
        <v>26</v>
      </c>
      <c r="C418" s="2" t="s">
        <v>949</v>
      </c>
      <c r="D418" s="2" t="s">
        <v>950</v>
      </c>
      <c r="E418" s="2" t="s">
        <v>951</v>
      </c>
      <c r="F418" s="2" t="str">
        <f>IF(Names!$B418="M","Mr.",IF(Names!$B418="F","Ms.","Mx."))</f>
        <v>Mr.</v>
      </c>
      <c r="G418" s="2" t="str">
        <f>IF(Names!$B418="M","he",IF(Names!$B418="F","she","they"))</f>
        <v>he</v>
      </c>
      <c r="H418" s="2" t="str">
        <f>IF(Names!$B418="M","him",IF(Names!$B418="F","her","them"))</f>
        <v>him</v>
      </c>
      <c r="I418" s="2" t="str">
        <f>IF(Names!$B418="M","his",IF(Names!$B418="F","her","their"))</f>
        <v>his</v>
      </c>
    </row>
    <row r="419" ht="14.25" customHeight="1">
      <c r="A419" s="2">
        <v>418.0</v>
      </c>
      <c r="B419" s="2" t="s">
        <v>26</v>
      </c>
      <c r="C419" s="2" t="s">
        <v>952</v>
      </c>
      <c r="D419" s="2" t="s">
        <v>953</v>
      </c>
      <c r="E419" s="2" t="s">
        <v>954</v>
      </c>
      <c r="F419" s="2" t="str">
        <f>IF(Names!$B419="M","Mr.",IF(Names!$B419="F","Ms.","Mx."))</f>
        <v>Mr.</v>
      </c>
      <c r="G419" s="2" t="str">
        <f>IF(Names!$B419="M","he",IF(Names!$B419="F","she","they"))</f>
        <v>he</v>
      </c>
      <c r="H419" s="2" t="str">
        <f>IF(Names!$B419="M","him",IF(Names!$B419="F","her","them"))</f>
        <v>him</v>
      </c>
      <c r="I419" s="2" t="str">
        <f>IF(Names!$B419="M","his",IF(Names!$B419="F","her","their"))</f>
        <v>his</v>
      </c>
    </row>
    <row r="420" ht="14.25" customHeight="1">
      <c r="A420" s="2">
        <v>419.0</v>
      </c>
      <c r="B420" s="2" t="s">
        <v>26</v>
      </c>
      <c r="C420" s="2" t="s">
        <v>955</v>
      </c>
      <c r="D420" s="2" t="s">
        <v>956</v>
      </c>
      <c r="E420" s="2" t="s">
        <v>957</v>
      </c>
      <c r="F420" s="2" t="str">
        <f>IF(Names!$B420="M","Mr.",IF(Names!$B420="F","Ms.","Mx."))</f>
        <v>Mr.</v>
      </c>
      <c r="G420" s="2" t="str">
        <f>IF(Names!$B420="M","he",IF(Names!$B420="F","she","they"))</f>
        <v>he</v>
      </c>
      <c r="H420" s="2" t="str">
        <f>IF(Names!$B420="M","him",IF(Names!$B420="F","her","them"))</f>
        <v>him</v>
      </c>
      <c r="I420" s="2" t="str">
        <f>IF(Names!$B420="M","his",IF(Names!$B420="F","her","their"))</f>
        <v>his</v>
      </c>
    </row>
    <row r="421" ht="14.25" customHeight="1">
      <c r="A421" s="2">
        <v>420.0</v>
      </c>
      <c r="B421" s="2" t="s">
        <v>26</v>
      </c>
      <c r="C421" s="2" t="s">
        <v>958</v>
      </c>
      <c r="D421" s="2" t="s">
        <v>959</v>
      </c>
      <c r="E421" s="2" t="s">
        <v>960</v>
      </c>
      <c r="F421" s="2" t="str">
        <f>IF(Names!$B421="M","Mr.",IF(Names!$B421="F","Ms.","Mx."))</f>
        <v>Mr.</v>
      </c>
      <c r="G421" s="2" t="str">
        <f>IF(Names!$B421="M","he",IF(Names!$B421="F","she","they"))</f>
        <v>he</v>
      </c>
      <c r="H421" s="2" t="str">
        <f>IF(Names!$B421="M","him",IF(Names!$B421="F","her","them"))</f>
        <v>him</v>
      </c>
      <c r="I421" s="2" t="str">
        <f>IF(Names!$B421="M","his",IF(Names!$B421="F","her","their"))</f>
        <v>his</v>
      </c>
    </row>
    <row r="422" ht="14.25" customHeight="1">
      <c r="A422" s="2">
        <v>421.0</v>
      </c>
      <c r="B422" s="2" t="s">
        <v>26</v>
      </c>
      <c r="C422" s="2" t="s">
        <v>961</v>
      </c>
      <c r="D422" s="2" t="s">
        <v>962</v>
      </c>
      <c r="E422" s="2" t="s">
        <v>963</v>
      </c>
      <c r="F422" s="2" t="str">
        <f>IF(Names!$B422="M","Mr.",IF(Names!$B422="F","Ms.","Mx."))</f>
        <v>Mr.</v>
      </c>
      <c r="G422" s="2" t="str">
        <f>IF(Names!$B422="M","he",IF(Names!$B422="F","she","they"))</f>
        <v>he</v>
      </c>
      <c r="H422" s="2" t="str">
        <f>IF(Names!$B422="M","him",IF(Names!$B422="F","her","them"))</f>
        <v>him</v>
      </c>
      <c r="I422" s="2" t="str">
        <f>IF(Names!$B422="M","his",IF(Names!$B422="F","her","their"))</f>
        <v>his</v>
      </c>
    </row>
    <row r="423" ht="14.25" customHeight="1">
      <c r="A423" s="2">
        <v>422.0</v>
      </c>
      <c r="B423" s="2" t="s">
        <v>26</v>
      </c>
      <c r="C423" s="2" t="s">
        <v>964</v>
      </c>
      <c r="D423" s="2" t="s">
        <v>965</v>
      </c>
      <c r="E423" s="2" t="s">
        <v>966</v>
      </c>
      <c r="F423" s="2" t="str">
        <f>IF(Names!$B423="M","Mr.",IF(Names!$B423="F","Ms.","Mx."))</f>
        <v>Mr.</v>
      </c>
      <c r="G423" s="2" t="str">
        <f>IF(Names!$B423="M","he",IF(Names!$B423="F","she","they"))</f>
        <v>he</v>
      </c>
      <c r="H423" s="2" t="str">
        <f>IF(Names!$B423="M","him",IF(Names!$B423="F","her","them"))</f>
        <v>him</v>
      </c>
      <c r="I423" s="2" t="str">
        <f>IF(Names!$B423="M","his",IF(Names!$B423="F","her","their"))</f>
        <v>his</v>
      </c>
    </row>
    <row r="424" ht="14.25" customHeight="1">
      <c r="A424" s="2">
        <v>423.0</v>
      </c>
      <c r="B424" s="2" t="s">
        <v>26</v>
      </c>
      <c r="C424" s="2" t="s">
        <v>967</v>
      </c>
      <c r="D424" s="2" t="s">
        <v>968</v>
      </c>
      <c r="E424" s="2" t="s">
        <v>969</v>
      </c>
      <c r="F424" s="2" t="str">
        <f>IF(Names!$B424="M","Mr.",IF(Names!$B424="F","Ms.","Mx."))</f>
        <v>Mr.</v>
      </c>
      <c r="G424" s="2" t="str">
        <f>IF(Names!$B424="M","he",IF(Names!$B424="F","she","they"))</f>
        <v>he</v>
      </c>
      <c r="H424" s="2" t="str">
        <f>IF(Names!$B424="M","him",IF(Names!$B424="F","her","them"))</f>
        <v>him</v>
      </c>
      <c r="I424" s="2" t="str">
        <f>IF(Names!$B424="M","his",IF(Names!$B424="F","her","their"))</f>
        <v>his</v>
      </c>
    </row>
    <row r="425" ht="14.25" customHeight="1">
      <c r="A425" s="2">
        <v>424.0</v>
      </c>
      <c r="B425" s="2" t="s">
        <v>26</v>
      </c>
      <c r="C425" s="2" t="s">
        <v>970</v>
      </c>
      <c r="D425" s="2" t="s">
        <v>971</v>
      </c>
      <c r="E425" s="2" t="s">
        <v>972</v>
      </c>
      <c r="F425" s="2" t="str">
        <f>IF(Names!$B425="M","Mr.",IF(Names!$B425="F","Ms.","Mx."))</f>
        <v>Mr.</v>
      </c>
      <c r="G425" s="2" t="str">
        <f>IF(Names!$B425="M","he",IF(Names!$B425="F","she","they"))</f>
        <v>he</v>
      </c>
      <c r="H425" s="2" t="str">
        <f>IF(Names!$B425="M","him",IF(Names!$B425="F","her","them"))</f>
        <v>him</v>
      </c>
      <c r="I425" s="2" t="str">
        <f>IF(Names!$B425="M","his",IF(Names!$B425="F","her","their"))</f>
        <v>his</v>
      </c>
    </row>
    <row r="426" ht="14.25" customHeight="1">
      <c r="A426" s="2">
        <v>425.0</v>
      </c>
      <c r="B426" s="2" t="s">
        <v>26</v>
      </c>
      <c r="C426" s="2" t="s">
        <v>973</v>
      </c>
      <c r="D426" s="2" t="s">
        <v>974</v>
      </c>
      <c r="E426" s="2" t="s">
        <v>975</v>
      </c>
      <c r="F426" s="2" t="str">
        <f>IF(Names!$B426="M","Mr.",IF(Names!$B426="F","Ms.","Mx."))</f>
        <v>Mr.</v>
      </c>
      <c r="G426" s="2" t="str">
        <f>IF(Names!$B426="M","he",IF(Names!$B426="F","she","they"))</f>
        <v>he</v>
      </c>
      <c r="H426" s="2" t="str">
        <f>IF(Names!$B426="M","him",IF(Names!$B426="F","her","them"))</f>
        <v>him</v>
      </c>
      <c r="I426" s="2" t="str">
        <f>IF(Names!$B426="M","his",IF(Names!$B426="F","her","their"))</f>
        <v>his</v>
      </c>
    </row>
    <row r="427" ht="14.25" customHeight="1">
      <c r="A427" s="2">
        <v>426.0</v>
      </c>
      <c r="B427" s="2" t="s">
        <v>26</v>
      </c>
      <c r="C427" s="2" t="s">
        <v>976</v>
      </c>
      <c r="D427" s="2" t="s">
        <v>977</v>
      </c>
      <c r="E427" s="2" t="s">
        <v>978</v>
      </c>
      <c r="F427" s="2" t="str">
        <f>IF(Names!$B427="M","Mr.",IF(Names!$B427="F","Ms.","Mx."))</f>
        <v>Mr.</v>
      </c>
      <c r="G427" s="2" t="str">
        <f>IF(Names!$B427="M","he",IF(Names!$B427="F","she","they"))</f>
        <v>he</v>
      </c>
      <c r="H427" s="2" t="str">
        <f>IF(Names!$B427="M","him",IF(Names!$B427="F","her","them"))</f>
        <v>him</v>
      </c>
      <c r="I427" s="2" t="str">
        <f>IF(Names!$B427="M","his",IF(Names!$B427="F","her","their"))</f>
        <v>his</v>
      </c>
    </row>
    <row r="428" ht="14.25" customHeight="1">
      <c r="A428" s="2">
        <v>427.0</v>
      </c>
      <c r="B428" s="2" t="s">
        <v>26</v>
      </c>
      <c r="C428" s="2" t="s">
        <v>979</v>
      </c>
      <c r="D428" s="2" t="s">
        <v>980</v>
      </c>
      <c r="E428" s="2" t="s">
        <v>981</v>
      </c>
      <c r="F428" s="2" t="str">
        <f>IF(Names!$B428="M","Mr.",IF(Names!$B428="F","Ms.","Mx."))</f>
        <v>Mr.</v>
      </c>
      <c r="G428" s="2" t="str">
        <f>IF(Names!$B428="M","he",IF(Names!$B428="F","she","they"))</f>
        <v>he</v>
      </c>
      <c r="H428" s="2" t="str">
        <f>IF(Names!$B428="M","him",IF(Names!$B428="F","her","them"))</f>
        <v>him</v>
      </c>
      <c r="I428" s="2" t="str">
        <f>IF(Names!$B428="M","his",IF(Names!$B428="F","her","their"))</f>
        <v>his</v>
      </c>
    </row>
    <row r="429" ht="14.25" customHeight="1">
      <c r="A429" s="2">
        <v>428.0</v>
      </c>
      <c r="B429" s="2" t="s">
        <v>26</v>
      </c>
      <c r="C429" s="2" t="s">
        <v>982</v>
      </c>
      <c r="D429" s="2" t="s">
        <v>983</v>
      </c>
      <c r="E429" s="2" t="s">
        <v>984</v>
      </c>
      <c r="F429" s="2" t="str">
        <f>IF(Names!$B429="M","Mr.",IF(Names!$B429="F","Ms.","Mx."))</f>
        <v>Mr.</v>
      </c>
      <c r="G429" s="2" t="str">
        <f>IF(Names!$B429="M","he",IF(Names!$B429="F","she","they"))</f>
        <v>he</v>
      </c>
      <c r="H429" s="2" t="str">
        <f>IF(Names!$B429="M","him",IF(Names!$B429="F","her","them"))</f>
        <v>him</v>
      </c>
      <c r="I429" s="2" t="str">
        <f>IF(Names!$B429="M","his",IF(Names!$B429="F","her","their"))</f>
        <v>his</v>
      </c>
    </row>
    <row r="430" ht="14.25" customHeight="1">
      <c r="A430" s="2">
        <v>429.0</v>
      </c>
      <c r="B430" s="2" t="s">
        <v>26</v>
      </c>
      <c r="C430" s="2" t="s">
        <v>985</v>
      </c>
      <c r="D430" s="2" t="s">
        <v>986</v>
      </c>
      <c r="E430" s="2" t="s">
        <v>987</v>
      </c>
      <c r="F430" s="2" t="str">
        <f>IF(Names!$B430="M","Mr.",IF(Names!$B430="F","Ms.","Mx."))</f>
        <v>Mr.</v>
      </c>
      <c r="G430" s="2" t="str">
        <f>IF(Names!$B430="M","he",IF(Names!$B430="F","she","they"))</f>
        <v>he</v>
      </c>
      <c r="H430" s="2" t="str">
        <f>IF(Names!$B430="M","him",IF(Names!$B430="F","her","them"))</f>
        <v>him</v>
      </c>
      <c r="I430" s="2" t="str">
        <f>IF(Names!$B430="M","his",IF(Names!$B430="F","her","their"))</f>
        <v>his</v>
      </c>
    </row>
    <row r="431" ht="14.25" customHeight="1">
      <c r="A431" s="2">
        <v>430.0</v>
      </c>
      <c r="B431" s="2" t="s">
        <v>26</v>
      </c>
      <c r="C431" s="2" t="s">
        <v>988</v>
      </c>
      <c r="D431" s="2" t="s">
        <v>989</v>
      </c>
      <c r="E431" s="2" t="s">
        <v>990</v>
      </c>
      <c r="F431" s="2" t="str">
        <f>IF(Names!$B431="M","Mr.",IF(Names!$B431="F","Ms.","Mx."))</f>
        <v>Mr.</v>
      </c>
      <c r="G431" s="2" t="str">
        <f>IF(Names!$B431="M","he",IF(Names!$B431="F","she","they"))</f>
        <v>he</v>
      </c>
      <c r="H431" s="2" t="str">
        <f>IF(Names!$B431="M","him",IF(Names!$B431="F","her","them"))</f>
        <v>him</v>
      </c>
      <c r="I431" s="2" t="str">
        <f>IF(Names!$B431="M","his",IF(Names!$B431="F","her","their"))</f>
        <v>his</v>
      </c>
    </row>
    <row r="432" ht="14.25" customHeight="1">
      <c r="A432" s="2">
        <v>431.0</v>
      </c>
      <c r="B432" s="2" t="s">
        <v>26</v>
      </c>
      <c r="C432" s="2" t="s">
        <v>991</v>
      </c>
      <c r="D432" s="2" t="s">
        <v>992</v>
      </c>
      <c r="E432" s="2" t="s">
        <v>993</v>
      </c>
      <c r="F432" s="2" t="str">
        <f>IF(Names!$B432="M","Mr.",IF(Names!$B432="F","Ms.","Mx."))</f>
        <v>Mr.</v>
      </c>
      <c r="G432" s="2" t="str">
        <f>IF(Names!$B432="M","he",IF(Names!$B432="F","she","they"))</f>
        <v>he</v>
      </c>
      <c r="H432" s="2" t="str">
        <f>IF(Names!$B432="M","him",IF(Names!$B432="F","her","them"))</f>
        <v>him</v>
      </c>
      <c r="I432" s="2" t="str">
        <f>IF(Names!$B432="M","his",IF(Names!$B432="F","her","their"))</f>
        <v>his</v>
      </c>
    </row>
    <row r="433" ht="14.25" customHeight="1">
      <c r="A433" s="2">
        <v>432.0</v>
      </c>
      <c r="B433" s="2" t="s">
        <v>26</v>
      </c>
      <c r="C433" s="2" t="s">
        <v>994</v>
      </c>
      <c r="D433" s="2" t="s">
        <v>995</v>
      </c>
      <c r="E433" s="2" t="s">
        <v>996</v>
      </c>
      <c r="F433" s="2" t="str">
        <f>IF(Names!$B433="M","Mr.",IF(Names!$B433="F","Ms.","Mx."))</f>
        <v>Mr.</v>
      </c>
      <c r="G433" s="2" t="str">
        <f>IF(Names!$B433="M","he",IF(Names!$B433="F","she","they"))</f>
        <v>he</v>
      </c>
      <c r="H433" s="2" t="str">
        <f>IF(Names!$B433="M","him",IF(Names!$B433="F","her","them"))</f>
        <v>him</v>
      </c>
      <c r="I433" s="2" t="str">
        <f>IF(Names!$B433="M","his",IF(Names!$B433="F","her","their"))</f>
        <v>his</v>
      </c>
    </row>
    <row r="434" ht="14.25" customHeight="1">
      <c r="A434" s="2">
        <v>433.0</v>
      </c>
      <c r="B434" s="2" t="s">
        <v>26</v>
      </c>
      <c r="C434" s="2" t="s">
        <v>997</v>
      </c>
      <c r="D434" s="2" t="s">
        <v>245</v>
      </c>
      <c r="E434" s="2" t="s">
        <v>250</v>
      </c>
      <c r="F434" s="2" t="str">
        <f>IF(Names!$B434="M","Mr.",IF(Names!$B434="F","Ms.","Mx."))</f>
        <v>Mr.</v>
      </c>
      <c r="G434" s="2" t="str">
        <f>IF(Names!$B434="M","he",IF(Names!$B434="F","she","they"))</f>
        <v>he</v>
      </c>
      <c r="H434" s="2" t="str">
        <f>IF(Names!$B434="M","him",IF(Names!$B434="F","her","them"))</f>
        <v>him</v>
      </c>
      <c r="I434" s="2" t="str">
        <f>IF(Names!$B434="M","his",IF(Names!$B434="F","her","their"))</f>
        <v>his</v>
      </c>
    </row>
    <row r="435" ht="14.25" customHeight="1">
      <c r="A435" s="2">
        <v>434.0</v>
      </c>
      <c r="B435" s="2" t="s">
        <v>26</v>
      </c>
      <c r="C435" s="2" t="s">
        <v>998</v>
      </c>
      <c r="D435" s="2" t="s">
        <v>238</v>
      </c>
      <c r="E435" s="2" t="s">
        <v>247</v>
      </c>
      <c r="F435" s="2" t="str">
        <f>IF(Names!$B435="M","Mr.",IF(Names!$B435="F","Ms.","Mx."))</f>
        <v>Mr.</v>
      </c>
      <c r="G435" s="2" t="str">
        <f>IF(Names!$B435="M","he",IF(Names!$B435="F","she","they"))</f>
        <v>he</v>
      </c>
      <c r="H435" s="2" t="str">
        <f>IF(Names!$B435="M","him",IF(Names!$B435="F","her","them"))</f>
        <v>him</v>
      </c>
      <c r="I435" s="2" t="str">
        <f>IF(Names!$B435="M","his",IF(Names!$B435="F","her","their"))</f>
        <v>his</v>
      </c>
    </row>
    <row r="436" ht="14.25" customHeight="1">
      <c r="A436" s="2">
        <v>435.0</v>
      </c>
      <c r="B436" s="2" t="s">
        <v>26</v>
      </c>
      <c r="C436" s="2" t="s">
        <v>999</v>
      </c>
      <c r="D436" s="2" t="s">
        <v>1000</v>
      </c>
      <c r="E436" s="2" t="s">
        <v>1001</v>
      </c>
      <c r="F436" s="2" t="str">
        <f>IF(Names!$B436="M","Mr.",IF(Names!$B436="F","Ms.","Mx."))</f>
        <v>Mr.</v>
      </c>
      <c r="G436" s="2" t="str">
        <f>IF(Names!$B436="M","he",IF(Names!$B436="F","she","they"))</f>
        <v>he</v>
      </c>
      <c r="H436" s="2" t="str">
        <f>IF(Names!$B436="M","him",IF(Names!$B436="F","her","them"))</f>
        <v>him</v>
      </c>
      <c r="I436" s="2" t="str">
        <f>IF(Names!$B436="M","his",IF(Names!$B436="F","her","their"))</f>
        <v>his</v>
      </c>
    </row>
    <row r="437" ht="14.25" customHeight="1">
      <c r="A437" s="2">
        <v>436.0</v>
      </c>
      <c r="B437" s="2" t="s">
        <v>26</v>
      </c>
      <c r="C437" s="2" t="s">
        <v>1002</v>
      </c>
      <c r="D437" s="2" t="s">
        <v>1003</v>
      </c>
      <c r="E437" s="2" t="s">
        <v>1004</v>
      </c>
      <c r="F437" s="2" t="str">
        <f>IF(Names!$B437="M","Mr.",IF(Names!$B437="F","Ms.","Mx."))</f>
        <v>Mr.</v>
      </c>
      <c r="G437" s="2" t="str">
        <f>IF(Names!$B437="M","he",IF(Names!$B437="F","she","they"))</f>
        <v>he</v>
      </c>
      <c r="H437" s="2" t="str">
        <f>IF(Names!$B437="M","him",IF(Names!$B437="F","her","them"))</f>
        <v>him</v>
      </c>
      <c r="I437" s="2" t="str">
        <f>IF(Names!$B437="M","his",IF(Names!$B437="F","her","their"))</f>
        <v>his</v>
      </c>
    </row>
    <row r="438" ht="14.25" customHeight="1">
      <c r="A438" s="2">
        <v>437.0</v>
      </c>
      <c r="B438" s="2" t="s">
        <v>26</v>
      </c>
      <c r="C438" s="2" t="s">
        <v>1005</v>
      </c>
      <c r="D438" s="2" t="s">
        <v>1006</v>
      </c>
      <c r="E438" s="2" t="s">
        <v>1007</v>
      </c>
      <c r="F438" s="2" t="str">
        <f>IF(Names!$B438="M","Mr.",IF(Names!$B438="F","Ms.","Mx."))</f>
        <v>Mr.</v>
      </c>
      <c r="G438" s="2" t="str">
        <f>IF(Names!$B438="M","he",IF(Names!$B438="F","she","they"))</f>
        <v>he</v>
      </c>
      <c r="H438" s="2" t="str">
        <f>IF(Names!$B438="M","him",IF(Names!$B438="F","her","them"))</f>
        <v>him</v>
      </c>
      <c r="I438" s="2" t="str">
        <f>IF(Names!$B438="M","his",IF(Names!$B438="F","her","their"))</f>
        <v>his</v>
      </c>
    </row>
    <row r="439" ht="14.25" customHeight="1">
      <c r="A439" s="2">
        <v>438.0</v>
      </c>
      <c r="B439" s="2" t="s">
        <v>26</v>
      </c>
      <c r="C439" s="2" t="s">
        <v>1008</v>
      </c>
      <c r="D439" s="2" t="s">
        <v>1009</v>
      </c>
      <c r="E439" s="2" t="s">
        <v>1010</v>
      </c>
      <c r="F439" s="2" t="str">
        <f>IF(Names!$B439="M","Mr.",IF(Names!$B439="F","Ms.","Mx."))</f>
        <v>Mr.</v>
      </c>
      <c r="G439" s="2" t="str">
        <f>IF(Names!$B439="M","he",IF(Names!$B439="F","she","they"))</f>
        <v>he</v>
      </c>
      <c r="H439" s="2" t="str">
        <f>IF(Names!$B439="M","him",IF(Names!$B439="F","her","them"))</f>
        <v>him</v>
      </c>
      <c r="I439" s="2" t="str">
        <f>IF(Names!$B439="M","his",IF(Names!$B439="F","her","their"))</f>
        <v>his</v>
      </c>
    </row>
    <row r="440" ht="14.25" customHeight="1">
      <c r="A440" s="2">
        <v>439.0</v>
      </c>
      <c r="B440" s="2" t="s">
        <v>26</v>
      </c>
      <c r="C440" s="2" t="s">
        <v>1011</v>
      </c>
      <c r="D440" s="2" t="s">
        <v>1012</v>
      </c>
      <c r="E440" s="2" t="s">
        <v>1013</v>
      </c>
      <c r="F440" s="2" t="str">
        <f>IF(Names!$B440="M","Mr.",IF(Names!$B440="F","Ms.","Mx."))</f>
        <v>Mr.</v>
      </c>
      <c r="G440" s="2" t="str">
        <f>IF(Names!$B440="M","he",IF(Names!$B440="F","she","they"))</f>
        <v>he</v>
      </c>
      <c r="H440" s="2" t="str">
        <f>IF(Names!$B440="M","him",IF(Names!$B440="F","her","them"))</f>
        <v>him</v>
      </c>
      <c r="I440" s="2" t="str">
        <f>IF(Names!$B440="M","his",IF(Names!$B440="F","her","their"))</f>
        <v>his</v>
      </c>
    </row>
    <row r="441" ht="14.25" customHeight="1">
      <c r="A441" s="2">
        <v>440.0</v>
      </c>
      <c r="B441" s="2" t="s">
        <v>48</v>
      </c>
      <c r="C441" s="2" t="s">
        <v>1014</v>
      </c>
      <c r="D441" s="2" t="s">
        <v>1015</v>
      </c>
      <c r="E441" s="2" t="s">
        <v>1016</v>
      </c>
      <c r="F441" s="2" t="str">
        <f>IF(Names!$B441="M","Mr.",IF(Names!$B441="F","Ms.","Mx."))</f>
        <v>Mx.</v>
      </c>
      <c r="G441" s="2" t="str">
        <f>IF(Names!$B441="M","he",IF(Names!$B441="F","she","they"))</f>
        <v>they</v>
      </c>
      <c r="H441" s="2" t="str">
        <f>IF(Names!$B441="M","him",IF(Names!$B441="F","her","them"))</f>
        <v>them</v>
      </c>
      <c r="I441" s="2" t="str">
        <f>IF(Names!$B441="M","his",IF(Names!$B441="F","her","their"))</f>
        <v>their</v>
      </c>
    </row>
    <row r="442" ht="14.25" customHeight="1">
      <c r="A442" s="2">
        <v>441.0</v>
      </c>
      <c r="B442" s="2" t="s">
        <v>26</v>
      </c>
      <c r="C442" s="2" t="s">
        <v>1017</v>
      </c>
      <c r="D442" s="2" t="s">
        <v>708</v>
      </c>
      <c r="E442" s="2" t="s">
        <v>251</v>
      </c>
      <c r="F442" s="2" t="str">
        <f>IF(Names!$B442="M","Mr.",IF(Names!$B442="F","Ms.","Mx."))</f>
        <v>Mr.</v>
      </c>
      <c r="G442" s="2" t="str">
        <f>IF(Names!$B442="M","he",IF(Names!$B442="F","she","they"))</f>
        <v>he</v>
      </c>
      <c r="H442" s="2" t="str">
        <f>IF(Names!$B442="M","him",IF(Names!$B442="F","her","them"))</f>
        <v>him</v>
      </c>
      <c r="I442" s="2" t="str">
        <f>IF(Names!$B442="M","his",IF(Names!$B442="F","her","their"))</f>
        <v>his</v>
      </c>
    </row>
    <row r="443" ht="14.25" customHeight="1">
      <c r="A443" s="2">
        <v>442.0</v>
      </c>
      <c r="B443" s="2" t="s">
        <v>26</v>
      </c>
      <c r="C443" s="2" t="s">
        <v>1018</v>
      </c>
      <c r="D443" s="2" t="s">
        <v>1019</v>
      </c>
      <c r="E443" s="2" t="s">
        <v>1020</v>
      </c>
      <c r="F443" s="2" t="str">
        <f>IF(Names!$B443="M","Mr.",IF(Names!$B443="F","Ms.","Mx."))</f>
        <v>Mr.</v>
      </c>
      <c r="G443" s="2" t="str">
        <f>IF(Names!$B443="M","he",IF(Names!$B443="F","she","they"))</f>
        <v>he</v>
      </c>
      <c r="H443" s="2" t="str">
        <f>IF(Names!$B443="M","him",IF(Names!$B443="F","her","them"))</f>
        <v>him</v>
      </c>
      <c r="I443" s="2" t="str">
        <f>IF(Names!$B443="M","his",IF(Names!$B443="F","her","their"))</f>
        <v>his</v>
      </c>
    </row>
    <row r="444" ht="14.25" customHeight="1">
      <c r="A444" s="2">
        <v>443.0</v>
      </c>
      <c r="B444" s="2" t="s">
        <v>48</v>
      </c>
      <c r="C444" s="2" t="s">
        <v>1021</v>
      </c>
      <c r="D444" s="2" t="s">
        <v>1022</v>
      </c>
      <c r="E444" s="2" t="s">
        <v>1023</v>
      </c>
      <c r="F444" s="2" t="str">
        <f>IF(Names!$B444="M","Mr.",IF(Names!$B444="F","Ms.","Mx."))</f>
        <v>Mx.</v>
      </c>
      <c r="G444" s="2" t="str">
        <f>IF(Names!$B444="M","he",IF(Names!$B444="F","she","they"))</f>
        <v>they</v>
      </c>
      <c r="H444" s="2" t="str">
        <f>IF(Names!$B444="M","him",IF(Names!$B444="F","her","them"))</f>
        <v>them</v>
      </c>
      <c r="I444" s="2" t="str">
        <f>IF(Names!$B444="M","his",IF(Names!$B444="F","her","their"))</f>
        <v>their</v>
      </c>
    </row>
    <row r="445" ht="14.25" customHeight="1">
      <c r="A445" s="2">
        <v>444.0</v>
      </c>
      <c r="B445" s="2" t="s">
        <v>26</v>
      </c>
      <c r="C445" s="2" t="s">
        <v>1024</v>
      </c>
      <c r="D445" s="2" t="s">
        <v>996</v>
      </c>
      <c r="E445" s="2" t="s">
        <v>1025</v>
      </c>
      <c r="F445" s="2" t="str">
        <f>IF(Names!$B445="M","Mr.",IF(Names!$B445="F","Ms.","Mx."))</f>
        <v>Mr.</v>
      </c>
      <c r="G445" s="2" t="str">
        <f>IF(Names!$B445="M","he",IF(Names!$B445="F","she","they"))</f>
        <v>he</v>
      </c>
      <c r="H445" s="2" t="str">
        <f>IF(Names!$B445="M","him",IF(Names!$B445="F","her","them"))</f>
        <v>him</v>
      </c>
      <c r="I445" s="2" t="str">
        <f>IF(Names!$B445="M","his",IF(Names!$B445="F","her","their"))</f>
        <v>his</v>
      </c>
    </row>
    <row r="446" ht="14.25" customHeight="1">
      <c r="A446" s="2">
        <v>445.0</v>
      </c>
      <c r="B446" s="2" t="s">
        <v>26</v>
      </c>
      <c r="C446" s="2" t="s">
        <v>1026</v>
      </c>
      <c r="D446" s="2" t="s">
        <v>1027</v>
      </c>
      <c r="E446" s="2" t="s">
        <v>699</v>
      </c>
      <c r="F446" s="2" t="str">
        <f>IF(Names!$B446="M","Mr.",IF(Names!$B446="F","Ms.","Mx."))</f>
        <v>Mr.</v>
      </c>
      <c r="G446" s="2" t="str">
        <f>IF(Names!$B446="M","he",IF(Names!$B446="F","she","they"))</f>
        <v>he</v>
      </c>
      <c r="H446" s="2" t="str">
        <f>IF(Names!$B446="M","him",IF(Names!$B446="F","her","them"))</f>
        <v>him</v>
      </c>
      <c r="I446" s="2" t="str">
        <f>IF(Names!$B446="M","his",IF(Names!$B446="F","her","their"))</f>
        <v>his</v>
      </c>
    </row>
    <row r="447" ht="14.25" customHeight="1">
      <c r="A447" s="2">
        <v>446.0</v>
      </c>
      <c r="B447" s="2" t="s">
        <v>26</v>
      </c>
      <c r="C447" s="2" t="s">
        <v>1028</v>
      </c>
      <c r="D447" s="2" t="s">
        <v>1029</v>
      </c>
      <c r="E447" s="2" t="s">
        <v>1030</v>
      </c>
      <c r="F447" s="2" t="str">
        <f>IF(Names!$B447="M","Mr.",IF(Names!$B447="F","Ms.","Mx."))</f>
        <v>Mr.</v>
      </c>
      <c r="G447" s="2" t="str">
        <f>IF(Names!$B447="M","he",IF(Names!$B447="F","she","they"))</f>
        <v>he</v>
      </c>
      <c r="H447" s="2" t="str">
        <f>IF(Names!$B447="M","him",IF(Names!$B447="F","her","them"))</f>
        <v>him</v>
      </c>
      <c r="I447" s="2" t="str">
        <f>IF(Names!$B447="M","his",IF(Names!$B447="F","her","their"))</f>
        <v>his</v>
      </c>
    </row>
    <row r="448" ht="14.25" customHeight="1">
      <c r="A448" s="2">
        <v>447.0</v>
      </c>
      <c r="B448" s="2" t="s">
        <v>26</v>
      </c>
      <c r="C448" s="2" t="s">
        <v>1031</v>
      </c>
      <c r="D448" s="2" t="s">
        <v>1032</v>
      </c>
      <c r="E448" s="2" t="s">
        <v>1033</v>
      </c>
      <c r="F448" s="2" t="str">
        <f>IF(Names!$B448="M","Mr.",IF(Names!$B448="F","Ms.","Mx."))</f>
        <v>Mr.</v>
      </c>
      <c r="G448" s="2" t="str">
        <f>IF(Names!$B448="M","he",IF(Names!$B448="F","she","they"))</f>
        <v>he</v>
      </c>
      <c r="H448" s="2" t="str">
        <f>IF(Names!$B448="M","him",IF(Names!$B448="F","her","them"))</f>
        <v>him</v>
      </c>
      <c r="I448" s="2" t="str">
        <f>IF(Names!$B448="M","his",IF(Names!$B448="F","her","their"))</f>
        <v>his</v>
      </c>
    </row>
    <row r="449" ht="14.25" customHeight="1">
      <c r="A449" s="2">
        <v>448.0</v>
      </c>
      <c r="B449" s="2" t="s">
        <v>26</v>
      </c>
      <c r="C449" s="2" t="s">
        <v>1034</v>
      </c>
      <c r="D449" s="2" t="s">
        <v>1035</v>
      </c>
      <c r="E449" s="2" t="s">
        <v>1036</v>
      </c>
      <c r="F449" s="2" t="str">
        <f>IF(Names!$B449="M","Mr.",IF(Names!$B449="F","Ms.","Mx."))</f>
        <v>Mr.</v>
      </c>
      <c r="G449" s="2" t="str">
        <f>IF(Names!$B449="M","he",IF(Names!$B449="F","she","they"))</f>
        <v>he</v>
      </c>
      <c r="H449" s="2" t="str">
        <f>IF(Names!$B449="M","him",IF(Names!$B449="F","her","them"))</f>
        <v>him</v>
      </c>
      <c r="I449" s="2" t="str">
        <f>IF(Names!$B449="M","his",IF(Names!$B449="F","her","their"))</f>
        <v>his</v>
      </c>
    </row>
    <row r="450" ht="14.25" customHeight="1">
      <c r="A450" s="2">
        <v>449.0</v>
      </c>
      <c r="B450" s="2" t="s">
        <v>26</v>
      </c>
      <c r="C450" s="2" t="s">
        <v>1037</v>
      </c>
      <c r="D450" s="2" t="s">
        <v>1038</v>
      </c>
      <c r="E450" s="2" t="s">
        <v>1039</v>
      </c>
      <c r="F450" s="2" t="str">
        <f>IF(Names!$B450="M","Mr.",IF(Names!$B450="F","Ms.","Mx."))</f>
        <v>Mr.</v>
      </c>
      <c r="G450" s="2" t="str">
        <f>IF(Names!$B450="M","he",IF(Names!$B450="F","she","they"))</f>
        <v>he</v>
      </c>
      <c r="H450" s="2" t="str">
        <f>IF(Names!$B450="M","him",IF(Names!$B450="F","her","them"))</f>
        <v>him</v>
      </c>
      <c r="I450" s="2" t="str">
        <f>IF(Names!$B450="M","his",IF(Names!$B450="F","her","their"))</f>
        <v>his</v>
      </c>
    </row>
    <row r="451" ht="14.25" customHeight="1">
      <c r="A451" s="2">
        <v>450.0</v>
      </c>
      <c r="B451" s="2" t="s">
        <v>26</v>
      </c>
      <c r="C451" s="2" t="s">
        <v>1040</v>
      </c>
      <c r="D451" s="2" t="s">
        <v>1041</v>
      </c>
      <c r="E451" s="2" t="s">
        <v>245</v>
      </c>
      <c r="F451" s="2" t="str">
        <f>IF(Names!$B451="M","Mr.",IF(Names!$B451="F","Ms.","Mx."))</f>
        <v>Mr.</v>
      </c>
      <c r="G451" s="2" t="str">
        <f>IF(Names!$B451="M","he",IF(Names!$B451="F","she","they"))</f>
        <v>he</v>
      </c>
      <c r="H451" s="2" t="str">
        <f>IF(Names!$B451="M","him",IF(Names!$B451="F","her","them"))</f>
        <v>him</v>
      </c>
      <c r="I451" s="2" t="str">
        <f>IF(Names!$B451="M","his",IF(Names!$B451="F","her","their"))</f>
        <v>his</v>
      </c>
    </row>
    <row r="452" ht="14.25" customHeight="1">
      <c r="A452" s="2">
        <v>451.0</v>
      </c>
      <c r="B452" s="2" t="s">
        <v>26</v>
      </c>
      <c r="C452" s="2" t="s">
        <v>1042</v>
      </c>
      <c r="D452" s="2" t="s">
        <v>1043</v>
      </c>
      <c r="E452" s="2" t="s">
        <v>1044</v>
      </c>
      <c r="F452" s="2" t="str">
        <f>IF(Names!$B452="M","Mr.",IF(Names!$B452="F","Ms.","Mx."))</f>
        <v>Mr.</v>
      </c>
      <c r="G452" s="2" t="str">
        <f>IF(Names!$B452="M","he",IF(Names!$B452="F","she","they"))</f>
        <v>he</v>
      </c>
      <c r="H452" s="2" t="str">
        <f>IF(Names!$B452="M","him",IF(Names!$B452="F","her","them"))</f>
        <v>him</v>
      </c>
      <c r="I452" s="2" t="str">
        <f>IF(Names!$B452="M","his",IF(Names!$B452="F","her","their"))</f>
        <v>his</v>
      </c>
    </row>
    <row r="453" ht="14.25" customHeight="1">
      <c r="A453" s="2">
        <v>452.0</v>
      </c>
      <c r="B453" s="2" t="s">
        <v>26</v>
      </c>
      <c r="C453" s="2" t="s">
        <v>1045</v>
      </c>
      <c r="D453" s="2" t="s">
        <v>1046</v>
      </c>
      <c r="E453" s="2" t="s">
        <v>1047</v>
      </c>
      <c r="F453" s="2" t="str">
        <f>IF(Names!$B453="M","Mr.",IF(Names!$B453="F","Ms.","Mx."))</f>
        <v>Mr.</v>
      </c>
      <c r="G453" s="2" t="str">
        <f>IF(Names!$B453="M","he",IF(Names!$B453="F","she","they"))</f>
        <v>he</v>
      </c>
      <c r="H453" s="2" t="str">
        <f>IF(Names!$B453="M","him",IF(Names!$B453="F","her","them"))</f>
        <v>him</v>
      </c>
      <c r="I453" s="2" t="str">
        <f>IF(Names!$B453="M","his",IF(Names!$B453="F","her","their"))</f>
        <v>his</v>
      </c>
    </row>
    <row r="454" ht="14.25" customHeight="1">
      <c r="A454" s="2">
        <v>453.0</v>
      </c>
      <c r="B454" s="2" t="s">
        <v>26</v>
      </c>
      <c r="C454" s="2" t="s">
        <v>1048</v>
      </c>
      <c r="D454" s="2" t="s">
        <v>1049</v>
      </c>
      <c r="E454" s="2" t="s">
        <v>1050</v>
      </c>
      <c r="F454" s="2" t="str">
        <f>IF(Names!$B454="M","Mr.",IF(Names!$B454="F","Ms.","Mx."))</f>
        <v>Mr.</v>
      </c>
      <c r="G454" s="2" t="str">
        <f>IF(Names!$B454="M","he",IF(Names!$B454="F","she","they"))</f>
        <v>he</v>
      </c>
      <c r="H454" s="2" t="str">
        <f>IF(Names!$B454="M","him",IF(Names!$B454="F","her","them"))</f>
        <v>him</v>
      </c>
      <c r="I454" s="2" t="str">
        <f>IF(Names!$B454="M","his",IF(Names!$B454="F","her","their"))</f>
        <v>his</v>
      </c>
    </row>
    <row r="455" ht="14.25" customHeight="1">
      <c r="A455" s="2">
        <v>454.0</v>
      </c>
      <c r="B455" s="2" t="s">
        <v>26</v>
      </c>
      <c r="C455" s="2" t="s">
        <v>1051</v>
      </c>
      <c r="D455" s="2" t="s">
        <v>1052</v>
      </c>
      <c r="E455" s="2" t="s">
        <v>1053</v>
      </c>
      <c r="F455" s="2" t="str">
        <f>IF(Names!$B455="M","Mr.",IF(Names!$B455="F","Ms.","Mx."))</f>
        <v>Mr.</v>
      </c>
      <c r="G455" s="2" t="str">
        <f>IF(Names!$B455="M","he",IF(Names!$B455="F","she","they"))</f>
        <v>he</v>
      </c>
      <c r="H455" s="2" t="str">
        <f>IF(Names!$B455="M","him",IF(Names!$B455="F","her","them"))</f>
        <v>him</v>
      </c>
      <c r="I455" s="2" t="str">
        <f>IF(Names!$B455="M","his",IF(Names!$B455="F","her","their"))</f>
        <v>his</v>
      </c>
    </row>
    <row r="456" ht="14.25" customHeight="1">
      <c r="A456" s="2">
        <v>455.0</v>
      </c>
      <c r="B456" s="2" t="s">
        <v>26</v>
      </c>
      <c r="C456" s="2" t="s">
        <v>1054</v>
      </c>
      <c r="D456" s="2" t="s">
        <v>1055</v>
      </c>
      <c r="E456" s="2" t="s">
        <v>1056</v>
      </c>
      <c r="F456" s="2" t="str">
        <f>IF(Names!$B456="M","Mr.",IF(Names!$B456="F","Ms.","Mx."))</f>
        <v>Mr.</v>
      </c>
      <c r="G456" s="2" t="str">
        <f>IF(Names!$B456="M","he",IF(Names!$B456="F","she","they"))</f>
        <v>he</v>
      </c>
      <c r="H456" s="2" t="str">
        <f>IF(Names!$B456="M","him",IF(Names!$B456="F","her","them"))</f>
        <v>him</v>
      </c>
      <c r="I456" s="2" t="str">
        <f>IF(Names!$B456="M","his",IF(Names!$B456="F","her","their"))</f>
        <v>his</v>
      </c>
    </row>
    <row r="457" ht="14.25" customHeight="1">
      <c r="A457" s="2">
        <v>456.0</v>
      </c>
      <c r="B457" s="2" t="s">
        <v>26</v>
      </c>
      <c r="C457" s="2" t="s">
        <v>1057</v>
      </c>
      <c r="D457" s="2" t="s">
        <v>1058</v>
      </c>
      <c r="E457" s="2" t="s">
        <v>1059</v>
      </c>
      <c r="F457" s="2" t="str">
        <f>IF(Names!$B457="M","Mr.",IF(Names!$B457="F","Ms.","Mx."))</f>
        <v>Mr.</v>
      </c>
      <c r="G457" s="2" t="str">
        <f>IF(Names!$B457="M","he",IF(Names!$B457="F","she","they"))</f>
        <v>he</v>
      </c>
      <c r="H457" s="2" t="str">
        <f>IF(Names!$B457="M","him",IF(Names!$B457="F","her","them"))</f>
        <v>him</v>
      </c>
      <c r="I457" s="2" t="str">
        <f>IF(Names!$B457="M","his",IF(Names!$B457="F","her","their"))</f>
        <v>his</v>
      </c>
    </row>
    <row r="458" ht="14.25" customHeight="1">
      <c r="A458" s="2">
        <v>457.0</v>
      </c>
      <c r="B458" s="2" t="s">
        <v>26</v>
      </c>
      <c r="C458" s="2" t="s">
        <v>1060</v>
      </c>
      <c r="D458" s="2" t="s">
        <v>1061</v>
      </c>
      <c r="E458" s="2" t="s">
        <v>1062</v>
      </c>
      <c r="F458" s="2" t="str">
        <f>IF(Names!$B458="M","Mr.",IF(Names!$B458="F","Ms.","Mx."))</f>
        <v>Mr.</v>
      </c>
      <c r="G458" s="2" t="str">
        <f>IF(Names!$B458="M","he",IF(Names!$B458="F","she","they"))</f>
        <v>he</v>
      </c>
      <c r="H458" s="2" t="str">
        <f>IF(Names!$B458="M","him",IF(Names!$B458="F","her","them"))</f>
        <v>him</v>
      </c>
      <c r="I458" s="2" t="str">
        <f>IF(Names!$B458="M","his",IF(Names!$B458="F","her","their"))</f>
        <v>his</v>
      </c>
    </row>
    <row r="459" ht="14.25" customHeight="1">
      <c r="A459" s="2">
        <v>458.0</v>
      </c>
      <c r="B459" s="2" t="s">
        <v>26</v>
      </c>
      <c r="C459" s="2" t="s">
        <v>1063</v>
      </c>
      <c r="D459" s="2" t="s">
        <v>1064</v>
      </c>
      <c r="E459" s="2" t="s">
        <v>1065</v>
      </c>
      <c r="F459" s="2" t="str">
        <f>IF(Names!$B459="M","Mr.",IF(Names!$B459="F","Ms.","Mx."))</f>
        <v>Mr.</v>
      </c>
      <c r="G459" s="2" t="str">
        <f>IF(Names!$B459="M","he",IF(Names!$B459="F","she","they"))</f>
        <v>he</v>
      </c>
      <c r="H459" s="2" t="str">
        <f>IF(Names!$B459="M","him",IF(Names!$B459="F","her","them"))</f>
        <v>him</v>
      </c>
      <c r="I459" s="2" t="str">
        <f>IF(Names!$B459="M","his",IF(Names!$B459="F","her","their"))</f>
        <v>his</v>
      </c>
    </row>
    <row r="460" ht="14.25" customHeight="1">
      <c r="A460" s="2">
        <v>459.0</v>
      </c>
      <c r="B460" s="2" t="s">
        <v>48</v>
      </c>
      <c r="C460" s="2" t="s">
        <v>1066</v>
      </c>
      <c r="D460" s="2" t="s">
        <v>1067</v>
      </c>
      <c r="E460" s="2" t="s">
        <v>1068</v>
      </c>
      <c r="F460" s="2" t="str">
        <f>IF(Names!$B460="M","Mr.",IF(Names!$B460="F","Ms.","Mx."))</f>
        <v>Mx.</v>
      </c>
      <c r="G460" s="2" t="str">
        <f>IF(Names!$B460="M","he",IF(Names!$B460="F","she","they"))</f>
        <v>they</v>
      </c>
      <c r="H460" s="2" t="str">
        <f>IF(Names!$B460="M","him",IF(Names!$B460="F","her","them"))</f>
        <v>them</v>
      </c>
      <c r="I460" s="2" t="str">
        <f>IF(Names!$B460="M","his",IF(Names!$B460="F","her","their"))</f>
        <v>their</v>
      </c>
    </row>
    <row r="461" ht="14.25" customHeight="1">
      <c r="A461" s="2">
        <v>460.0</v>
      </c>
      <c r="B461" s="2" t="s">
        <v>447</v>
      </c>
      <c r="C461" s="2" t="s">
        <v>1069</v>
      </c>
      <c r="D461" s="2" t="s">
        <v>1070</v>
      </c>
      <c r="E461" s="2" t="s">
        <v>1071</v>
      </c>
      <c r="F461" s="2" t="str">
        <f>IF(Names!$B461="M","Mr.",IF(Names!$B461="F","Ms.","Mx."))</f>
        <v>Ms.</v>
      </c>
      <c r="G461" s="2" t="str">
        <f>IF(Names!$B461="M","he",IF(Names!$B461="F","she","they"))</f>
        <v>she</v>
      </c>
      <c r="H461" s="2" t="str">
        <f>IF(Names!$B461="M","him",IF(Names!$B461="F","her","them"))</f>
        <v>her</v>
      </c>
      <c r="I461" s="2" t="str">
        <f>IF(Names!$B461="M","his",IF(Names!$B461="F","her","their"))</f>
        <v>her</v>
      </c>
    </row>
    <row r="462" ht="14.25" customHeight="1">
      <c r="A462" s="2">
        <v>461.0</v>
      </c>
      <c r="B462" s="2" t="s">
        <v>447</v>
      </c>
      <c r="C462" s="2" t="s">
        <v>1072</v>
      </c>
      <c r="D462" s="2" t="s">
        <v>1073</v>
      </c>
      <c r="E462" s="2" t="s">
        <v>1071</v>
      </c>
      <c r="F462" s="2" t="str">
        <f>IF(Names!$B462="M","Mr.",IF(Names!$B462="F","Ms.","Mx."))</f>
        <v>Ms.</v>
      </c>
      <c r="G462" s="2" t="str">
        <f>IF(Names!$B462="M","he",IF(Names!$B462="F","she","they"))</f>
        <v>she</v>
      </c>
      <c r="H462" s="2" t="str">
        <f>IF(Names!$B462="M","him",IF(Names!$B462="F","her","them"))</f>
        <v>her</v>
      </c>
      <c r="I462" s="2" t="str">
        <f>IF(Names!$B462="M","his",IF(Names!$B462="F","her","their"))</f>
        <v>her</v>
      </c>
    </row>
    <row r="463" ht="14.25" customHeight="1">
      <c r="A463" s="2">
        <v>462.0</v>
      </c>
      <c r="B463" s="2" t="s">
        <v>447</v>
      </c>
      <c r="C463" s="2" t="s">
        <v>1074</v>
      </c>
      <c r="D463" s="2" t="s">
        <v>1075</v>
      </c>
      <c r="E463" s="2" t="s">
        <v>1076</v>
      </c>
      <c r="F463" s="2" t="str">
        <f>IF(Names!$B463="M","Mr.",IF(Names!$B463="F","Ms.","Mx."))</f>
        <v>Ms.</v>
      </c>
      <c r="G463" s="2" t="str">
        <f>IF(Names!$B463="M","he",IF(Names!$B463="F","she","they"))</f>
        <v>she</v>
      </c>
      <c r="H463" s="2" t="str">
        <f>IF(Names!$B463="M","him",IF(Names!$B463="F","her","them"))</f>
        <v>her</v>
      </c>
      <c r="I463" s="2" t="str">
        <f>IF(Names!$B463="M","his",IF(Names!$B463="F","her","their"))</f>
        <v>her</v>
      </c>
    </row>
    <row r="464" ht="14.25" customHeight="1">
      <c r="A464" s="2">
        <v>463.0</v>
      </c>
      <c r="B464" s="2" t="s">
        <v>447</v>
      </c>
      <c r="C464" s="2" t="s">
        <v>1077</v>
      </c>
      <c r="D464" s="2" t="s">
        <v>1078</v>
      </c>
      <c r="E464" s="2" t="s">
        <v>1079</v>
      </c>
      <c r="F464" s="2" t="str">
        <f>IF(Names!$B464="M","Mr.",IF(Names!$B464="F","Ms.","Mx."))</f>
        <v>Ms.</v>
      </c>
      <c r="G464" s="2" t="str">
        <f>IF(Names!$B464="M","he",IF(Names!$B464="F","she","they"))</f>
        <v>she</v>
      </c>
      <c r="H464" s="2" t="str">
        <f>IF(Names!$B464="M","him",IF(Names!$B464="F","her","them"))</f>
        <v>her</v>
      </c>
      <c r="I464" s="2" t="str">
        <f>IF(Names!$B464="M","his",IF(Names!$B464="F","her","their"))</f>
        <v>her</v>
      </c>
    </row>
    <row r="465" ht="14.25" customHeight="1">
      <c r="A465" s="2">
        <v>464.0</v>
      </c>
      <c r="B465" s="2" t="s">
        <v>447</v>
      </c>
      <c r="C465" s="2" t="s">
        <v>1080</v>
      </c>
      <c r="D465" s="2" t="s">
        <v>1081</v>
      </c>
      <c r="E465" s="2" t="s">
        <v>1082</v>
      </c>
      <c r="F465" s="2" t="str">
        <f>IF(Names!$B465="M","Mr.",IF(Names!$B465="F","Ms.","Mx."))</f>
        <v>Ms.</v>
      </c>
      <c r="G465" s="2" t="str">
        <f>IF(Names!$B465="M","he",IF(Names!$B465="F","she","they"))</f>
        <v>she</v>
      </c>
      <c r="H465" s="2" t="str">
        <f>IF(Names!$B465="M","him",IF(Names!$B465="F","her","them"))</f>
        <v>her</v>
      </c>
      <c r="I465" s="2" t="str">
        <f>IF(Names!$B465="M","his",IF(Names!$B465="F","her","their"))</f>
        <v>her</v>
      </c>
    </row>
    <row r="466" ht="14.25" customHeight="1">
      <c r="A466" s="2">
        <v>465.0</v>
      </c>
      <c r="B466" s="2" t="s">
        <v>447</v>
      </c>
      <c r="C466" s="2" t="s">
        <v>1083</v>
      </c>
      <c r="D466" s="2" t="s">
        <v>1084</v>
      </c>
      <c r="E466" s="2" t="s">
        <v>1085</v>
      </c>
      <c r="F466" s="2" t="str">
        <f>IF(Names!$B466="M","Mr.",IF(Names!$B466="F","Ms.","Mx."))</f>
        <v>Ms.</v>
      </c>
      <c r="G466" s="2" t="str">
        <f>IF(Names!$B466="M","he",IF(Names!$B466="F","she","they"))</f>
        <v>she</v>
      </c>
      <c r="H466" s="2" t="str">
        <f>IF(Names!$B466="M","him",IF(Names!$B466="F","her","them"))</f>
        <v>her</v>
      </c>
      <c r="I466" s="2" t="str">
        <f>IF(Names!$B466="M","his",IF(Names!$B466="F","her","their"))</f>
        <v>her</v>
      </c>
    </row>
    <row r="467" ht="14.25" customHeight="1">
      <c r="A467" s="2">
        <v>466.0</v>
      </c>
      <c r="B467" s="2" t="s">
        <v>447</v>
      </c>
      <c r="C467" s="2" t="s">
        <v>1086</v>
      </c>
      <c r="D467" s="2" t="s">
        <v>1087</v>
      </c>
      <c r="E467" s="2" t="s">
        <v>1088</v>
      </c>
      <c r="F467" s="2" t="str">
        <f>IF(Names!$B467="M","Mr.",IF(Names!$B467="F","Ms.","Mx."))</f>
        <v>Ms.</v>
      </c>
      <c r="G467" s="2" t="str">
        <f>IF(Names!$B467="M","he",IF(Names!$B467="F","she","they"))</f>
        <v>she</v>
      </c>
      <c r="H467" s="2" t="str">
        <f>IF(Names!$B467="M","him",IF(Names!$B467="F","her","them"))</f>
        <v>her</v>
      </c>
      <c r="I467" s="2" t="str">
        <f>IF(Names!$B467="M","his",IF(Names!$B467="F","her","their"))</f>
        <v>her</v>
      </c>
    </row>
    <row r="468" ht="14.25" customHeight="1">
      <c r="A468" s="2">
        <v>467.0</v>
      </c>
      <c r="B468" s="2" t="s">
        <v>48</v>
      </c>
      <c r="C468" s="2" t="s">
        <v>1089</v>
      </c>
      <c r="D468" s="2" t="s">
        <v>1090</v>
      </c>
      <c r="E468" s="2" t="s">
        <v>1091</v>
      </c>
      <c r="F468" s="2" t="str">
        <f>IF(Names!$B468="M","Mr.",IF(Names!$B468="F","Ms.","Mx."))</f>
        <v>Mx.</v>
      </c>
      <c r="G468" s="2" t="str">
        <f>IF(Names!$B468="M","he",IF(Names!$B468="F","she","they"))</f>
        <v>they</v>
      </c>
      <c r="H468" s="2" t="str">
        <f>IF(Names!$B468="M","him",IF(Names!$B468="F","her","them"))</f>
        <v>them</v>
      </c>
      <c r="I468" s="2" t="str">
        <f>IF(Names!$B468="M","his",IF(Names!$B468="F","her","their"))</f>
        <v>their</v>
      </c>
    </row>
    <row r="469" ht="14.25" customHeight="1">
      <c r="A469" s="2">
        <v>468.0</v>
      </c>
      <c r="B469" s="2" t="s">
        <v>447</v>
      </c>
      <c r="C469" s="2" t="s">
        <v>1092</v>
      </c>
      <c r="D469" s="2" t="s">
        <v>1093</v>
      </c>
      <c r="E469" s="2" t="s">
        <v>1094</v>
      </c>
      <c r="F469" s="2" t="str">
        <f>IF(Names!$B469="M","Mr.",IF(Names!$B469="F","Ms.","Mx."))</f>
        <v>Ms.</v>
      </c>
      <c r="G469" s="2" t="str">
        <f>IF(Names!$B469="M","he",IF(Names!$B469="F","she","they"))</f>
        <v>she</v>
      </c>
      <c r="H469" s="2" t="str">
        <f>IF(Names!$B469="M","him",IF(Names!$B469="F","her","them"))</f>
        <v>her</v>
      </c>
      <c r="I469" s="2" t="str">
        <f>IF(Names!$B469="M","his",IF(Names!$B469="F","her","their"))</f>
        <v>her</v>
      </c>
    </row>
    <row r="470" ht="14.25" customHeight="1">
      <c r="A470" s="2">
        <v>469.0</v>
      </c>
      <c r="B470" s="2" t="s">
        <v>447</v>
      </c>
      <c r="C470" s="2" t="s">
        <v>1095</v>
      </c>
      <c r="D470" s="2" t="s">
        <v>1096</v>
      </c>
      <c r="E470" s="2" t="s">
        <v>1097</v>
      </c>
      <c r="F470" s="2" t="str">
        <f>IF(Names!$B470="M","Mr.",IF(Names!$B470="F","Ms.","Mx."))</f>
        <v>Ms.</v>
      </c>
      <c r="G470" s="2" t="str">
        <f>IF(Names!$B470="M","he",IF(Names!$B470="F","she","they"))</f>
        <v>she</v>
      </c>
      <c r="H470" s="2" t="str">
        <f>IF(Names!$B470="M","him",IF(Names!$B470="F","her","them"))</f>
        <v>her</v>
      </c>
      <c r="I470" s="2" t="str">
        <f>IF(Names!$B470="M","his",IF(Names!$B470="F","her","their"))</f>
        <v>her</v>
      </c>
    </row>
    <row r="471" ht="14.25" customHeight="1">
      <c r="A471" s="2">
        <v>470.0</v>
      </c>
      <c r="B471" s="2" t="s">
        <v>447</v>
      </c>
      <c r="C471" s="2" t="s">
        <v>1098</v>
      </c>
      <c r="D471" s="2" t="s">
        <v>1099</v>
      </c>
      <c r="E471" s="2" t="s">
        <v>1100</v>
      </c>
      <c r="F471" s="2" t="str">
        <f>IF(Names!$B471="M","Mr.",IF(Names!$B471="F","Ms.","Mx."))</f>
        <v>Ms.</v>
      </c>
      <c r="G471" s="2" t="str">
        <f>IF(Names!$B471="M","he",IF(Names!$B471="F","she","they"))</f>
        <v>she</v>
      </c>
      <c r="H471" s="2" t="str">
        <f>IF(Names!$B471="M","him",IF(Names!$B471="F","her","them"))</f>
        <v>her</v>
      </c>
      <c r="I471" s="2" t="str">
        <f>IF(Names!$B471="M","his",IF(Names!$B471="F","her","their"))</f>
        <v>her</v>
      </c>
    </row>
    <row r="472" ht="14.25" customHeight="1">
      <c r="A472" s="2">
        <v>471.0</v>
      </c>
      <c r="B472" s="2" t="s">
        <v>26</v>
      </c>
      <c r="C472" s="2" t="s">
        <v>1101</v>
      </c>
      <c r="D472" s="2" t="s">
        <v>1102</v>
      </c>
      <c r="E472" s="2" t="s">
        <v>1103</v>
      </c>
      <c r="F472" s="2" t="str">
        <f>IF(Names!$B472="M","Mr.",IF(Names!$B472="F","Ms.","Mx."))</f>
        <v>Mr.</v>
      </c>
      <c r="G472" s="2" t="str">
        <f>IF(Names!$B472="M","he",IF(Names!$B472="F","she","they"))</f>
        <v>he</v>
      </c>
      <c r="H472" s="2" t="str">
        <f>IF(Names!$B472="M","him",IF(Names!$B472="F","her","them"))</f>
        <v>him</v>
      </c>
      <c r="I472" s="2" t="str">
        <f>IF(Names!$B472="M","his",IF(Names!$B472="F","her","their"))</f>
        <v>his</v>
      </c>
    </row>
    <row r="473" ht="14.25" customHeight="1">
      <c r="A473" s="2">
        <v>472.0</v>
      </c>
      <c r="B473" s="2" t="s">
        <v>26</v>
      </c>
      <c r="C473" s="2" t="s">
        <v>1104</v>
      </c>
      <c r="D473" s="2" t="s">
        <v>1105</v>
      </c>
      <c r="E473" s="2" t="s">
        <v>1106</v>
      </c>
      <c r="F473" s="2" t="str">
        <f>IF(Names!$B473="M","Mr.",IF(Names!$B473="F","Ms.","Mx."))</f>
        <v>Mr.</v>
      </c>
      <c r="G473" s="2" t="str">
        <f>IF(Names!$B473="M","he",IF(Names!$B473="F","she","they"))</f>
        <v>he</v>
      </c>
      <c r="H473" s="2" t="str">
        <f>IF(Names!$B473="M","him",IF(Names!$B473="F","her","them"))</f>
        <v>him</v>
      </c>
      <c r="I473" s="2" t="str">
        <f>IF(Names!$B473="M","his",IF(Names!$B473="F","her","their"))</f>
        <v>his</v>
      </c>
    </row>
    <row r="474" ht="14.25" customHeight="1">
      <c r="A474" s="2">
        <v>473.0</v>
      </c>
      <c r="B474" s="2" t="s">
        <v>26</v>
      </c>
      <c r="C474" s="2" t="s">
        <v>1107</v>
      </c>
      <c r="D474" s="2" t="s">
        <v>156</v>
      </c>
      <c r="E474" s="2" t="s">
        <v>53</v>
      </c>
      <c r="F474" s="2" t="str">
        <f>IF(Names!$B474="M","Mr.",IF(Names!$B474="F","Ms.","Mx."))</f>
        <v>Mr.</v>
      </c>
      <c r="G474" s="2" t="str">
        <f>IF(Names!$B474="M","he",IF(Names!$B474="F","she","they"))</f>
        <v>he</v>
      </c>
      <c r="H474" s="2" t="str">
        <f>IF(Names!$B474="M","him",IF(Names!$B474="F","her","them"))</f>
        <v>him</v>
      </c>
      <c r="I474" s="2" t="str">
        <f>IF(Names!$B474="M","his",IF(Names!$B474="F","her","their"))</f>
        <v>his</v>
      </c>
    </row>
    <row r="475" ht="14.25" customHeight="1">
      <c r="A475" s="2">
        <v>474.0</v>
      </c>
      <c r="B475" s="2" t="s">
        <v>26</v>
      </c>
      <c r="C475" s="2" t="s">
        <v>1108</v>
      </c>
      <c r="D475" s="2" t="s">
        <v>62</v>
      </c>
      <c r="E475" s="2" t="s">
        <v>1109</v>
      </c>
      <c r="F475" s="2" t="str">
        <f>IF(Names!$B475="M","Mr.",IF(Names!$B475="F","Ms.","Mx."))</f>
        <v>Mr.</v>
      </c>
      <c r="G475" s="2" t="str">
        <f>IF(Names!$B475="M","he",IF(Names!$B475="F","she","they"))</f>
        <v>he</v>
      </c>
      <c r="H475" s="2" t="str">
        <f>IF(Names!$B475="M","him",IF(Names!$B475="F","her","them"))</f>
        <v>him</v>
      </c>
      <c r="I475" s="2" t="str">
        <f>IF(Names!$B475="M","his",IF(Names!$B475="F","her","their"))</f>
        <v>his</v>
      </c>
    </row>
    <row r="476" ht="14.25" customHeight="1">
      <c r="A476" s="2">
        <v>475.0</v>
      </c>
      <c r="B476" s="2" t="s">
        <v>26</v>
      </c>
      <c r="C476" s="2" t="s">
        <v>1110</v>
      </c>
      <c r="D476" s="2" t="s">
        <v>1111</v>
      </c>
      <c r="E476" s="2" t="s">
        <v>846</v>
      </c>
      <c r="F476" s="2" t="str">
        <f>IF(Names!$B476="M","Mr.",IF(Names!$B476="F","Ms.","Mx."))</f>
        <v>Mr.</v>
      </c>
      <c r="G476" s="2" t="str">
        <f>IF(Names!$B476="M","he",IF(Names!$B476="F","she","they"))</f>
        <v>he</v>
      </c>
      <c r="H476" s="2" t="str">
        <f>IF(Names!$B476="M","him",IF(Names!$B476="F","her","them"))</f>
        <v>him</v>
      </c>
      <c r="I476" s="2" t="str">
        <f>IF(Names!$B476="M","his",IF(Names!$B476="F","her","their"))</f>
        <v>his</v>
      </c>
    </row>
    <row r="477" ht="14.25" customHeight="1">
      <c r="A477" s="2">
        <v>476.0</v>
      </c>
      <c r="B477" s="2" t="s">
        <v>26</v>
      </c>
      <c r="C477" s="2" t="s">
        <v>1112</v>
      </c>
      <c r="D477" s="2" t="s">
        <v>1113</v>
      </c>
      <c r="E477" s="2" t="s">
        <v>195</v>
      </c>
      <c r="F477" s="2" t="str">
        <f>IF(Names!$B477="M","Mr.",IF(Names!$B477="F","Ms.","Mx."))</f>
        <v>Mr.</v>
      </c>
      <c r="G477" s="2" t="str">
        <f>IF(Names!$B477="M","he",IF(Names!$B477="F","she","they"))</f>
        <v>he</v>
      </c>
      <c r="H477" s="2" t="str">
        <f>IF(Names!$B477="M","him",IF(Names!$B477="F","her","them"))</f>
        <v>him</v>
      </c>
      <c r="I477" s="2" t="str">
        <f>IF(Names!$B477="M","his",IF(Names!$B477="F","her","their"))</f>
        <v>his</v>
      </c>
    </row>
    <row r="478" ht="14.25" customHeight="1">
      <c r="A478" s="2">
        <v>477.0</v>
      </c>
      <c r="B478" s="2" t="s">
        <v>26</v>
      </c>
      <c r="C478" s="2" t="s">
        <v>1114</v>
      </c>
      <c r="D478" s="2" t="s">
        <v>1115</v>
      </c>
      <c r="E478" s="2" t="s">
        <v>1116</v>
      </c>
      <c r="F478" s="2" t="str">
        <f>IF(Names!$B478="M","Mr.",IF(Names!$B478="F","Ms.","Mx."))</f>
        <v>Mr.</v>
      </c>
      <c r="G478" s="2" t="str">
        <f>IF(Names!$B478="M","he",IF(Names!$B478="F","she","they"))</f>
        <v>he</v>
      </c>
      <c r="H478" s="2" t="str">
        <f>IF(Names!$B478="M","him",IF(Names!$B478="F","her","them"))</f>
        <v>him</v>
      </c>
      <c r="I478" s="2" t="str">
        <f>IF(Names!$B478="M","his",IF(Names!$B478="F","her","their"))</f>
        <v>his</v>
      </c>
    </row>
    <row r="479" ht="14.25" customHeight="1">
      <c r="A479" s="2">
        <v>478.0</v>
      </c>
      <c r="B479" s="2" t="s">
        <v>26</v>
      </c>
      <c r="C479" s="2" t="s">
        <v>1117</v>
      </c>
      <c r="D479" s="2" t="s">
        <v>1118</v>
      </c>
      <c r="E479" s="2" t="s">
        <v>41</v>
      </c>
      <c r="F479" s="2" t="str">
        <f>IF(Names!$B479="M","Mr.",IF(Names!$B479="F","Ms.","Mx."))</f>
        <v>Mr.</v>
      </c>
      <c r="G479" s="2" t="str">
        <f>IF(Names!$B479="M","he",IF(Names!$B479="F","she","they"))</f>
        <v>he</v>
      </c>
      <c r="H479" s="2" t="str">
        <f>IF(Names!$B479="M","him",IF(Names!$B479="F","her","them"))</f>
        <v>him</v>
      </c>
      <c r="I479" s="2" t="str">
        <f>IF(Names!$B479="M","his",IF(Names!$B479="F","her","their"))</f>
        <v>his</v>
      </c>
    </row>
    <row r="480" ht="14.25" customHeight="1">
      <c r="A480" s="2">
        <v>479.0</v>
      </c>
      <c r="B480" s="2" t="s">
        <v>26</v>
      </c>
      <c r="C480" s="2" t="s">
        <v>1119</v>
      </c>
      <c r="D480" s="2" t="s">
        <v>67</v>
      </c>
      <c r="E480" s="2" t="s">
        <v>110</v>
      </c>
      <c r="F480" s="2" t="str">
        <f>IF(Names!$B480="M","Mr.",IF(Names!$B480="F","Ms.","Mx."))</f>
        <v>Mr.</v>
      </c>
      <c r="G480" s="2" t="str">
        <f>IF(Names!$B480="M","he",IF(Names!$B480="F","she","they"))</f>
        <v>he</v>
      </c>
      <c r="H480" s="2" t="str">
        <f>IF(Names!$B480="M","him",IF(Names!$B480="F","her","them"))</f>
        <v>him</v>
      </c>
      <c r="I480" s="2" t="str">
        <f>IF(Names!$B480="M","his",IF(Names!$B480="F","her","their"))</f>
        <v>his</v>
      </c>
    </row>
    <row r="481" ht="14.25" customHeight="1">
      <c r="A481" s="2">
        <v>480.0</v>
      </c>
      <c r="B481" s="2" t="s">
        <v>26</v>
      </c>
      <c r="C481" s="2" t="s">
        <v>1120</v>
      </c>
      <c r="D481" s="2" t="s">
        <v>177</v>
      </c>
      <c r="E481" s="2" t="s">
        <v>539</v>
      </c>
      <c r="F481" s="2" t="str">
        <f>IF(Names!$B481="M","Mr.",IF(Names!$B481="F","Ms.","Mx."))</f>
        <v>Mr.</v>
      </c>
      <c r="G481" s="2" t="str">
        <f>IF(Names!$B481="M","he",IF(Names!$B481="F","she","they"))</f>
        <v>he</v>
      </c>
      <c r="H481" s="2" t="str">
        <f>IF(Names!$B481="M","him",IF(Names!$B481="F","her","them"))</f>
        <v>him</v>
      </c>
      <c r="I481" s="2" t="str">
        <f>IF(Names!$B481="M","his",IF(Names!$B481="F","her","their"))</f>
        <v>his</v>
      </c>
    </row>
    <row r="482" ht="14.25" customHeight="1">
      <c r="A482" s="2">
        <v>481.0</v>
      </c>
      <c r="B482" s="2" t="s">
        <v>48</v>
      </c>
      <c r="C482" s="2" t="s">
        <v>1121</v>
      </c>
      <c r="D482" s="2" t="s">
        <v>1122</v>
      </c>
      <c r="E482" s="2" t="s">
        <v>849</v>
      </c>
      <c r="F482" s="2" t="str">
        <f>IF(Names!$B482="M","Mr.",IF(Names!$B482="F","Ms.","Mx."))</f>
        <v>Mx.</v>
      </c>
      <c r="G482" s="2" t="str">
        <f>IF(Names!$B482="M","he",IF(Names!$B482="F","she","they"))</f>
        <v>they</v>
      </c>
      <c r="H482" s="2" t="str">
        <f>IF(Names!$B482="M","him",IF(Names!$B482="F","her","them"))</f>
        <v>them</v>
      </c>
      <c r="I482" s="2" t="str">
        <f>IF(Names!$B482="M","his",IF(Names!$B482="F","her","their"))</f>
        <v>their</v>
      </c>
    </row>
    <row r="483" ht="14.25" customHeight="1">
      <c r="A483" s="2">
        <v>482.0</v>
      </c>
      <c r="B483" s="2" t="s">
        <v>447</v>
      </c>
      <c r="C483" s="2" t="s">
        <v>1123</v>
      </c>
      <c r="D483" s="2" t="s">
        <v>1124</v>
      </c>
      <c r="E483" s="2" t="s">
        <v>566</v>
      </c>
      <c r="F483" s="2" t="str">
        <f>IF(Names!$B483="M","Mr.",IF(Names!$B483="F","Ms.","Mx."))</f>
        <v>Ms.</v>
      </c>
      <c r="G483" s="2" t="str">
        <f>IF(Names!$B483="M","he",IF(Names!$B483="F","she","they"))</f>
        <v>she</v>
      </c>
      <c r="H483" s="2" t="str">
        <f>IF(Names!$B483="M","him",IF(Names!$B483="F","her","them"))</f>
        <v>her</v>
      </c>
      <c r="I483" s="2" t="str">
        <f>IF(Names!$B483="M","his",IF(Names!$B483="F","her","their"))</f>
        <v>her</v>
      </c>
    </row>
    <row r="484" ht="14.25" customHeight="1">
      <c r="A484" s="2">
        <v>483.0</v>
      </c>
      <c r="B484" s="2" t="s">
        <v>447</v>
      </c>
      <c r="C484" s="2" t="s">
        <v>1125</v>
      </c>
      <c r="D484" s="2" t="s">
        <v>1126</v>
      </c>
      <c r="E484" s="2" t="s">
        <v>1127</v>
      </c>
      <c r="F484" s="2" t="str">
        <f>IF(Names!$B484="M","Mr.",IF(Names!$B484="F","Ms.","Mx."))</f>
        <v>Ms.</v>
      </c>
      <c r="G484" s="2" t="str">
        <f>IF(Names!$B484="M","he",IF(Names!$B484="F","she","they"))</f>
        <v>she</v>
      </c>
      <c r="H484" s="2" t="str">
        <f>IF(Names!$B484="M","him",IF(Names!$B484="F","her","them"))</f>
        <v>her</v>
      </c>
      <c r="I484" s="2" t="str">
        <f>IF(Names!$B484="M","his",IF(Names!$B484="F","her","their"))</f>
        <v>her</v>
      </c>
    </row>
    <row r="485" ht="14.25" customHeight="1">
      <c r="A485" s="2">
        <v>484.0</v>
      </c>
      <c r="B485" s="2" t="s">
        <v>447</v>
      </c>
      <c r="C485" s="2" t="s">
        <v>1128</v>
      </c>
      <c r="D485" s="2" t="s">
        <v>1129</v>
      </c>
      <c r="E485" s="2" t="s">
        <v>1130</v>
      </c>
      <c r="F485" s="2" t="str">
        <f>IF(Names!$B485="M","Mr.",IF(Names!$B485="F","Ms.","Mx."))</f>
        <v>Ms.</v>
      </c>
      <c r="G485" s="2" t="str">
        <f>IF(Names!$B485="M","he",IF(Names!$B485="F","she","they"))</f>
        <v>she</v>
      </c>
      <c r="H485" s="2" t="str">
        <f>IF(Names!$B485="M","him",IF(Names!$B485="F","her","them"))</f>
        <v>her</v>
      </c>
      <c r="I485" s="2" t="str">
        <f>IF(Names!$B485="M","his",IF(Names!$B485="F","her","their"))</f>
        <v>her</v>
      </c>
    </row>
    <row r="486" ht="14.25" customHeight="1">
      <c r="A486" s="2">
        <v>485.0</v>
      </c>
      <c r="B486" s="2" t="s">
        <v>447</v>
      </c>
      <c r="C486" s="2" t="s">
        <v>1131</v>
      </c>
      <c r="D486" s="2" t="s">
        <v>1132</v>
      </c>
      <c r="E486" s="2" t="s">
        <v>1106</v>
      </c>
      <c r="F486" s="2" t="str">
        <f>IF(Names!$B486="M","Mr.",IF(Names!$B486="F","Ms.","Mx."))</f>
        <v>Ms.</v>
      </c>
      <c r="G486" s="2" t="str">
        <f>IF(Names!$B486="M","he",IF(Names!$B486="F","she","they"))</f>
        <v>she</v>
      </c>
      <c r="H486" s="2" t="str">
        <f>IF(Names!$B486="M","him",IF(Names!$B486="F","her","them"))</f>
        <v>her</v>
      </c>
      <c r="I486" s="2" t="str">
        <f>IF(Names!$B486="M","his",IF(Names!$B486="F","her","their"))</f>
        <v>her</v>
      </c>
    </row>
    <row r="487" ht="14.25" customHeight="1">
      <c r="A487" s="2">
        <v>486.0</v>
      </c>
      <c r="B487" s="2" t="s">
        <v>447</v>
      </c>
      <c r="C487" s="2" t="s">
        <v>1133</v>
      </c>
      <c r="D487" s="2" t="s">
        <v>1134</v>
      </c>
      <c r="E487" s="2" t="s">
        <v>1135</v>
      </c>
      <c r="F487" s="2" t="str">
        <f>IF(Names!$B487="M","Mr.",IF(Names!$B487="F","Ms.","Mx."))</f>
        <v>Ms.</v>
      </c>
      <c r="G487" s="2" t="str">
        <f>IF(Names!$B487="M","he",IF(Names!$B487="F","she","they"))</f>
        <v>she</v>
      </c>
      <c r="H487" s="2" t="str">
        <f>IF(Names!$B487="M","him",IF(Names!$B487="F","her","them"))</f>
        <v>her</v>
      </c>
      <c r="I487" s="2" t="str">
        <f>IF(Names!$B487="M","his",IF(Names!$B487="F","her","their"))</f>
        <v>her</v>
      </c>
    </row>
    <row r="488" ht="14.25" customHeight="1">
      <c r="A488" s="2">
        <v>487.0</v>
      </c>
      <c r="B488" s="2" t="s">
        <v>447</v>
      </c>
      <c r="C488" s="2" t="s">
        <v>1136</v>
      </c>
      <c r="D488" s="2" t="s">
        <v>1137</v>
      </c>
      <c r="E488" s="2" t="s">
        <v>1138</v>
      </c>
      <c r="F488" s="2" t="str">
        <f>IF(Names!$B488="M","Mr.",IF(Names!$B488="F","Ms.","Mx."))</f>
        <v>Ms.</v>
      </c>
      <c r="G488" s="2" t="str">
        <f>IF(Names!$B488="M","he",IF(Names!$B488="F","she","they"))</f>
        <v>she</v>
      </c>
      <c r="H488" s="2" t="str">
        <f>IF(Names!$B488="M","him",IF(Names!$B488="F","her","them"))</f>
        <v>her</v>
      </c>
      <c r="I488" s="2" t="str">
        <f>IF(Names!$B488="M","his",IF(Names!$B488="F","her","their"))</f>
        <v>her</v>
      </c>
    </row>
    <row r="489" ht="14.25" customHeight="1">
      <c r="A489" s="2">
        <v>488.0</v>
      </c>
      <c r="B489" s="2" t="s">
        <v>447</v>
      </c>
      <c r="C489" s="2" t="s">
        <v>1139</v>
      </c>
      <c r="D489" s="2" t="s">
        <v>1140</v>
      </c>
      <c r="E489" s="2" t="s">
        <v>1141</v>
      </c>
      <c r="F489" s="2" t="str">
        <f>IF(Names!$B489="M","Mr.",IF(Names!$B489="F","Ms.","Mx."))</f>
        <v>Ms.</v>
      </c>
      <c r="G489" s="2" t="str">
        <f>IF(Names!$B489="M","he",IF(Names!$B489="F","she","they"))</f>
        <v>she</v>
      </c>
      <c r="H489" s="2" t="str">
        <f>IF(Names!$B489="M","him",IF(Names!$B489="F","her","them"))</f>
        <v>her</v>
      </c>
      <c r="I489" s="2" t="str">
        <f>IF(Names!$B489="M","his",IF(Names!$B489="F","her","their"))</f>
        <v>her</v>
      </c>
    </row>
    <row r="490" ht="14.25" customHeight="1">
      <c r="A490" s="2">
        <v>489.0</v>
      </c>
      <c r="B490" s="2" t="s">
        <v>447</v>
      </c>
      <c r="C490" s="2" t="s">
        <v>1142</v>
      </c>
      <c r="D490" s="2" t="s">
        <v>1143</v>
      </c>
      <c r="E490" s="2" t="s">
        <v>164</v>
      </c>
      <c r="F490" s="2" t="str">
        <f>IF(Names!$B490="M","Mr.",IF(Names!$B490="F","Ms.","Mx."))</f>
        <v>Ms.</v>
      </c>
      <c r="G490" s="2" t="str">
        <f>IF(Names!$B490="M","he",IF(Names!$B490="F","she","they"))</f>
        <v>she</v>
      </c>
      <c r="H490" s="2" t="str">
        <f>IF(Names!$B490="M","him",IF(Names!$B490="F","her","them"))</f>
        <v>her</v>
      </c>
      <c r="I490" s="2" t="str">
        <f>IF(Names!$B490="M","his",IF(Names!$B490="F","her","their"))</f>
        <v>her</v>
      </c>
    </row>
    <row r="491" ht="14.25" customHeight="1">
      <c r="A491" s="2">
        <v>490.0</v>
      </c>
      <c r="B491" s="2" t="s">
        <v>447</v>
      </c>
      <c r="C491" s="2" t="s">
        <v>1144</v>
      </c>
      <c r="D491" s="2" t="s">
        <v>1145</v>
      </c>
      <c r="E491" s="2" t="s">
        <v>658</v>
      </c>
      <c r="F491" s="2" t="str">
        <f>IF(Names!$B491="M","Mr.",IF(Names!$B491="F","Ms.","Mx."))</f>
        <v>Ms.</v>
      </c>
      <c r="G491" s="2" t="str">
        <f>IF(Names!$B491="M","he",IF(Names!$B491="F","she","they"))</f>
        <v>she</v>
      </c>
      <c r="H491" s="2" t="str">
        <f>IF(Names!$B491="M","him",IF(Names!$B491="F","her","them"))</f>
        <v>her</v>
      </c>
      <c r="I491" s="2" t="str">
        <f>IF(Names!$B491="M","his",IF(Names!$B491="F","her","their"))</f>
        <v>her</v>
      </c>
    </row>
    <row r="492" ht="14.25" customHeight="1">
      <c r="A492" s="2">
        <v>491.0</v>
      </c>
      <c r="B492" s="2" t="s">
        <v>26</v>
      </c>
      <c r="C492" s="2" t="s">
        <v>1146</v>
      </c>
      <c r="D492" s="2" t="s">
        <v>1147</v>
      </c>
      <c r="E492" s="2" t="s">
        <v>173</v>
      </c>
      <c r="F492" s="2" t="str">
        <f>IF(Names!$B492="M","Mr.",IF(Names!$B492="F","Ms.","Mx."))</f>
        <v>Mr.</v>
      </c>
      <c r="G492" s="2" t="str">
        <f>IF(Names!$B492="M","he",IF(Names!$B492="F","she","they"))</f>
        <v>he</v>
      </c>
      <c r="H492" s="2" t="str">
        <f>IF(Names!$B492="M","him",IF(Names!$B492="F","her","them"))</f>
        <v>him</v>
      </c>
      <c r="I492" s="2" t="str">
        <f>IF(Names!$B492="M","his",IF(Names!$B492="F","her","their"))</f>
        <v>his</v>
      </c>
    </row>
    <row r="493" ht="14.25" customHeight="1">
      <c r="A493" s="2">
        <v>492.0</v>
      </c>
      <c r="B493" s="2" t="s">
        <v>26</v>
      </c>
      <c r="C493" s="2" t="s">
        <v>1148</v>
      </c>
      <c r="D493" s="2" t="s">
        <v>43</v>
      </c>
      <c r="E493" s="2" t="s">
        <v>1149</v>
      </c>
      <c r="F493" s="2" t="str">
        <f>IF(Names!$B493="M","Mr.",IF(Names!$B493="F","Ms.","Mx."))</f>
        <v>Mr.</v>
      </c>
      <c r="G493" s="2" t="str">
        <f>IF(Names!$B493="M","he",IF(Names!$B493="F","she","they"))</f>
        <v>he</v>
      </c>
      <c r="H493" s="2" t="str">
        <f>IF(Names!$B493="M","him",IF(Names!$B493="F","her","them"))</f>
        <v>him</v>
      </c>
      <c r="I493" s="2" t="str">
        <f>IF(Names!$B493="M","his",IF(Names!$B493="F","her","their"))</f>
        <v>his</v>
      </c>
    </row>
    <row r="494" ht="14.25" customHeight="1">
      <c r="A494" s="2">
        <v>493.0</v>
      </c>
      <c r="B494" s="2" t="s">
        <v>26</v>
      </c>
      <c r="C494" s="2" t="s">
        <v>1150</v>
      </c>
      <c r="D494" s="2" t="s">
        <v>1151</v>
      </c>
      <c r="E494" s="2" t="s">
        <v>1152</v>
      </c>
      <c r="F494" s="2" t="str">
        <f>IF(Names!$B494="M","Mr.",IF(Names!$B494="F","Ms.","Mx."))</f>
        <v>Mr.</v>
      </c>
      <c r="G494" s="2" t="str">
        <f>IF(Names!$B494="M","he",IF(Names!$B494="F","she","they"))</f>
        <v>he</v>
      </c>
      <c r="H494" s="2" t="str">
        <f>IF(Names!$B494="M","him",IF(Names!$B494="F","her","them"))</f>
        <v>him</v>
      </c>
      <c r="I494" s="2" t="str">
        <f>IF(Names!$B494="M","his",IF(Names!$B494="F","her","their"))</f>
        <v>his</v>
      </c>
    </row>
    <row r="495" ht="14.25" customHeight="1">
      <c r="A495" s="2">
        <v>494.0</v>
      </c>
      <c r="B495" s="2" t="s">
        <v>26</v>
      </c>
      <c r="C495" s="2" t="s">
        <v>1153</v>
      </c>
      <c r="D495" s="2" t="s">
        <v>153</v>
      </c>
      <c r="E495" s="2" t="s">
        <v>162</v>
      </c>
      <c r="F495" s="2" t="str">
        <f>IF(Names!$B495="M","Mr.",IF(Names!$B495="F","Ms.","Mx."))</f>
        <v>Mr.</v>
      </c>
      <c r="G495" s="2" t="str">
        <f>IF(Names!$B495="M","he",IF(Names!$B495="F","she","they"))</f>
        <v>he</v>
      </c>
      <c r="H495" s="2" t="str">
        <f>IF(Names!$B495="M","him",IF(Names!$B495="F","her","them"))</f>
        <v>him</v>
      </c>
      <c r="I495" s="2" t="str">
        <f>IF(Names!$B495="M","his",IF(Names!$B495="F","her","their"))</f>
        <v>his</v>
      </c>
    </row>
    <row r="496" ht="14.25" customHeight="1">
      <c r="A496" s="2">
        <v>495.0</v>
      </c>
      <c r="B496" s="2" t="s">
        <v>26</v>
      </c>
      <c r="C496" s="2" t="s">
        <v>1154</v>
      </c>
      <c r="D496" s="2" t="s">
        <v>1155</v>
      </c>
      <c r="E496" s="2" t="s">
        <v>634</v>
      </c>
      <c r="F496" s="2" t="str">
        <f>IF(Names!$B496="M","Mr.",IF(Names!$B496="F","Ms.","Mx."))</f>
        <v>Mr.</v>
      </c>
      <c r="G496" s="2" t="str">
        <f>IF(Names!$B496="M","he",IF(Names!$B496="F","she","they"))</f>
        <v>he</v>
      </c>
      <c r="H496" s="2" t="str">
        <f>IF(Names!$B496="M","him",IF(Names!$B496="F","her","them"))</f>
        <v>him</v>
      </c>
      <c r="I496" s="2" t="str">
        <f>IF(Names!$B496="M","his",IF(Names!$B496="F","her","their"))</f>
        <v>his</v>
      </c>
    </row>
    <row r="497" ht="14.25" customHeight="1">
      <c r="A497" s="2">
        <v>496.0</v>
      </c>
      <c r="B497" s="2" t="s">
        <v>26</v>
      </c>
      <c r="C497" s="2" t="s">
        <v>1156</v>
      </c>
      <c r="D497" s="2" t="s">
        <v>1157</v>
      </c>
      <c r="E497" s="2" t="s">
        <v>1158</v>
      </c>
      <c r="F497" s="2" t="str">
        <f>IF(Names!$B497="M","Mr.",IF(Names!$B497="F","Ms.","Mx."))</f>
        <v>Mr.</v>
      </c>
      <c r="G497" s="2" t="str">
        <f>IF(Names!$B497="M","he",IF(Names!$B497="F","she","they"))</f>
        <v>he</v>
      </c>
      <c r="H497" s="2" t="str">
        <f>IF(Names!$B497="M","him",IF(Names!$B497="F","her","them"))</f>
        <v>him</v>
      </c>
      <c r="I497" s="2" t="str">
        <f>IF(Names!$B497="M","his",IF(Names!$B497="F","her","their"))</f>
        <v>his</v>
      </c>
    </row>
    <row r="498" ht="14.25" customHeight="1">
      <c r="A498" s="2">
        <v>497.0</v>
      </c>
      <c r="B498" s="2" t="s">
        <v>26</v>
      </c>
      <c r="C498" s="2" t="s">
        <v>1159</v>
      </c>
      <c r="D498" s="2" t="s">
        <v>1160</v>
      </c>
      <c r="E498" s="2" t="s">
        <v>190</v>
      </c>
      <c r="F498" s="2" t="str">
        <f>IF(Names!$B498="M","Mr.",IF(Names!$B498="F","Ms.","Mx."))</f>
        <v>Mr.</v>
      </c>
      <c r="G498" s="2" t="str">
        <f>IF(Names!$B498="M","he",IF(Names!$B498="F","she","they"))</f>
        <v>he</v>
      </c>
      <c r="H498" s="2" t="str">
        <f>IF(Names!$B498="M","him",IF(Names!$B498="F","her","them"))</f>
        <v>him</v>
      </c>
      <c r="I498" s="2" t="str">
        <f>IF(Names!$B498="M","his",IF(Names!$B498="F","her","their"))</f>
        <v>his</v>
      </c>
    </row>
    <row r="499" ht="14.25" customHeight="1">
      <c r="A499" s="2">
        <v>498.0</v>
      </c>
      <c r="B499" s="2" t="s">
        <v>26</v>
      </c>
      <c r="C499" s="2" t="s">
        <v>1161</v>
      </c>
      <c r="D499" s="2" t="s">
        <v>1162</v>
      </c>
      <c r="E499" s="2" t="s">
        <v>1163</v>
      </c>
      <c r="F499" s="2" t="str">
        <f>IF(Names!$B499="M","Mr.",IF(Names!$B499="F","Ms.","Mx."))</f>
        <v>Mr.</v>
      </c>
      <c r="G499" s="2" t="str">
        <f>IF(Names!$B499="M","he",IF(Names!$B499="F","she","they"))</f>
        <v>he</v>
      </c>
      <c r="H499" s="2" t="str">
        <f>IF(Names!$B499="M","him",IF(Names!$B499="F","her","them"))</f>
        <v>him</v>
      </c>
      <c r="I499" s="2" t="str">
        <f>IF(Names!$B499="M","his",IF(Names!$B499="F","her","their"))</f>
        <v>his</v>
      </c>
    </row>
    <row r="500" ht="14.25" customHeight="1">
      <c r="A500" s="2">
        <v>499.0</v>
      </c>
      <c r="B500" s="2" t="s">
        <v>26</v>
      </c>
      <c r="C500" s="2" t="s">
        <v>1164</v>
      </c>
      <c r="D500" s="2" t="s">
        <v>1165</v>
      </c>
      <c r="E500" s="2" t="s">
        <v>1166</v>
      </c>
      <c r="F500" s="2" t="str">
        <f>IF(Names!$B500="M","Mr.",IF(Names!$B500="F","Ms.","Mx."))</f>
        <v>Mr.</v>
      </c>
      <c r="G500" s="2" t="str">
        <f>IF(Names!$B500="M","he",IF(Names!$B500="F","she","they"))</f>
        <v>he</v>
      </c>
      <c r="H500" s="2" t="str">
        <f>IF(Names!$B500="M","him",IF(Names!$B500="F","her","them"))</f>
        <v>him</v>
      </c>
      <c r="I500" s="2" t="str">
        <f>IF(Names!$B500="M","his",IF(Names!$B500="F","her","their"))</f>
        <v>his</v>
      </c>
    </row>
    <row r="501" ht="14.25" customHeight="1">
      <c r="A501" s="2">
        <v>500.0</v>
      </c>
      <c r="B501" s="2" t="s">
        <v>26</v>
      </c>
      <c r="C501" s="2" t="s">
        <v>1167</v>
      </c>
      <c r="D501" s="2" t="s">
        <v>1168</v>
      </c>
      <c r="E501" s="2" t="s">
        <v>869</v>
      </c>
      <c r="F501" s="2" t="str">
        <f>IF(Names!$B501="M","Mr.",IF(Names!$B501="F","Ms.","Mx."))</f>
        <v>Mr.</v>
      </c>
      <c r="G501" s="2" t="str">
        <f>IF(Names!$B501="M","he",IF(Names!$B501="F","she","they"))</f>
        <v>he</v>
      </c>
      <c r="H501" s="2" t="str">
        <f>IF(Names!$B501="M","him",IF(Names!$B501="F","her","them"))</f>
        <v>him</v>
      </c>
      <c r="I501" s="2" t="str">
        <f>IF(Names!$B501="M","his",IF(Names!$B501="F","her","their"))</f>
        <v>his</v>
      </c>
    </row>
    <row r="502" ht="14.25" customHeight="1">
      <c r="A502" s="2">
        <v>501.0</v>
      </c>
      <c r="B502" s="2" t="s">
        <v>447</v>
      </c>
      <c r="C502" s="2" t="s">
        <v>1169</v>
      </c>
      <c r="D502" s="2" t="s">
        <v>1170</v>
      </c>
      <c r="E502" s="2" t="s">
        <v>1171</v>
      </c>
      <c r="F502" s="2" t="str">
        <f>IF(Names!$B502="M","Mr.",IF(Names!$B502="F","Ms.","Mx."))</f>
        <v>Ms.</v>
      </c>
      <c r="G502" s="2" t="str">
        <f>IF(Names!$B502="M","he",IF(Names!$B502="F","she","they"))</f>
        <v>she</v>
      </c>
      <c r="H502" s="2" t="str">
        <f>IF(Names!$B502="M","him",IF(Names!$B502="F","her","them"))</f>
        <v>her</v>
      </c>
      <c r="I502" s="2" t="str">
        <f>IF(Names!$B502="M","his",IF(Names!$B502="F","her","their"))</f>
        <v>her</v>
      </c>
    </row>
    <row r="503" ht="14.25" customHeight="1">
      <c r="A503" s="2">
        <v>502.0</v>
      </c>
      <c r="B503" s="2" t="s">
        <v>447</v>
      </c>
      <c r="C503" s="2" t="s">
        <v>1172</v>
      </c>
      <c r="D503" s="2" t="s">
        <v>553</v>
      </c>
      <c r="E503" s="2" t="s">
        <v>563</v>
      </c>
      <c r="F503" s="2" t="str">
        <f>IF(Names!$B503="M","Mr.",IF(Names!$B503="F","Ms.","Mx."))</f>
        <v>Ms.</v>
      </c>
      <c r="G503" s="2" t="str">
        <f>IF(Names!$B503="M","he",IF(Names!$B503="F","she","they"))</f>
        <v>she</v>
      </c>
      <c r="H503" s="2" t="str">
        <f>IF(Names!$B503="M","him",IF(Names!$B503="F","her","them"))</f>
        <v>her</v>
      </c>
      <c r="I503" s="2" t="str">
        <f>IF(Names!$B503="M","his",IF(Names!$B503="F","her","their"))</f>
        <v>her</v>
      </c>
    </row>
    <row r="504" ht="14.25" customHeight="1">
      <c r="A504" s="2">
        <v>503.0</v>
      </c>
      <c r="B504" s="2" t="s">
        <v>447</v>
      </c>
      <c r="C504" s="2" t="s">
        <v>1173</v>
      </c>
      <c r="D504" s="2" t="s">
        <v>1174</v>
      </c>
      <c r="E504" s="2" t="s">
        <v>1175</v>
      </c>
      <c r="F504" s="2" t="str">
        <f>IF(Names!$B504="M","Mr.",IF(Names!$B504="F","Ms.","Mx."))</f>
        <v>Ms.</v>
      </c>
      <c r="G504" s="2" t="str">
        <f>IF(Names!$B504="M","he",IF(Names!$B504="F","she","they"))</f>
        <v>she</v>
      </c>
      <c r="H504" s="2" t="str">
        <f>IF(Names!$B504="M","him",IF(Names!$B504="F","her","them"))</f>
        <v>her</v>
      </c>
      <c r="I504" s="2" t="str">
        <f>IF(Names!$B504="M","his",IF(Names!$B504="F","her","their"))</f>
        <v>her</v>
      </c>
    </row>
    <row r="505" ht="14.25" customHeight="1">
      <c r="A505" s="2">
        <v>504.0</v>
      </c>
      <c r="B505" s="2" t="s">
        <v>447</v>
      </c>
      <c r="C505" s="2" t="s">
        <v>1176</v>
      </c>
      <c r="D505" s="2" t="s">
        <v>1177</v>
      </c>
      <c r="E505" s="2" t="s">
        <v>1178</v>
      </c>
      <c r="F505" s="2" t="str">
        <f>IF(Names!$B505="M","Mr.",IF(Names!$B505="F","Ms.","Mx."))</f>
        <v>Ms.</v>
      </c>
      <c r="G505" s="2" t="str">
        <f>IF(Names!$B505="M","he",IF(Names!$B505="F","she","they"))</f>
        <v>she</v>
      </c>
      <c r="H505" s="2" t="str">
        <f>IF(Names!$B505="M","him",IF(Names!$B505="F","her","them"))</f>
        <v>her</v>
      </c>
      <c r="I505" s="2" t="str">
        <f>IF(Names!$B505="M","his",IF(Names!$B505="F","her","their"))</f>
        <v>her</v>
      </c>
    </row>
    <row r="506" ht="14.25" customHeight="1">
      <c r="A506" s="2">
        <v>505.0</v>
      </c>
      <c r="B506" s="2" t="s">
        <v>447</v>
      </c>
      <c r="C506" s="2" t="s">
        <v>1179</v>
      </c>
      <c r="D506" s="2" t="s">
        <v>519</v>
      </c>
      <c r="E506" s="2" t="s">
        <v>1180</v>
      </c>
      <c r="F506" s="2" t="str">
        <f>IF(Names!$B506="M","Mr.",IF(Names!$B506="F","Ms.","Mx."))</f>
        <v>Ms.</v>
      </c>
      <c r="G506" s="2" t="str">
        <f>IF(Names!$B506="M","he",IF(Names!$B506="F","she","they"))</f>
        <v>she</v>
      </c>
      <c r="H506" s="2" t="str">
        <f>IF(Names!$B506="M","him",IF(Names!$B506="F","her","them"))</f>
        <v>her</v>
      </c>
      <c r="I506" s="2" t="str">
        <f>IF(Names!$B506="M","his",IF(Names!$B506="F","her","their"))</f>
        <v>her</v>
      </c>
    </row>
    <row r="507" ht="14.25" customHeight="1">
      <c r="A507" s="2">
        <v>506.0</v>
      </c>
      <c r="B507" s="2" t="s">
        <v>447</v>
      </c>
      <c r="C507" s="2" t="s">
        <v>1181</v>
      </c>
      <c r="D507" s="2" t="s">
        <v>1182</v>
      </c>
      <c r="E507" s="2" t="s">
        <v>1183</v>
      </c>
      <c r="F507" s="2" t="str">
        <f>IF(Names!$B507="M","Mr.",IF(Names!$B507="F","Ms.","Mx."))</f>
        <v>Ms.</v>
      </c>
      <c r="G507" s="2" t="str">
        <f>IF(Names!$B507="M","he",IF(Names!$B507="F","she","they"))</f>
        <v>she</v>
      </c>
      <c r="H507" s="2" t="str">
        <f>IF(Names!$B507="M","him",IF(Names!$B507="F","her","them"))</f>
        <v>her</v>
      </c>
      <c r="I507" s="2" t="str">
        <f>IF(Names!$B507="M","his",IF(Names!$B507="F","her","their"))</f>
        <v>her</v>
      </c>
    </row>
    <row r="508" ht="14.25" customHeight="1">
      <c r="A508" s="2">
        <v>507.0</v>
      </c>
      <c r="B508" s="2" t="s">
        <v>447</v>
      </c>
      <c r="C508" s="2" t="s">
        <v>1184</v>
      </c>
      <c r="D508" s="2" t="s">
        <v>1185</v>
      </c>
      <c r="E508" s="2" t="s">
        <v>1186</v>
      </c>
      <c r="F508" s="2" t="str">
        <f>IF(Names!$B508="M","Mr.",IF(Names!$B508="F","Ms.","Mx."))</f>
        <v>Ms.</v>
      </c>
      <c r="G508" s="2" t="str">
        <f>IF(Names!$B508="M","he",IF(Names!$B508="F","she","they"))</f>
        <v>she</v>
      </c>
      <c r="H508" s="2" t="str">
        <f>IF(Names!$B508="M","him",IF(Names!$B508="F","her","them"))</f>
        <v>her</v>
      </c>
      <c r="I508" s="2" t="str">
        <f>IF(Names!$B508="M","his",IF(Names!$B508="F","her","their"))</f>
        <v>her</v>
      </c>
    </row>
    <row r="509" ht="14.25" customHeight="1">
      <c r="A509" s="2">
        <v>508.0</v>
      </c>
      <c r="B509" s="2" t="s">
        <v>447</v>
      </c>
      <c r="C509" s="2" t="s">
        <v>1187</v>
      </c>
      <c r="D509" s="2" t="s">
        <v>1188</v>
      </c>
      <c r="E509" s="2" t="s">
        <v>1189</v>
      </c>
      <c r="F509" s="2" t="str">
        <f>IF(Names!$B509="M","Mr.",IF(Names!$B509="F","Ms.","Mx."))</f>
        <v>Ms.</v>
      </c>
      <c r="G509" s="2" t="str">
        <f>IF(Names!$B509="M","he",IF(Names!$B509="F","she","they"))</f>
        <v>she</v>
      </c>
      <c r="H509" s="2" t="str">
        <f>IF(Names!$B509="M","him",IF(Names!$B509="F","her","them"))</f>
        <v>her</v>
      </c>
      <c r="I509" s="2" t="str">
        <f>IF(Names!$B509="M","his",IF(Names!$B509="F","her","their"))</f>
        <v>her</v>
      </c>
    </row>
    <row r="510" ht="14.25" customHeight="1">
      <c r="A510" s="2">
        <v>509.0</v>
      </c>
      <c r="B510" s="2" t="s">
        <v>48</v>
      </c>
      <c r="C510" s="2" t="s">
        <v>1190</v>
      </c>
      <c r="D510" s="2" t="s">
        <v>513</v>
      </c>
      <c r="E510" s="2" t="s">
        <v>1191</v>
      </c>
      <c r="F510" s="2" t="str">
        <f>IF(Names!$B510="M","Mr.",IF(Names!$B510="F","Ms.","Mx."))</f>
        <v>Mx.</v>
      </c>
      <c r="G510" s="2" t="str">
        <f>IF(Names!$B510="M","he",IF(Names!$B510="F","she","they"))</f>
        <v>they</v>
      </c>
      <c r="H510" s="2" t="str">
        <f>IF(Names!$B510="M","him",IF(Names!$B510="F","her","them"))</f>
        <v>them</v>
      </c>
      <c r="I510" s="2" t="str">
        <f>IF(Names!$B510="M","his",IF(Names!$B510="F","her","their"))</f>
        <v>their</v>
      </c>
    </row>
    <row r="511" ht="14.25" customHeight="1">
      <c r="A511" s="2">
        <v>510.0</v>
      </c>
      <c r="B511" s="2" t="s">
        <v>447</v>
      </c>
      <c r="C511" s="2" t="s">
        <v>1192</v>
      </c>
      <c r="D511" s="2" t="s">
        <v>1193</v>
      </c>
      <c r="E511" s="2" t="s">
        <v>1194</v>
      </c>
      <c r="F511" s="2" t="str">
        <f>IF(Names!$B511="M","Mr.",IF(Names!$B511="F","Ms.","Mx."))</f>
        <v>Ms.</v>
      </c>
      <c r="G511" s="2" t="str">
        <f>IF(Names!$B511="M","he",IF(Names!$B511="F","she","they"))</f>
        <v>she</v>
      </c>
      <c r="H511" s="2" t="str">
        <f>IF(Names!$B511="M","him",IF(Names!$B511="F","her","them"))</f>
        <v>her</v>
      </c>
      <c r="I511" s="2" t="str">
        <f>IF(Names!$B511="M","his",IF(Names!$B511="F","her","their"))</f>
        <v>her</v>
      </c>
    </row>
    <row r="512" ht="14.25" customHeight="1">
      <c r="A512" s="2">
        <v>511.0</v>
      </c>
      <c r="B512" s="2" t="s">
        <v>26</v>
      </c>
      <c r="C512" s="2" t="s">
        <v>1195</v>
      </c>
      <c r="D512" s="2" t="s">
        <v>1196</v>
      </c>
      <c r="E512" s="2" t="s">
        <v>1197</v>
      </c>
      <c r="F512" s="2" t="str">
        <f>IF(Names!$B512="M","Mr.",IF(Names!$B512="F","Ms.","Mx."))</f>
        <v>Mr.</v>
      </c>
      <c r="G512" s="2" t="str">
        <f>IF(Names!$B512="M","he",IF(Names!$B512="F","she","they"))</f>
        <v>he</v>
      </c>
      <c r="H512" s="2" t="str">
        <f>IF(Names!$B512="M","him",IF(Names!$B512="F","her","them"))</f>
        <v>him</v>
      </c>
      <c r="I512" s="2" t="str">
        <f>IF(Names!$B512="M","his",IF(Names!$B512="F","her","their"))</f>
        <v>his</v>
      </c>
    </row>
    <row r="513" ht="14.25" customHeight="1">
      <c r="A513" s="2">
        <v>512.0</v>
      </c>
      <c r="B513" s="2" t="s">
        <v>26</v>
      </c>
      <c r="C513" s="2" t="s">
        <v>1198</v>
      </c>
      <c r="D513" s="2" t="s">
        <v>1199</v>
      </c>
      <c r="E513" s="2" t="s">
        <v>1200</v>
      </c>
      <c r="F513" s="2" t="str">
        <f>IF(Names!$B513="M","Mr.",IF(Names!$B513="F","Ms.","Mx."))</f>
        <v>Mr.</v>
      </c>
      <c r="G513" s="2" t="str">
        <f>IF(Names!$B513="M","he",IF(Names!$B513="F","she","they"))</f>
        <v>he</v>
      </c>
      <c r="H513" s="2" t="str">
        <f>IF(Names!$B513="M","him",IF(Names!$B513="F","her","them"))</f>
        <v>him</v>
      </c>
      <c r="I513" s="2" t="str">
        <f>IF(Names!$B513="M","his",IF(Names!$B513="F","her","their"))</f>
        <v>his</v>
      </c>
    </row>
    <row r="514" ht="14.25" customHeight="1">
      <c r="A514" s="2">
        <v>513.0</v>
      </c>
      <c r="B514" s="2" t="s">
        <v>26</v>
      </c>
      <c r="C514" s="2" t="s">
        <v>1201</v>
      </c>
      <c r="D514" s="2" t="s">
        <v>1202</v>
      </c>
      <c r="E514" s="2" t="s">
        <v>1203</v>
      </c>
      <c r="F514" s="2" t="str">
        <f>IF(Names!$B514="M","Mr.",IF(Names!$B514="F","Ms.","Mx."))</f>
        <v>Mr.</v>
      </c>
      <c r="G514" s="2" t="str">
        <f>IF(Names!$B514="M","he",IF(Names!$B514="F","she","they"))</f>
        <v>he</v>
      </c>
      <c r="H514" s="2" t="str">
        <f>IF(Names!$B514="M","him",IF(Names!$B514="F","her","them"))</f>
        <v>him</v>
      </c>
      <c r="I514" s="2" t="str">
        <f>IF(Names!$B514="M","his",IF(Names!$B514="F","her","their"))</f>
        <v>his</v>
      </c>
    </row>
    <row r="515" ht="14.25" customHeight="1">
      <c r="A515" s="2">
        <v>514.0</v>
      </c>
      <c r="B515" s="2" t="s">
        <v>26</v>
      </c>
      <c r="C515" s="2" t="s">
        <v>1204</v>
      </c>
      <c r="D515" s="2" t="s">
        <v>1205</v>
      </c>
      <c r="E515" s="2" t="s">
        <v>1206</v>
      </c>
      <c r="F515" s="2" t="str">
        <f>IF(Names!$B515="M","Mr.",IF(Names!$B515="F","Ms.","Mx."))</f>
        <v>Mr.</v>
      </c>
      <c r="G515" s="2" t="str">
        <f>IF(Names!$B515="M","he",IF(Names!$B515="F","she","they"))</f>
        <v>he</v>
      </c>
      <c r="H515" s="2" t="str">
        <f>IF(Names!$B515="M","him",IF(Names!$B515="F","her","them"))</f>
        <v>him</v>
      </c>
      <c r="I515" s="2" t="str">
        <f>IF(Names!$B515="M","his",IF(Names!$B515="F","her","their"))</f>
        <v>his</v>
      </c>
    </row>
    <row r="516" ht="14.25" customHeight="1">
      <c r="A516" s="2">
        <v>515.0</v>
      </c>
      <c r="B516" s="2" t="s">
        <v>26</v>
      </c>
      <c r="C516" s="2" t="s">
        <v>1207</v>
      </c>
      <c r="D516" s="2" t="s">
        <v>1208</v>
      </c>
      <c r="E516" s="2" t="s">
        <v>1209</v>
      </c>
      <c r="F516" s="2" t="str">
        <f>IF(Names!$B516="M","Mr.",IF(Names!$B516="F","Ms.","Mx."))</f>
        <v>Mr.</v>
      </c>
      <c r="G516" s="2" t="str">
        <f>IF(Names!$B516="M","he",IF(Names!$B516="F","she","they"))</f>
        <v>he</v>
      </c>
      <c r="H516" s="2" t="str">
        <f>IF(Names!$B516="M","him",IF(Names!$B516="F","her","them"))</f>
        <v>him</v>
      </c>
      <c r="I516" s="2" t="str">
        <f>IF(Names!$B516="M","his",IF(Names!$B516="F","her","their"))</f>
        <v>his</v>
      </c>
    </row>
    <row r="517" ht="14.25" customHeight="1">
      <c r="A517" s="2">
        <v>516.0</v>
      </c>
      <c r="B517" s="2" t="s">
        <v>26</v>
      </c>
      <c r="C517" s="2" t="s">
        <v>1210</v>
      </c>
      <c r="D517" s="2" t="s">
        <v>1211</v>
      </c>
      <c r="E517" s="2" t="s">
        <v>1212</v>
      </c>
      <c r="F517" s="2" t="str">
        <f>IF(Names!$B517="M","Mr.",IF(Names!$B517="F","Ms.","Mx."))</f>
        <v>Mr.</v>
      </c>
      <c r="G517" s="2" t="str">
        <f>IF(Names!$B517="M","he",IF(Names!$B517="F","she","they"))</f>
        <v>he</v>
      </c>
      <c r="H517" s="2" t="str">
        <f>IF(Names!$B517="M","him",IF(Names!$B517="F","her","them"))</f>
        <v>him</v>
      </c>
      <c r="I517" s="2" t="str">
        <f>IF(Names!$B517="M","his",IF(Names!$B517="F","her","their"))</f>
        <v>his</v>
      </c>
    </row>
    <row r="518" ht="14.25" customHeight="1">
      <c r="A518" s="2">
        <v>517.0</v>
      </c>
      <c r="B518" s="2" t="s">
        <v>26</v>
      </c>
      <c r="C518" s="2" t="s">
        <v>1213</v>
      </c>
      <c r="D518" s="2" t="s">
        <v>1214</v>
      </c>
      <c r="E518" s="2" t="s">
        <v>1215</v>
      </c>
      <c r="F518" s="2" t="str">
        <f>IF(Names!$B518="M","Mr.",IF(Names!$B518="F","Ms.","Mx."))</f>
        <v>Mr.</v>
      </c>
      <c r="G518" s="2" t="str">
        <f>IF(Names!$B518="M","he",IF(Names!$B518="F","she","they"))</f>
        <v>he</v>
      </c>
      <c r="H518" s="2" t="str">
        <f>IF(Names!$B518="M","him",IF(Names!$B518="F","her","them"))</f>
        <v>him</v>
      </c>
      <c r="I518" s="2" t="str">
        <f>IF(Names!$B518="M","his",IF(Names!$B518="F","her","their"))</f>
        <v>his</v>
      </c>
    </row>
    <row r="519" ht="14.25" customHeight="1">
      <c r="A519" s="2">
        <v>518.0</v>
      </c>
      <c r="B519" s="2" t="s">
        <v>26</v>
      </c>
      <c r="C519" s="2" t="s">
        <v>1216</v>
      </c>
      <c r="D519" s="2" t="s">
        <v>1217</v>
      </c>
      <c r="E519" s="2" t="s">
        <v>1218</v>
      </c>
      <c r="F519" s="2" t="str">
        <f>IF(Names!$B519="M","Mr.",IF(Names!$B519="F","Ms.","Mx."))</f>
        <v>Mr.</v>
      </c>
      <c r="G519" s="2" t="str">
        <f>IF(Names!$B519="M","he",IF(Names!$B519="F","she","they"))</f>
        <v>he</v>
      </c>
      <c r="H519" s="2" t="str">
        <f>IF(Names!$B519="M","him",IF(Names!$B519="F","her","them"))</f>
        <v>him</v>
      </c>
      <c r="I519" s="2" t="str">
        <f>IF(Names!$B519="M","his",IF(Names!$B519="F","her","their"))</f>
        <v>his</v>
      </c>
    </row>
    <row r="520" ht="14.25" customHeight="1">
      <c r="A520" s="2">
        <v>519.0</v>
      </c>
      <c r="B520" s="2" t="s">
        <v>26</v>
      </c>
      <c r="C520" s="2" t="s">
        <v>1219</v>
      </c>
      <c r="D520" s="2" t="s">
        <v>1220</v>
      </c>
      <c r="E520" s="2" t="s">
        <v>1221</v>
      </c>
      <c r="F520" s="2" t="str">
        <f>IF(Names!$B520="M","Mr.",IF(Names!$B520="F","Ms.","Mx."))</f>
        <v>Mr.</v>
      </c>
      <c r="G520" s="2" t="str">
        <f>IF(Names!$B520="M","he",IF(Names!$B520="F","she","they"))</f>
        <v>he</v>
      </c>
      <c r="H520" s="2" t="str">
        <f>IF(Names!$B520="M","him",IF(Names!$B520="F","her","them"))</f>
        <v>him</v>
      </c>
      <c r="I520" s="2" t="str">
        <f>IF(Names!$B520="M","his",IF(Names!$B520="F","her","their"))</f>
        <v>his</v>
      </c>
    </row>
    <row r="521" ht="14.25" customHeight="1">
      <c r="A521" s="2">
        <v>520.0</v>
      </c>
      <c r="B521" s="2" t="s">
        <v>26</v>
      </c>
      <c r="C521" s="2" t="s">
        <v>1222</v>
      </c>
      <c r="D521" s="2" t="s">
        <v>1223</v>
      </c>
      <c r="E521" s="2" t="s">
        <v>1224</v>
      </c>
      <c r="F521" s="2" t="str">
        <f>IF(Names!$B521="M","Mr.",IF(Names!$B521="F","Ms.","Mx."))</f>
        <v>Mr.</v>
      </c>
      <c r="G521" s="2" t="str">
        <f>IF(Names!$B521="M","he",IF(Names!$B521="F","she","they"))</f>
        <v>he</v>
      </c>
      <c r="H521" s="2" t="str">
        <f>IF(Names!$B521="M","him",IF(Names!$B521="F","her","them"))</f>
        <v>him</v>
      </c>
      <c r="I521" s="2" t="str">
        <f>IF(Names!$B521="M","his",IF(Names!$B521="F","her","their"))</f>
        <v>his</v>
      </c>
    </row>
    <row r="522" ht="14.25" customHeight="1">
      <c r="A522" s="2">
        <v>521.0</v>
      </c>
      <c r="B522" s="2" t="s">
        <v>447</v>
      </c>
      <c r="C522" s="2" t="s">
        <v>1225</v>
      </c>
      <c r="D522" s="2" t="s">
        <v>861</v>
      </c>
      <c r="E522" s="2" t="s">
        <v>1226</v>
      </c>
      <c r="F522" s="2" t="str">
        <f>IF(Names!$B522="M","Mr.",IF(Names!$B522="F","Ms.","Mx."))</f>
        <v>Ms.</v>
      </c>
      <c r="G522" s="2" t="str">
        <f>IF(Names!$B522="M","he",IF(Names!$B522="F","she","they"))</f>
        <v>she</v>
      </c>
      <c r="H522" s="2" t="str">
        <f>IF(Names!$B522="M","him",IF(Names!$B522="F","her","them"))</f>
        <v>her</v>
      </c>
      <c r="I522" s="2" t="str">
        <f>IF(Names!$B522="M","his",IF(Names!$B522="F","her","their"))</f>
        <v>her</v>
      </c>
    </row>
    <row r="523" ht="14.25" customHeight="1">
      <c r="A523" s="2">
        <v>522.0</v>
      </c>
      <c r="B523" s="2" t="s">
        <v>447</v>
      </c>
      <c r="C523" s="2" t="s">
        <v>1227</v>
      </c>
      <c r="D523" s="2" t="s">
        <v>1228</v>
      </c>
      <c r="E523" s="2" t="s">
        <v>1229</v>
      </c>
      <c r="F523" s="2" t="str">
        <f>IF(Names!$B523="M","Mr.",IF(Names!$B523="F","Ms.","Mx."))</f>
        <v>Ms.</v>
      </c>
      <c r="G523" s="2" t="str">
        <f>IF(Names!$B523="M","he",IF(Names!$B523="F","she","they"))</f>
        <v>she</v>
      </c>
      <c r="H523" s="2" t="str">
        <f>IF(Names!$B523="M","him",IF(Names!$B523="F","her","them"))</f>
        <v>her</v>
      </c>
      <c r="I523" s="2" t="str">
        <f>IF(Names!$B523="M","his",IF(Names!$B523="F","her","their"))</f>
        <v>her</v>
      </c>
    </row>
    <row r="524" ht="14.25" customHeight="1">
      <c r="A524" s="2">
        <v>523.0</v>
      </c>
      <c r="B524" s="2" t="s">
        <v>447</v>
      </c>
      <c r="C524" s="2" t="s">
        <v>1230</v>
      </c>
      <c r="D524" s="2" t="s">
        <v>1231</v>
      </c>
      <c r="E524" s="2" t="s">
        <v>1232</v>
      </c>
      <c r="F524" s="2" t="str">
        <f>IF(Names!$B524="M","Mr.",IF(Names!$B524="F","Ms.","Mx."))</f>
        <v>Ms.</v>
      </c>
      <c r="G524" s="2" t="str">
        <f>IF(Names!$B524="M","he",IF(Names!$B524="F","she","they"))</f>
        <v>she</v>
      </c>
      <c r="H524" s="2" t="str">
        <f>IF(Names!$B524="M","him",IF(Names!$B524="F","her","them"))</f>
        <v>her</v>
      </c>
      <c r="I524" s="2" t="str">
        <f>IF(Names!$B524="M","his",IF(Names!$B524="F","her","their"))</f>
        <v>her</v>
      </c>
    </row>
    <row r="525" ht="14.25" customHeight="1">
      <c r="A525" s="2">
        <v>524.0</v>
      </c>
      <c r="B525" s="2" t="s">
        <v>447</v>
      </c>
      <c r="C525" s="2" t="s">
        <v>1233</v>
      </c>
      <c r="D525" s="2" t="s">
        <v>1234</v>
      </c>
      <c r="E525" s="2" t="s">
        <v>1235</v>
      </c>
      <c r="F525" s="2" t="str">
        <f>IF(Names!$B525="M","Mr.",IF(Names!$B525="F","Ms.","Mx."))</f>
        <v>Ms.</v>
      </c>
      <c r="G525" s="2" t="str">
        <f>IF(Names!$B525="M","he",IF(Names!$B525="F","she","they"))</f>
        <v>she</v>
      </c>
      <c r="H525" s="2" t="str">
        <f>IF(Names!$B525="M","him",IF(Names!$B525="F","her","them"))</f>
        <v>her</v>
      </c>
      <c r="I525" s="2" t="str">
        <f>IF(Names!$B525="M","his",IF(Names!$B525="F","her","their"))</f>
        <v>her</v>
      </c>
    </row>
    <row r="526" ht="14.25" customHeight="1">
      <c r="A526" s="2">
        <v>525.0</v>
      </c>
      <c r="B526" s="2" t="s">
        <v>447</v>
      </c>
      <c r="C526" s="2" t="s">
        <v>1236</v>
      </c>
      <c r="D526" s="2" t="s">
        <v>1237</v>
      </c>
      <c r="E526" s="2" t="s">
        <v>1238</v>
      </c>
      <c r="F526" s="2" t="str">
        <f>IF(Names!$B526="M","Mr.",IF(Names!$B526="F","Ms.","Mx."))</f>
        <v>Ms.</v>
      </c>
      <c r="G526" s="2" t="str">
        <f>IF(Names!$B526="M","he",IF(Names!$B526="F","she","they"))</f>
        <v>she</v>
      </c>
      <c r="H526" s="2" t="str">
        <f>IF(Names!$B526="M","him",IF(Names!$B526="F","her","them"))</f>
        <v>her</v>
      </c>
      <c r="I526" s="2" t="str">
        <f>IF(Names!$B526="M","his",IF(Names!$B526="F","her","their"))</f>
        <v>her</v>
      </c>
    </row>
    <row r="527" ht="14.25" customHeight="1">
      <c r="A527" s="2">
        <v>526.0</v>
      </c>
      <c r="B527" s="2" t="s">
        <v>447</v>
      </c>
      <c r="C527" s="2" t="s">
        <v>1239</v>
      </c>
      <c r="D527" s="2" t="s">
        <v>1240</v>
      </c>
      <c r="E527" s="2" t="s">
        <v>1241</v>
      </c>
      <c r="F527" s="2" t="str">
        <f>IF(Names!$B527="M","Mr.",IF(Names!$B527="F","Ms.","Mx."))</f>
        <v>Ms.</v>
      </c>
      <c r="G527" s="2" t="str">
        <f>IF(Names!$B527="M","he",IF(Names!$B527="F","she","they"))</f>
        <v>she</v>
      </c>
      <c r="H527" s="2" t="str">
        <f>IF(Names!$B527="M","him",IF(Names!$B527="F","her","them"))</f>
        <v>her</v>
      </c>
      <c r="I527" s="2" t="str">
        <f>IF(Names!$B527="M","his",IF(Names!$B527="F","her","their"))</f>
        <v>her</v>
      </c>
    </row>
    <row r="528" ht="14.25" customHeight="1">
      <c r="A528" s="2">
        <v>527.0</v>
      </c>
      <c r="B528" s="2" t="s">
        <v>447</v>
      </c>
      <c r="C528" s="2" t="s">
        <v>1242</v>
      </c>
      <c r="D528" s="2" t="s">
        <v>1243</v>
      </c>
      <c r="E528" s="2" t="s">
        <v>1244</v>
      </c>
      <c r="F528" s="2" t="str">
        <f>IF(Names!$B528="M","Mr.",IF(Names!$B528="F","Ms.","Mx."))</f>
        <v>Ms.</v>
      </c>
      <c r="G528" s="2" t="str">
        <f>IF(Names!$B528="M","he",IF(Names!$B528="F","she","they"))</f>
        <v>she</v>
      </c>
      <c r="H528" s="2" t="str">
        <f>IF(Names!$B528="M","him",IF(Names!$B528="F","her","them"))</f>
        <v>her</v>
      </c>
      <c r="I528" s="2" t="str">
        <f>IF(Names!$B528="M","his",IF(Names!$B528="F","her","their"))</f>
        <v>her</v>
      </c>
    </row>
    <row r="529" ht="14.25" customHeight="1">
      <c r="A529" s="2">
        <v>528.0</v>
      </c>
      <c r="B529" s="2" t="s">
        <v>447</v>
      </c>
      <c r="C529" s="2" t="s">
        <v>1245</v>
      </c>
      <c r="D529" s="2" t="s">
        <v>1246</v>
      </c>
      <c r="E529" s="2" t="s">
        <v>1247</v>
      </c>
      <c r="F529" s="2" t="str">
        <f>IF(Names!$B529="M","Mr.",IF(Names!$B529="F","Ms.","Mx."))</f>
        <v>Ms.</v>
      </c>
      <c r="G529" s="2" t="str">
        <f>IF(Names!$B529="M","he",IF(Names!$B529="F","she","they"))</f>
        <v>she</v>
      </c>
      <c r="H529" s="2" t="str">
        <f>IF(Names!$B529="M","him",IF(Names!$B529="F","her","them"))</f>
        <v>her</v>
      </c>
      <c r="I529" s="2" t="str">
        <f>IF(Names!$B529="M","his",IF(Names!$B529="F","her","their"))</f>
        <v>her</v>
      </c>
    </row>
    <row r="530" ht="14.25" customHeight="1">
      <c r="A530" s="2">
        <v>529.0</v>
      </c>
      <c r="B530" s="2" t="s">
        <v>447</v>
      </c>
      <c r="C530" s="2" t="s">
        <v>1248</v>
      </c>
      <c r="D530" s="2" t="s">
        <v>594</v>
      </c>
      <c r="E530" s="2" t="s">
        <v>1232</v>
      </c>
      <c r="F530" s="2" t="str">
        <f>IF(Names!$B530="M","Mr.",IF(Names!$B530="F","Ms.","Mx."))</f>
        <v>Ms.</v>
      </c>
      <c r="G530" s="2" t="str">
        <f>IF(Names!$B530="M","he",IF(Names!$B530="F","she","they"))</f>
        <v>she</v>
      </c>
      <c r="H530" s="2" t="str">
        <f>IF(Names!$B530="M","him",IF(Names!$B530="F","her","them"))</f>
        <v>her</v>
      </c>
      <c r="I530" s="2" t="str">
        <f>IF(Names!$B530="M","his",IF(Names!$B530="F","her","their"))</f>
        <v>her</v>
      </c>
    </row>
    <row r="531" ht="14.25" customHeight="1">
      <c r="A531" s="2">
        <v>530.0</v>
      </c>
      <c r="B531" s="2" t="s">
        <v>447</v>
      </c>
      <c r="C531" s="2" t="s">
        <v>1249</v>
      </c>
      <c r="D531" s="2" t="s">
        <v>1250</v>
      </c>
      <c r="E531" s="2" t="s">
        <v>1251</v>
      </c>
      <c r="F531" s="2" t="str">
        <f>IF(Names!$B531="M","Mr.",IF(Names!$B531="F","Ms.","Mx."))</f>
        <v>Ms.</v>
      </c>
      <c r="G531" s="2" t="str">
        <f>IF(Names!$B531="M","he",IF(Names!$B531="F","she","they"))</f>
        <v>she</v>
      </c>
      <c r="H531" s="2" t="str">
        <f>IF(Names!$B531="M","him",IF(Names!$B531="F","her","them"))</f>
        <v>her</v>
      </c>
      <c r="I531" s="2" t="str">
        <f>IF(Names!$B531="M","his",IF(Names!$B531="F","her","their"))</f>
        <v>her</v>
      </c>
    </row>
    <row r="532" ht="14.25" customHeight="1">
      <c r="A532" s="2">
        <v>531.0</v>
      </c>
      <c r="B532" s="2" t="s">
        <v>26</v>
      </c>
      <c r="C532" s="2" t="s">
        <v>1252</v>
      </c>
      <c r="D532" s="2" t="s">
        <v>1253</v>
      </c>
      <c r="E532" s="2" t="s">
        <v>1254</v>
      </c>
      <c r="F532" s="2" t="str">
        <f>IF(Names!$B532="M","Mr.",IF(Names!$B532="F","Ms.","Mx."))</f>
        <v>Mr.</v>
      </c>
      <c r="G532" s="2" t="str">
        <f>IF(Names!$B532="M","he",IF(Names!$B532="F","she","they"))</f>
        <v>he</v>
      </c>
      <c r="H532" s="2" t="str">
        <f>IF(Names!$B532="M","him",IF(Names!$B532="F","her","them"))</f>
        <v>him</v>
      </c>
      <c r="I532" s="2" t="str">
        <f>IF(Names!$B532="M","his",IF(Names!$B532="F","her","their"))</f>
        <v>his</v>
      </c>
    </row>
    <row r="533" ht="14.25" customHeight="1">
      <c r="A533" s="2">
        <v>532.0</v>
      </c>
      <c r="B533" s="2" t="s">
        <v>26</v>
      </c>
      <c r="C533" s="2" t="s">
        <v>1255</v>
      </c>
      <c r="D533" s="2" t="s">
        <v>1256</v>
      </c>
      <c r="E533" s="2" t="s">
        <v>1257</v>
      </c>
      <c r="F533" s="2" t="str">
        <f>IF(Names!$B533="M","Mr.",IF(Names!$B533="F","Ms.","Mx."))</f>
        <v>Mr.</v>
      </c>
      <c r="G533" s="2" t="str">
        <f>IF(Names!$B533="M","he",IF(Names!$B533="F","she","they"))</f>
        <v>he</v>
      </c>
      <c r="H533" s="2" t="str">
        <f>IF(Names!$B533="M","him",IF(Names!$B533="F","her","them"))</f>
        <v>him</v>
      </c>
      <c r="I533" s="2" t="str">
        <f>IF(Names!$B533="M","his",IF(Names!$B533="F","her","their"))</f>
        <v>his</v>
      </c>
    </row>
    <row r="534" ht="14.25" customHeight="1">
      <c r="A534" s="2">
        <v>533.0</v>
      </c>
      <c r="B534" s="2" t="s">
        <v>26</v>
      </c>
      <c r="C534" s="2" t="s">
        <v>1258</v>
      </c>
      <c r="D534" s="2" t="s">
        <v>162</v>
      </c>
      <c r="E534" s="2" t="s">
        <v>1259</v>
      </c>
      <c r="F534" s="2" t="str">
        <f>IF(Names!$B534="M","Mr.",IF(Names!$B534="F","Ms.","Mx."))</f>
        <v>Mr.</v>
      </c>
      <c r="G534" s="2" t="str">
        <f>IF(Names!$B534="M","he",IF(Names!$B534="F","she","they"))</f>
        <v>he</v>
      </c>
      <c r="H534" s="2" t="str">
        <f>IF(Names!$B534="M","him",IF(Names!$B534="F","her","them"))</f>
        <v>him</v>
      </c>
      <c r="I534" s="2" t="str">
        <f>IF(Names!$B534="M","his",IF(Names!$B534="F","her","their"))</f>
        <v>his</v>
      </c>
    </row>
    <row r="535" ht="14.25" customHeight="1">
      <c r="A535" s="2">
        <v>534.0</v>
      </c>
      <c r="B535" s="2" t="s">
        <v>26</v>
      </c>
      <c r="C535" s="2" t="s">
        <v>1260</v>
      </c>
      <c r="D535" s="2" t="s">
        <v>1261</v>
      </c>
      <c r="E535" s="2" t="s">
        <v>1262</v>
      </c>
      <c r="F535" s="2" t="str">
        <f>IF(Names!$B535="M","Mr.",IF(Names!$B535="F","Ms.","Mx."))</f>
        <v>Mr.</v>
      </c>
      <c r="G535" s="2" t="str">
        <f>IF(Names!$B535="M","he",IF(Names!$B535="F","she","they"))</f>
        <v>he</v>
      </c>
      <c r="H535" s="2" t="str">
        <f>IF(Names!$B535="M","him",IF(Names!$B535="F","her","them"))</f>
        <v>him</v>
      </c>
      <c r="I535" s="2" t="str">
        <f>IF(Names!$B535="M","his",IF(Names!$B535="F","her","their"))</f>
        <v>his</v>
      </c>
    </row>
    <row r="536" ht="14.25" customHeight="1">
      <c r="A536" s="2">
        <v>535.0</v>
      </c>
      <c r="B536" s="2" t="s">
        <v>26</v>
      </c>
      <c r="C536" s="2" t="s">
        <v>1263</v>
      </c>
      <c r="D536" s="2" t="s">
        <v>1264</v>
      </c>
      <c r="E536" s="2" t="s">
        <v>1265</v>
      </c>
      <c r="F536" s="2" t="str">
        <f>IF(Names!$B536="M","Mr.",IF(Names!$B536="F","Ms.","Mx."))</f>
        <v>Mr.</v>
      </c>
      <c r="G536" s="2" t="str">
        <f>IF(Names!$B536="M","he",IF(Names!$B536="F","she","they"))</f>
        <v>he</v>
      </c>
      <c r="H536" s="2" t="str">
        <f>IF(Names!$B536="M","him",IF(Names!$B536="F","her","them"))</f>
        <v>him</v>
      </c>
      <c r="I536" s="2" t="str">
        <f>IF(Names!$B536="M","his",IF(Names!$B536="F","her","their"))</f>
        <v>his</v>
      </c>
    </row>
    <row r="537" ht="14.25" customHeight="1">
      <c r="A537" s="2">
        <v>536.0</v>
      </c>
      <c r="B537" s="2" t="s">
        <v>26</v>
      </c>
      <c r="C537" s="2" t="s">
        <v>1266</v>
      </c>
      <c r="D537" s="2" t="s">
        <v>1267</v>
      </c>
      <c r="E537" s="2" t="s">
        <v>1268</v>
      </c>
      <c r="F537" s="2" t="str">
        <f>IF(Names!$B537="M","Mr.",IF(Names!$B537="F","Ms.","Mx."))</f>
        <v>Mr.</v>
      </c>
      <c r="G537" s="2" t="str">
        <f>IF(Names!$B537="M","he",IF(Names!$B537="F","she","they"))</f>
        <v>he</v>
      </c>
      <c r="H537" s="2" t="str">
        <f>IF(Names!$B537="M","him",IF(Names!$B537="F","her","them"))</f>
        <v>him</v>
      </c>
      <c r="I537" s="2" t="str">
        <f>IF(Names!$B537="M","his",IF(Names!$B537="F","her","their"))</f>
        <v>his</v>
      </c>
    </row>
    <row r="538" ht="14.25" customHeight="1">
      <c r="A538" s="2">
        <v>537.0</v>
      </c>
      <c r="B538" s="2" t="s">
        <v>26</v>
      </c>
      <c r="C538" s="2" t="s">
        <v>1269</v>
      </c>
      <c r="D538" s="2" t="s">
        <v>1270</v>
      </c>
      <c r="E538" s="2" t="s">
        <v>1271</v>
      </c>
      <c r="F538" s="2" t="str">
        <f>IF(Names!$B538="M","Mr.",IF(Names!$B538="F","Ms.","Mx."))</f>
        <v>Mr.</v>
      </c>
      <c r="G538" s="2" t="str">
        <f>IF(Names!$B538="M","he",IF(Names!$B538="F","she","they"))</f>
        <v>he</v>
      </c>
      <c r="H538" s="2" t="str">
        <f>IF(Names!$B538="M","him",IF(Names!$B538="F","her","them"))</f>
        <v>him</v>
      </c>
      <c r="I538" s="2" t="str">
        <f>IF(Names!$B538="M","his",IF(Names!$B538="F","her","their"))</f>
        <v>his</v>
      </c>
    </row>
    <row r="539" ht="14.25" customHeight="1">
      <c r="A539" s="2">
        <v>538.0</v>
      </c>
      <c r="B539" s="2" t="s">
        <v>26</v>
      </c>
      <c r="C539" s="2" t="s">
        <v>1272</v>
      </c>
      <c r="D539" s="2" t="s">
        <v>1273</v>
      </c>
      <c r="E539" s="2" t="s">
        <v>1274</v>
      </c>
      <c r="F539" s="2" t="str">
        <f>IF(Names!$B539="M","Mr.",IF(Names!$B539="F","Ms.","Mx."))</f>
        <v>Mr.</v>
      </c>
      <c r="G539" s="2" t="str">
        <f>IF(Names!$B539="M","he",IF(Names!$B539="F","she","they"))</f>
        <v>he</v>
      </c>
      <c r="H539" s="2" t="str">
        <f>IF(Names!$B539="M","him",IF(Names!$B539="F","her","them"))</f>
        <v>him</v>
      </c>
      <c r="I539" s="2" t="str">
        <f>IF(Names!$B539="M","his",IF(Names!$B539="F","her","their"))</f>
        <v>his</v>
      </c>
    </row>
    <row r="540" ht="14.25" customHeight="1">
      <c r="A540" s="2">
        <v>539.0</v>
      </c>
      <c r="B540" s="2" t="s">
        <v>26</v>
      </c>
      <c r="C540" s="2" t="s">
        <v>1275</v>
      </c>
      <c r="D540" s="2" t="s">
        <v>1276</v>
      </c>
      <c r="E540" s="2" t="s">
        <v>1277</v>
      </c>
      <c r="F540" s="2" t="str">
        <f>IF(Names!$B540="M","Mr.",IF(Names!$B540="F","Ms.","Mx."))</f>
        <v>Mr.</v>
      </c>
      <c r="G540" s="2" t="str">
        <f>IF(Names!$B540="M","he",IF(Names!$B540="F","she","they"))</f>
        <v>he</v>
      </c>
      <c r="H540" s="2" t="str">
        <f>IF(Names!$B540="M","him",IF(Names!$B540="F","her","them"))</f>
        <v>him</v>
      </c>
      <c r="I540" s="2" t="str">
        <f>IF(Names!$B540="M","his",IF(Names!$B540="F","her","their"))</f>
        <v>his</v>
      </c>
    </row>
    <row r="541" ht="14.25" customHeight="1">
      <c r="A541" s="2">
        <v>540.0</v>
      </c>
      <c r="B541" s="2" t="s">
        <v>26</v>
      </c>
      <c r="C541" s="2" t="s">
        <v>1278</v>
      </c>
      <c r="D541" s="2" t="s">
        <v>1279</v>
      </c>
      <c r="E541" s="2" t="s">
        <v>1280</v>
      </c>
      <c r="F541" s="2" t="str">
        <f>IF(Names!$B541="M","Mr.",IF(Names!$B541="F","Ms.","Mx."))</f>
        <v>Mr.</v>
      </c>
      <c r="G541" s="2" t="str">
        <f>IF(Names!$B541="M","he",IF(Names!$B541="F","she","they"))</f>
        <v>he</v>
      </c>
      <c r="H541" s="2" t="str">
        <f>IF(Names!$B541="M","him",IF(Names!$B541="F","her","them"))</f>
        <v>him</v>
      </c>
      <c r="I541" s="2" t="str">
        <f>IF(Names!$B541="M","his",IF(Names!$B541="F","her","their"))</f>
        <v>his</v>
      </c>
    </row>
    <row r="542" ht="14.25" customHeight="1">
      <c r="A542" s="2">
        <v>541.0</v>
      </c>
      <c r="B542" s="2" t="s">
        <v>447</v>
      </c>
      <c r="C542" s="2" t="s">
        <v>1281</v>
      </c>
      <c r="D542" s="2" t="s">
        <v>1282</v>
      </c>
      <c r="E542" s="2" t="s">
        <v>1283</v>
      </c>
      <c r="F542" s="2" t="str">
        <f>IF(Names!$B542="M","Mr.",IF(Names!$B542="F","Ms.","Mx."))</f>
        <v>Ms.</v>
      </c>
      <c r="G542" s="2" t="str">
        <f>IF(Names!$B542="M","he",IF(Names!$B542="F","she","they"))</f>
        <v>she</v>
      </c>
      <c r="H542" s="2" t="str">
        <f>IF(Names!$B542="M","him",IF(Names!$B542="F","her","them"))</f>
        <v>her</v>
      </c>
      <c r="I542" s="2" t="str">
        <f>IF(Names!$B542="M","his",IF(Names!$B542="F","her","their"))</f>
        <v>her</v>
      </c>
    </row>
    <row r="543" ht="14.25" customHeight="1">
      <c r="A543" s="2">
        <v>542.0</v>
      </c>
      <c r="B543" s="2" t="s">
        <v>447</v>
      </c>
      <c r="C543" s="2" t="s">
        <v>1284</v>
      </c>
      <c r="D543" s="2" t="s">
        <v>1285</v>
      </c>
      <c r="E543" s="2" t="s">
        <v>1286</v>
      </c>
      <c r="F543" s="2" t="str">
        <f>IF(Names!$B543="M","Mr.",IF(Names!$B543="F","Ms.","Mx."))</f>
        <v>Ms.</v>
      </c>
      <c r="G543" s="2" t="str">
        <f>IF(Names!$B543="M","he",IF(Names!$B543="F","she","they"))</f>
        <v>she</v>
      </c>
      <c r="H543" s="2" t="str">
        <f>IF(Names!$B543="M","him",IF(Names!$B543="F","her","them"))</f>
        <v>her</v>
      </c>
      <c r="I543" s="2" t="str">
        <f>IF(Names!$B543="M","his",IF(Names!$B543="F","her","their"))</f>
        <v>her</v>
      </c>
    </row>
    <row r="544" ht="14.25" customHeight="1">
      <c r="A544" s="2">
        <v>543.0</v>
      </c>
      <c r="B544" s="2" t="s">
        <v>447</v>
      </c>
      <c r="C544" s="2" t="s">
        <v>1287</v>
      </c>
      <c r="D544" s="2" t="s">
        <v>1288</v>
      </c>
      <c r="E544" s="2" t="s">
        <v>1289</v>
      </c>
      <c r="F544" s="2" t="str">
        <f>IF(Names!$B544="M","Mr.",IF(Names!$B544="F","Ms.","Mx."))</f>
        <v>Ms.</v>
      </c>
      <c r="G544" s="2" t="str">
        <f>IF(Names!$B544="M","he",IF(Names!$B544="F","she","they"))</f>
        <v>she</v>
      </c>
      <c r="H544" s="2" t="str">
        <f>IF(Names!$B544="M","him",IF(Names!$B544="F","her","them"))</f>
        <v>her</v>
      </c>
      <c r="I544" s="2" t="str">
        <f>IF(Names!$B544="M","his",IF(Names!$B544="F","her","their"))</f>
        <v>her</v>
      </c>
    </row>
    <row r="545" ht="14.25" customHeight="1">
      <c r="A545" s="2">
        <v>544.0</v>
      </c>
      <c r="B545" s="2" t="s">
        <v>447</v>
      </c>
      <c r="C545" s="2" t="s">
        <v>1290</v>
      </c>
      <c r="D545" s="2" t="s">
        <v>1291</v>
      </c>
      <c r="E545" s="2" t="s">
        <v>1292</v>
      </c>
      <c r="F545" s="2" t="str">
        <f>IF(Names!$B545="M","Mr.",IF(Names!$B545="F","Ms.","Mx."))</f>
        <v>Ms.</v>
      </c>
      <c r="G545" s="2" t="str">
        <f>IF(Names!$B545="M","he",IF(Names!$B545="F","she","they"))</f>
        <v>she</v>
      </c>
      <c r="H545" s="2" t="str">
        <f>IF(Names!$B545="M","him",IF(Names!$B545="F","her","them"))</f>
        <v>her</v>
      </c>
      <c r="I545" s="2" t="str">
        <f>IF(Names!$B545="M","his",IF(Names!$B545="F","her","their"))</f>
        <v>her</v>
      </c>
    </row>
    <row r="546" ht="14.25" customHeight="1">
      <c r="A546" s="2">
        <v>545.0</v>
      </c>
      <c r="B546" s="2" t="s">
        <v>447</v>
      </c>
      <c r="C546" s="2" t="s">
        <v>1293</v>
      </c>
      <c r="D546" s="2" t="s">
        <v>1294</v>
      </c>
      <c r="E546" s="2" t="s">
        <v>1295</v>
      </c>
      <c r="F546" s="2" t="str">
        <f>IF(Names!$B546="M","Mr.",IF(Names!$B546="F","Ms.","Mx."))</f>
        <v>Ms.</v>
      </c>
      <c r="G546" s="2" t="str">
        <f>IF(Names!$B546="M","he",IF(Names!$B546="F","she","they"))</f>
        <v>she</v>
      </c>
      <c r="H546" s="2" t="str">
        <f>IF(Names!$B546="M","him",IF(Names!$B546="F","her","them"))</f>
        <v>her</v>
      </c>
      <c r="I546" s="2" t="str">
        <f>IF(Names!$B546="M","his",IF(Names!$B546="F","her","their"))</f>
        <v>her</v>
      </c>
    </row>
    <row r="547" ht="14.25" customHeight="1">
      <c r="A547" s="2">
        <v>546.0</v>
      </c>
      <c r="B547" s="2" t="s">
        <v>447</v>
      </c>
      <c r="C547" s="2" t="s">
        <v>1296</v>
      </c>
      <c r="D547" s="2" t="s">
        <v>1297</v>
      </c>
      <c r="E547" s="2" t="s">
        <v>1298</v>
      </c>
      <c r="F547" s="2" t="str">
        <f>IF(Names!$B547="M","Mr.",IF(Names!$B547="F","Ms.","Mx."))</f>
        <v>Ms.</v>
      </c>
      <c r="G547" s="2" t="str">
        <f>IF(Names!$B547="M","he",IF(Names!$B547="F","she","they"))</f>
        <v>she</v>
      </c>
      <c r="H547" s="2" t="str">
        <f>IF(Names!$B547="M","him",IF(Names!$B547="F","her","them"))</f>
        <v>her</v>
      </c>
      <c r="I547" s="2" t="str">
        <f>IF(Names!$B547="M","his",IF(Names!$B547="F","her","their"))</f>
        <v>her</v>
      </c>
    </row>
    <row r="548" ht="14.25" customHeight="1">
      <c r="A548" s="2">
        <v>547.0</v>
      </c>
      <c r="B548" s="2" t="s">
        <v>447</v>
      </c>
      <c r="C548" s="2" t="s">
        <v>1299</v>
      </c>
      <c r="D548" s="2" t="s">
        <v>1300</v>
      </c>
      <c r="E548" s="2" t="s">
        <v>1301</v>
      </c>
      <c r="F548" s="2" t="str">
        <f>IF(Names!$B548="M","Mr.",IF(Names!$B548="F","Ms.","Mx."))</f>
        <v>Ms.</v>
      </c>
      <c r="G548" s="2" t="str">
        <f>IF(Names!$B548="M","he",IF(Names!$B548="F","she","they"))</f>
        <v>she</v>
      </c>
      <c r="H548" s="2" t="str">
        <f>IF(Names!$B548="M","him",IF(Names!$B548="F","her","them"))</f>
        <v>her</v>
      </c>
      <c r="I548" s="2" t="str">
        <f>IF(Names!$B548="M","his",IF(Names!$B548="F","her","their"))</f>
        <v>her</v>
      </c>
    </row>
    <row r="549" ht="14.25" customHeight="1">
      <c r="A549" s="2">
        <v>548.0</v>
      </c>
      <c r="B549" s="2" t="s">
        <v>447</v>
      </c>
      <c r="C549" s="2" t="s">
        <v>1302</v>
      </c>
      <c r="D549" s="2" t="s">
        <v>1303</v>
      </c>
      <c r="E549" s="2" t="s">
        <v>1304</v>
      </c>
      <c r="F549" s="2" t="str">
        <f>IF(Names!$B549="M","Mr.",IF(Names!$B549="F","Ms.","Mx."))</f>
        <v>Ms.</v>
      </c>
      <c r="G549" s="2" t="str">
        <f>IF(Names!$B549="M","he",IF(Names!$B549="F","she","they"))</f>
        <v>she</v>
      </c>
      <c r="H549" s="2" t="str">
        <f>IF(Names!$B549="M","him",IF(Names!$B549="F","her","them"))</f>
        <v>her</v>
      </c>
      <c r="I549" s="2" t="str">
        <f>IF(Names!$B549="M","his",IF(Names!$B549="F","her","their"))</f>
        <v>her</v>
      </c>
    </row>
    <row r="550" ht="14.25" customHeight="1">
      <c r="A550" s="2">
        <v>549.0</v>
      </c>
      <c r="B550" s="2" t="s">
        <v>447</v>
      </c>
      <c r="C550" s="2" t="s">
        <v>1305</v>
      </c>
      <c r="D550" s="2" t="s">
        <v>1306</v>
      </c>
      <c r="E550" s="2" t="s">
        <v>1307</v>
      </c>
      <c r="F550" s="2" t="str">
        <f>IF(Names!$B550="M","Mr.",IF(Names!$B550="F","Ms.","Mx."))</f>
        <v>Ms.</v>
      </c>
      <c r="G550" s="2" t="str">
        <f>IF(Names!$B550="M","he",IF(Names!$B550="F","she","they"))</f>
        <v>she</v>
      </c>
      <c r="H550" s="2" t="str">
        <f>IF(Names!$B550="M","him",IF(Names!$B550="F","her","them"))</f>
        <v>her</v>
      </c>
      <c r="I550" s="2" t="str">
        <f>IF(Names!$B550="M","his",IF(Names!$B550="F","her","their"))</f>
        <v>her</v>
      </c>
    </row>
    <row r="551" ht="14.25" customHeight="1">
      <c r="A551" s="2">
        <v>550.0</v>
      </c>
      <c r="B551" s="2" t="s">
        <v>447</v>
      </c>
      <c r="C551" s="2" t="s">
        <v>1308</v>
      </c>
      <c r="D551" s="2" t="s">
        <v>1309</v>
      </c>
      <c r="E551" s="2" t="s">
        <v>1310</v>
      </c>
      <c r="F551" s="2" t="str">
        <f>IF(Names!$B551="M","Mr.",IF(Names!$B551="F","Ms.","Mx."))</f>
        <v>Ms.</v>
      </c>
      <c r="G551" s="2" t="str">
        <f>IF(Names!$B551="M","he",IF(Names!$B551="F","she","they"))</f>
        <v>she</v>
      </c>
      <c r="H551" s="2" t="str">
        <f>IF(Names!$B551="M","him",IF(Names!$B551="F","her","them"))</f>
        <v>her</v>
      </c>
      <c r="I551" s="2" t="str">
        <f>IF(Names!$B551="M","his",IF(Names!$B551="F","her","their"))</f>
        <v>her</v>
      </c>
    </row>
    <row r="552" ht="14.25" customHeight="1">
      <c r="A552" s="2">
        <v>551.0</v>
      </c>
      <c r="B552" s="2" t="s">
        <v>26</v>
      </c>
      <c r="C552" s="2" t="s">
        <v>1311</v>
      </c>
      <c r="D552" s="2" t="s">
        <v>1312</v>
      </c>
      <c r="E552" s="2" t="s">
        <v>1313</v>
      </c>
      <c r="F552" s="2" t="str">
        <f>IF(Names!$B552="M","Mr.",IF(Names!$B552="F","Ms.","Mx."))</f>
        <v>Mr.</v>
      </c>
      <c r="G552" s="2" t="str">
        <f>IF(Names!$B552="M","he",IF(Names!$B552="F","she","they"))</f>
        <v>he</v>
      </c>
      <c r="H552" s="2" t="str">
        <f>IF(Names!$B552="M","him",IF(Names!$B552="F","her","them"))</f>
        <v>him</v>
      </c>
      <c r="I552" s="2" t="str">
        <f>IF(Names!$B552="M","his",IF(Names!$B552="F","her","their"))</f>
        <v>his</v>
      </c>
    </row>
    <row r="553" ht="14.25" customHeight="1">
      <c r="A553" s="2">
        <v>552.0</v>
      </c>
      <c r="B553" s="2" t="s">
        <v>26</v>
      </c>
      <c r="C553" s="2" t="s">
        <v>1314</v>
      </c>
      <c r="D553" s="2" t="s">
        <v>261</v>
      </c>
      <c r="E553" s="2" t="s">
        <v>1315</v>
      </c>
      <c r="F553" s="2" t="str">
        <f>IF(Names!$B553="M","Mr.",IF(Names!$B553="F","Ms.","Mx."))</f>
        <v>Mr.</v>
      </c>
      <c r="G553" s="2" t="str">
        <f>IF(Names!$B553="M","he",IF(Names!$B553="F","she","they"))</f>
        <v>he</v>
      </c>
      <c r="H553" s="2" t="str">
        <f>IF(Names!$B553="M","him",IF(Names!$B553="F","her","them"))</f>
        <v>him</v>
      </c>
      <c r="I553" s="2" t="str">
        <f>IF(Names!$B553="M","his",IF(Names!$B553="F","her","their"))</f>
        <v>his</v>
      </c>
    </row>
    <row r="554" ht="14.25" customHeight="1">
      <c r="A554" s="2">
        <v>553.0</v>
      </c>
      <c r="B554" s="2" t="s">
        <v>26</v>
      </c>
      <c r="C554" s="2" t="s">
        <v>1316</v>
      </c>
      <c r="D554" s="2" t="s">
        <v>260</v>
      </c>
      <c r="E554" s="2" t="s">
        <v>1317</v>
      </c>
      <c r="F554" s="2" t="str">
        <f>IF(Names!$B554="M","Mr.",IF(Names!$B554="F","Ms.","Mx."))</f>
        <v>Mr.</v>
      </c>
      <c r="G554" s="2" t="str">
        <f>IF(Names!$B554="M","he",IF(Names!$B554="F","she","they"))</f>
        <v>he</v>
      </c>
      <c r="H554" s="2" t="str">
        <f>IF(Names!$B554="M","him",IF(Names!$B554="F","her","them"))</f>
        <v>him</v>
      </c>
      <c r="I554" s="2" t="str">
        <f>IF(Names!$B554="M","his",IF(Names!$B554="F","her","their"))</f>
        <v>his</v>
      </c>
    </row>
    <row r="555" ht="14.25" customHeight="1">
      <c r="A555" s="2">
        <v>554.0</v>
      </c>
      <c r="B555" s="2" t="s">
        <v>26</v>
      </c>
      <c r="C555" s="2" t="s">
        <v>1318</v>
      </c>
      <c r="D555" s="2" t="s">
        <v>1319</v>
      </c>
      <c r="E555" s="2" t="s">
        <v>1320</v>
      </c>
      <c r="F555" s="2" t="str">
        <f>IF(Names!$B555="M","Mr.",IF(Names!$B555="F","Ms.","Mx."))</f>
        <v>Mr.</v>
      </c>
      <c r="G555" s="2" t="str">
        <f>IF(Names!$B555="M","he",IF(Names!$B555="F","she","they"))</f>
        <v>he</v>
      </c>
      <c r="H555" s="2" t="str">
        <f>IF(Names!$B555="M","him",IF(Names!$B555="F","her","them"))</f>
        <v>him</v>
      </c>
      <c r="I555" s="2" t="str">
        <f>IF(Names!$B555="M","his",IF(Names!$B555="F","her","their"))</f>
        <v>his</v>
      </c>
    </row>
    <row r="556" ht="14.25" customHeight="1">
      <c r="A556" s="2">
        <v>555.0</v>
      </c>
      <c r="B556" s="2" t="s">
        <v>26</v>
      </c>
      <c r="C556" s="2" t="s">
        <v>1321</v>
      </c>
      <c r="D556" s="2" t="s">
        <v>1322</v>
      </c>
      <c r="E556" s="2" t="s">
        <v>1323</v>
      </c>
      <c r="F556" s="2" t="str">
        <f>IF(Names!$B556="M","Mr.",IF(Names!$B556="F","Ms.","Mx."))</f>
        <v>Mr.</v>
      </c>
      <c r="G556" s="2" t="str">
        <f>IF(Names!$B556="M","he",IF(Names!$B556="F","she","they"))</f>
        <v>he</v>
      </c>
      <c r="H556" s="2" t="str">
        <f>IF(Names!$B556="M","him",IF(Names!$B556="F","her","them"))</f>
        <v>him</v>
      </c>
      <c r="I556" s="2" t="str">
        <f>IF(Names!$B556="M","his",IF(Names!$B556="F","her","their"))</f>
        <v>his</v>
      </c>
    </row>
    <row r="557" ht="14.25" customHeight="1">
      <c r="A557" s="2">
        <v>556.0</v>
      </c>
      <c r="B557" s="2" t="s">
        <v>26</v>
      </c>
      <c r="C557" s="2" t="s">
        <v>1324</v>
      </c>
      <c r="D557" s="2" t="s">
        <v>1325</v>
      </c>
      <c r="E557" s="2" t="s">
        <v>1326</v>
      </c>
      <c r="F557" s="2" t="str">
        <f>IF(Names!$B557="M","Mr.",IF(Names!$B557="F","Ms.","Mx."))</f>
        <v>Mr.</v>
      </c>
      <c r="G557" s="2" t="str">
        <f>IF(Names!$B557="M","he",IF(Names!$B557="F","she","they"))</f>
        <v>he</v>
      </c>
      <c r="H557" s="2" t="str">
        <f>IF(Names!$B557="M","him",IF(Names!$B557="F","her","them"))</f>
        <v>him</v>
      </c>
      <c r="I557" s="2" t="str">
        <f>IF(Names!$B557="M","his",IF(Names!$B557="F","her","their"))</f>
        <v>his</v>
      </c>
    </row>
    <row r="558" ht="14.25" customHeight="1">
      <c r="A558" s="2">
        <v>557.0</v>
      </c>
      <c r="B558" s="2" t="s">
        <v>26</v>
      </c>
      <c r="C558" s="2" t="s">
        <v>1327</v>
      </c>
      <c r="D558" s="2" t="s">
        <v>1328</v>
      </c>
      <c r="E558" s="2" t="s">
        <v>710</v>
      </c>
      <c r="F558" s="2" t="str">
        <f>IF(Names!$B558="M","Mr.",IF(Names!$B558="F","Ms.","Mx."))</f>
        <v>Mr.</v>
      </c>
      <c r="G558" s="2" t="str">
        <f>IF(Names!$B558="M","he",IF(Names!$B558="F","she","they"))</f>
        <v>he</v>
      </c>
      <c r="H558" s="2" t="str">
        <f>IF(Names!$B558="M","him",IF(Names!$B558="F","her","them"))</f>
        <v>him</v>
      </c>
      <c r="I558" s="2" t="str">
        <f>IF(Names!$B558="M","his",IF(Names!$B558="F","her","their"))</f>
        <v>his</v>
      </c>
    </row>
    <row r="559" ht="14.25" customHeight="1">
      <c r="A559" s="2">
        <v>558.0</v>
      </c>
      <c r="B559" s="2" t="s">
        <v>26</v>
      </c>
      <c r="C559" s="2" t="s">
        <v>1329</v>
      </c>
      <c r="D559" s="2" t="s">
        <v>714</v>
      </c>
      <c r="E559" s="2" t="s">
        <v>1330</v>
      </c>
      <c r="F559" s="2" t="str">
        <f>IF(Names!$B559="M","Mr.",IF(Names!$B559="F","Ms.","Mx."))</f>
        <v>Mr.</v>
      </c>
      <c r="G559" s="2" t="str">
        <f>IF(Names!$B559="M","he",IF(Names!$B559="F","she","they"))</f>
        <v>he</v>
      </c>
      <c r="H559" s="2" t="str">
        <f>IF(Names!$B559="M","him",IF(Names!$B559="F","her","them"))</f>
        <v>him</v>
      </c>
      <c r="I559" s="2" t="str">
        <f>IF(Names!$B559="M","his",IF(Names!$B559="F","her","their"))</f>
        <v>his</v>
      </c>
    </row>
    <row r="560" ht="14.25" customHeight="1">
      <c r="A560" s="2">
        <v>559.0</v>
      </c>
      <c r="B560" s="2" t="s">
        <v>26</v>
      </c>
      <c r="C560" s="2" t="s">
        <v>1331</v>
      </c>
      <c r="D560" s="2" t="s">
        <v>1332</v>
      </c>
      <c r="E560" s="2" t="s">
        <v>1333</v>
      </c>
      <c r="F560" s="2" t="str">
        <f>IF(Names!$B560="M","Mr.",IF(Names!$B560="F","Ms.","Mx."))</f>
        <v>Mr.</v>
      </c>
      <c r="G560" s="2" t="str">
        <f>IF(Names!$B560="M","he",IF(Names!$B560="F","she","they"))</f>
        <v>he</v>
      </c>
      <c r="H560" s="2" t="str">
        <f>IF(Names!$B560="M","him",IF(Names!$B560="F","her","them"))</f>
        <v>him</v>
      </c>
      <c r="I560" s="2" t="str">
        <f>IF(Names!$B560="M","his",IF(Names!$B560="F","her","their"))</f>
        <v>his</v>
      </c>
    </row>
    <row r="561" ht="14.25" customHeight="1">
      <c r="A561" s="2">
        <v>560.0</v>
      </c>
      <c r="B561" s="2" t="s">
        <v>26</v>
      </c>
      <c r="C561" s="2" t="s">
        <v>1334</v>
      </c>
      <c r="D561" s="2" t="s">
        <v>1317</v>
      </c>
      <c r="E561" s="2" t="s">
        <v>1335</v>
      </c>
      <c r="F561" s="2" t="str">
        <f>IF(Names!$B561="M","Mr.",IF(Names!$B561="F","Ms.","Mx."))</f>
        <v>Mr.</v>
      </c>
      <c r="G561" s="2" t="str">
        <f>IF(Names!$B561="M","he",IF(Names!$B561="F","she","they"))</f>
        <v>he</v>
      </c>
      <c r="H561" s="2" t="str">
        <f>IF(Names!$B561="M","him",IF(Names!$B561="F","her","them"))</f>
        <v>him</v>
      </c>
      <c r="I561" s="2" t="str">
        <f>IF(Names!$B561="M","his",IF(Names!$B561="F","her","their"))</f>
        <v>his</v>
      </c>
    </row>
    <row r="562" ht="14.25" customHeight="1">
      <c r="A562" s="2">
        <v>561.0</v>
      </c>
      <c r="B562" s="2" t="s">
        <v>447</v>
      </c>
      <c r="C562" s="2" t="s">
        <v>1336</v>
      </c>
      <c r="D562" s="2" t="s">
        <v>1337</v>
      </c>
      <c r="E562" s="2" t="s">
        <v>1338</v>
      </c>
      <c r="F562" s="2" t="str">
        <f>IF(Names!$B562="M","Mr.",IF(Names!$B562="F","Ms.","Mx."))</f>
        <v>Ms.</v>
      </c>
      <c r="G562" s="2" t="str">
        <f>IF(Names!$B562="M","he",IF(Names!$B562="F","she","they"))</f>
        <v>she</v>
      </c>
      <c r="H562" s="2" t="str">
        <f>IF(Names!$B562="M","him",IF(Names!$B562="F","her","them"))</f>
        <v>her</v>
      </c>
      <c r="I562" s="2" t="str">
        <f>IF(Names!$B562="M","his",IF(Names!$B562="F","her","their"))</f>
        <v>her</v>
      </c>
    </row>
    <row r="563" ht="14.25" customHeight="1">
      <c r="A563" s="2">
        <v>562.0</v>
      </c>
      <c r="B563" s="2" t="s">
        <v>447</v>
      </c>
      <c r="C563" s="2" t="s">
        <v>1339</v>
      </c>
      <c r="D563" s="2" t="s">
        <v>1340</v>
      </c>
      <c r="E563" s="2" t="s">
        <v>1341</v>
      </c>
      <c r="F563" s="2" t="str">
        <f>IF(Names!$B563="M","Mr.",IF(Names!$B563="F","Ms.","Mx."))</f>
        <v>Ms.</v>
      </c>
      <c r="G563" s="2" t="str">
        <f>IF(Names!$B563="M","he",IF(Names!$B563="F","she","they"))</f>
        <v>she</v>
      </c>
      <c r="H563" s="2" t="str">
        <f>IF(Names!$B563="M","him",IF(Names!$B563="F","her","them"))</f>
        <v>her</v>
      </c>
      <c r="I563" s="2" t="str">
        <f>IF(Names!$B563="M","his",IF(Names!$B563="F","her","their"))</f>
        <v>her</v>
      </c>
    </row>
    <row r="564" ht="14.25" customHeight="1">
      <c r="A564" s="2">
        <v>563.0</v>
      </c>
      <c r="B564" s="2" t="s">
        <v>447</v>
      </c>
      <c r="C564" s="2" t="s">
        <v>1342</v>
      </c>
      <c r="D564" s="2" t="s">
        <v>1343</v>
      </c>
      <c r="E564" s="2" t="s">
        <v>725</v>
      </c>
      <c r="F564" s="2" t="str">
        <f>IF(Names!$B564="M","Mr.",IF(Names!$B564="F","Ms.","Mx."))</f>
        <v>Ms.</v>
      </c>
      <c r="G564" s="2" t="str">
        <f>IF(Names!$B564="M","he",IF(Names!$B564="F","she","they"))</f>
        <v>she</v>
      </c>
      <c r="H564" s="2" t="str">
        <f>IF(Names!$B564="M","him",IF(Names!$B564="F","her","them"))</f>
        <v>her</v>
      </c>
      <c r="I564" s="2" t="str">
        <f>IF(Names!$B564="M","his",IF(Names!$B564="F","her","their"))</f>
        <v>her</v>
      </c>
    </row>
    <row r="565" ht="14.25" customHeight="1">
      <c r="A565" s="2">
        <v>564.0</v>
      </c>
      <c r="B565" s="2" t="s">
        <v>447</v>
      </c>
      <c r="C565" s="2" t="s">
        <v>1344</v>
      </c>
      <c r="D565" s="2" t="s">
        <v>1345</v>
      </c>
      <c r="E565" s="2" t="s">
        <v>1319</v>
      </c>
      <c r="F565" s="2" t="str">
        <f>IF(Names!$B565="M","Mr.",IF(Names!$B565="F","Ms.","Mx."))</f>
        <v>Ms.</v>
      </c>
      <c r="G565" s="2" t="str">
        <f>IF(Names!$B565="M","he",IF(Names!$B565="F","she","they"))</f>
        <v>she</v>
      </c>
      <c r="H565" s="2" t="str">
        <f>IF(Names!$B565="M","him",IF(Names!$B565="F","her","them"))</f>
        <v>her</v>
      </c>
      <c r="I565" s="2" t="str">
        <f>IF(Names!$B565="M","his",IF(Names!$B565="F","her","their"))</f>
        <v>her</v>
      </c>
    </row>
    <row r="566" ht="14.25" customHeight="1">
      <c r="A566" s="2">
        <v>565.0</v>
      </c>
      <c r="B566" s="2" t="s">
        <v>447</v>
      </c>
      <c r="C566" s="2" t="s">
        <v>1346</v>
      </c>
      <c r="D566" s="2" t="s">
        <v>1347</v>
      </c>
      <c r="E566" s="2" t="s">
        <v>1348</v>
      </c>
      <c r="F566" s="2" t="str">
        <f>IF(Names!$B566="M","Mr.",IF(Names!$B566="F","Ms.","Mx."))</f>
        <v>Ms.</v>
      </c>
      <c r="G566" s="2" t="str">
        <f>IF(Names!$B566="M","he",IF(Names!$B566="F","she","they"))</f>
        <v>she</v>
      </c>
      <c r="H566" s="2" t="str">
        <f>IF(Names!$B566="M","him",IF(Names!$B566="F","her","them"))</f>
        <v>her</v>
      </c>
      <c r="I566" s="2" t="str">
        <f>IF(Names!$B566="M","his",IF(Names!$B566="F","her","their"))</f>
        <v>her</v>
      </c>
    </row>
    <row r="567" ht="14.25" customHeight="1">
      <c r="A567" s="2">
        <v>566.0</v>
      </c>
      <c r="B567" s="2" t="s">
        <v>447</v>
      </c>
      <c r="C567" s="2" t="s">
        <v>1349</v>
      </c>
      <c r="D567" s="2" t="s">
        <v>1350</v>
      </c>
      <c r="E567" s="2" t="s">
        <v>1351</v>
      </c>
      <c r="F567" s="2" t="str">
        <f>IF(Names!$B567="M","Mr.",IF(Names!$B567="F","Ms.","Mx."))</f>
        <v>Ms.</v>
      </c>
      <c r="G567" s="2" t="str">
        <f>IF(Names!$B567="M","he",IF(Names!$B567="F","she","they"))</f>
        <v>she</v>
      </c>
      <c r="H567" s="2" t="str">
        <f>IF(Names!$B567="M","him",IF(Names!$B567="F","her","them"))</f>
        <v>her</v>
      </c>
      <c r="I567" s="2" t="str">
        <f>IF(Names!$B567="M","his",IF(Names!$B567="F","her","their"))</f>
        <v>her</v>
      </c>
    </row>
    <row r="568" ht="14.25" customHeight="1">
      <c r="A568" s="2">
        <v>567.0</v>
      </c>
      <c r="B568" s="2" t="s">
        <v>447</v>
      </c>
      <c r="C568" s="2" t="s">
        <v>1352</v>
      </c>
      <c r="D568" s="2" t="s">
        <v>1353</v>
      </c>
      <c r="E568" s="2" t="s">
        <v>1354</v>
      </c>
      <c r="F568" s="2" t="str">
        <f>IF(Names!$B568="M","Mr.",IF(Names!$B568="F","Ms.","Mx."))</f>
        <v>Ms.</v>
      </c>
      <c r="G568" s="2" t="str">
        <f>IF(Names!$B568="M","he",IF(Names!$B568="F","she","they"))</f>
        <v>she</v>
      </c>
      <c r="H568" s="2" t="str">
        <f>IF(Names!$B568="M","him",IF(Names!$B568="F","her","them"))</f>
        <v>her</v>
      </c>
      <c r="I568" s="2" t="str">
        <f>IF(Names!$B568="M","his",IF(Names!$B568="F","her","their"))</f>
        <v>her</v>
      </c>
    </row>
    <row r="569" ht="14.25" customHeight="1">
      <c r="A569" s="2">
        <v>568.0</v>
      </c>
      <c r="B569" s="2" t="s">
        <v>447</v>
      </c>
      <c r="C569" s="2" t="s">
        <v>1355</v>
      </c>
      <c r="D569" s="2" t="s">
        <v>1356</v>
      </c>
      <c r="E569" s="2" t="s">
        <v>1357</v>
      </c>
      <c r="F569" s="2" t="str">
        <f>IF(Names!$B569="M","Mr.",IF(Names!$B569="F","Ms.","Mx."))</f>
        <v>Ms.</v>
      </c>
      <c r="G569" s="2" t="str">
        <f>IF(Names!$B569="M","he",IF(Names!$B569="F","she","they"))</f>
        <v>she</v>
      </c>
      <c r="H569" s="2" t="str">
        <f>IF(Names!$B569="M","him",IF(Names!$B569="F","her","them"))</f>
        <v>her</v>
      </c>
      <c r="I569" s="2" t="str">
        <f>IF(Names!$B569="M","his",IF(Names!$B569="F","her","their"))</f>
        <v>her</v>
      </c>
    </row>
    <row r="570" ht="14.25" customHeight="1">
      <c r="A570" s="2">
        <v>569.0</v>
      </c>
      <c r="B570" s="2" t="s">
        <v>48</v>
      </c>
      <c r="C570" s="2" t="s">
        <v>1358</v>
      </c>
      <c r="D570" s="2" t="s">
        <v>1359</v>
      </c>
      <c r="E570" s="2" t="s">
        <v>1360</v>
      </c>
      <c r="F570" s="2" t="str">
        <f>IF(Names!$B570="M","Mr.",IF(Names!$B570="F","Ms.","Mx."))</f>
        <v>Mx.</v>
      </c>
      <c r="G570" s="2" t="str">
        <f>IF(Names!$B570="M","he",IF(Names!$B570="F","she","they"))</f>
        <v>they</v>
      </c>
      <c r="H570" s="2" t="str">
        <f>IF(Names!$B570="M","him",IF(Names!$B570="F","her","them"))</f>
        <v>them</v>
      </c>
      <c r="I570" s="2" t="str">
        <f>IF(Names!$B570="M","his",IF(Names!$B570="F","her","their"))</f>
        <v>their</v>
      </c>
    </row>
    <row r="571" ht="14.25" customHeight="1">
      <c r="A571" s="2">
        <v>570.0</v>
      </c>
      <c r="B571" s="2" t="s">
        <v>447</v>
      </c>
      <c r="C571" s="2" t="s">
        <v>1361</v>
      </c>
      <c r="D571" s="2" t="s">
        <v>1315</v>
      </c>
      <c r="E571" s="2" t="s">
        <v>1362</v>
      </c>
      <c r="F571" s="2" t="str">
        <f>IF(Names!$B571="M","Mr.",IF(Names!$B571="F","Ms.","Mx."))</f>
        <v>Ms.</v>
      </c>
      <c r="G571" s="2" t="str">
        <f>IF(Names!$B571="M","he",IF(Names!$B571="F","she","they"))</f>
        <v>she</v>
      </c>
      <c r="H571" s="2" t="str">
        <f>IF(Names!$B571="M","him",IF(Names!$B571="F","her","them"))</f>
        <v>her</v>
      </c>
      <c r="I571" s="2" t="str">
        <f>IF(Names!$B571="M","his",IF(Names!$B571="F","her","their"))</f>
        <v>her</v>
      </c>
    </row>
    <row r="572" ht="14.25" customHeight="1">
      <c r="A572" s="2">
        <v>571.0</v>
      </c>
      <c r="B572" s="2" t="s">
        <v>26</v>
      </c>
      <c r="C572" s="2" t="s">
        <v>1363</v>
      </c>
      <c r="D572" s="2" t="s">
        <v>1364</v>
      </c>
      <c r="E572" s="2" t="s">
        <v>1365</v>
      </c>
      <c r="F572" s="2" t="str">
        <f>IF(Names!$B572="M","Mr.",IF(Names!$B572="F","Ms.","Mx."))</f>
        <v>Mr.</v>
      </c>
      <c r="G572" s="2" t="str">
        <f>IF(Names!$B572="M","he",IF(Names!$B572="F","she","they"))</f>
        <v>he</v>
      </c>
      <c r="H572" s="2" t="str">
        <f>IF(Names!$B572="M","him",IF(Names!$B572="F","her","them"))</f>
        <v>him</v>
      </c>
      <c r="I572" s="2" t="str">
        <f>IF(Names!$B572="M","his",IF(Names!$B572="F","her","their"))</f>
        <v>his</v>
      </c>
    </row>
    <row r="573" ht="14.25" customHeight="1">
      <c r="A573" s="2">
        <v>572.0</v>
      </c>
      <c r="B573" s="2" t="s">
        <v>26</v>
      </c>
      <c r="C573" s="2" t="s">
        <v>1366</v>
      </c>
      <c r="D573" s="2" t="s">
        <v>1367</v>
      </c>
      <c r="E573" s="2" t="s">
        <v>1368</v>
      </c>
      <c r="F573" s="2" t="str">
        <f>IF(Names!$B573="M","Mr.",IF(Names!$B573="F","Ms.","Mx."))</f>
        <v>Mr.</v>
      </c>
      <c r="G573" s="2" t="str">
        <f>IF(Names!$B573="M","he",IF(Names!$B573="F","she","they"))</f>
        <v>he</v>
      </c>
      <c r="H573" s="2" t="str">
        <f>IF(Names!$B573="M","him",IF(Names!$B573="F","her","them"))</f>
        <v>him</v>
      </c>
      <c r="I573" s="2" t="str">
        <f>IF(Names!$B573="M","his",IF(Names!$B573="F","her","their"))</f>
        <v>his</v>
      </c>
    </row>
    <row r="574" ht="14.25" customHeight="1">
      <c r="A574" s="2">
        <v>573.0</v>
      </c>
      <c r="B574" s="2" t="s">
        <v>26</v>
      </c>
      <c r="C574" s="2" t="s">
        <v>1369</v>
      </c>
      <c r="D574" s="2" t="s">
        <v>1370</v>
      </c>
      <c r="E574" s="2" t="s">
        <v>1371</v>
      </c>
      <c r="F574" s="2" t="str">
        <f>IF(Names!$B574="M","Mr.",IF(Names!$B574="F","Ms.","Mx."))</f>
        <v>Mr.</v>
      </c>
      <c r="G574" s="2" t="str">
        <f>IF(Names!$B574="M","he",IF(Names!$B574="F","she","they"))</f>
        <v>he</v>
      </c>
      <c r="H574" s="2" t="str">
        <f>IF(Names!$B574="M","him",IF(Names!$B574="F","her","them"))</f>
        <v>him</v>
      </c>
      <c r="I574" s="2" t="str">
        <f>IF(Names!$B574="M","his",IF(Names!$B574="F","her","their"))</f>
        <v>his</v>
      </c>
    </row>
    <row r="575" ht="14.25" customHeight="1">
      <c r="A575" s="2">
        <v>574.0</v>
      </c>
      <c r="B575" s="2" t="s">
        <v>26</v>
      </c>
      <c r="C575" s="2" t="s">
        <v>1372</v>
      </c>
      <c r="D575" s="2" t="s">
        <v>1373</v>
      </c>
      <c r="E575" s="2" t="s">
        <v>1374</v>
      </c>
      <c r="F575" s="2" t="str">
        <f>IF(Names!$B575="M","Mr.",IF(Names!$B575="F","Ms.","Mx."))</f>
        <v>Mr.</v>
      </c>
      <c r="G575" s="2" t="str">
        <f>IF(Names!$B575="M","he",IF(Names!$B575="F","she","they"))</f>
        <v>he</v>
      </c>
      <c r="H575" s="2" t="str">
        <f>IF(Names!$B575="M","him",IF(Names!$B575="F","her","them"))</f>
        <v>him</v>
      </c>
      <c r="I575" s="2" t="str">
        <f>IF(Names!$B575="M","his",IF(Names!$B575="F","her","their"))</f>
        <v>his</v>
      </c>
    </row>
    <row r="576" ht="14.25" customHeight="1">
      <c r="A576" s="2">
        <v>575.0</v>
      </c>
      <c r="B576" s="2" t="s">
        <v>26</v>
      </c>
      <c r="C576" s="2" t="s">
        <v>1375</v>
      </c>
      <c r="D576" s="2" t="s">
        <v>1376</v>
      </c>
      <c r="E576" s="2" t="s">
        <v>1377</v>
      </c>
      <c r="F576" s="2" t="str">
        <f>IF(Names!$B576="M","Mr.",IF(Names!$B576="F","Ms.","Mx."))</f>
        <v>Mr.</v>
      </c>
      <c r="G576" s="2" t="str">
        <f>IF(Names!$B576="M","he",IF(Names!$B576="F","she","they"))</f>
        <v>he</v>
      </c>
      <c r="H576" s="2" t="str">
        <f>IF(Names!$B576="M","him",IF(Names!$B576="F","her","them"))</f>
        <v>him</v>
      </c>
      <c r="I576" s="2" t="str">
        <f>IF(Names!$B576="M","his",IF(Names!$B576="F","her","their"))</f>
        <v>his</v>
      </c>
    </row>
    <row r="577" ht="14.25" customHeight="1">
      <c r="A577" s="2">
        <v>576.0</v>
      </c>
      <c r="B577" s="2" t="s">
        <v>26</v>
      </c>
      <c r="C577" s="2" t="s">
        <v>1378</v>
      </c>
      <c r="D577" s="2" t="s">
        <v>1379</v>
      </c>
      <c r="E577" s="2" t="s">
        <v>1380</v>
      </c>
      <c r="F577" s="2" t="str">
        <f>IF(Names!$B577="M","Mr.",IF(Names!$B577="F","Ms.","Mx."))</f>
        <v>Mr.</v>
      </c>
      <c r="G577" s="2" t="str">
        <f>IF(Names!$B577="M","he",IF(Names!$B577="F","she","they"))</f>
        <v>he</v>
      </c>
      <c r="H577" s="2" t="str">
        <f>IF(Names!$B577="M","him",IF(Names!$B577="F","her","them"))</f>
        <v>him</v>
      </c>
      <c r="I577" s="2" t="str">
        <f>IF(Names!$B577="M","his",IF(Names!$B577="F","her","their"))</f>
        <v>his</v>
      </c>
    </row>
    <row r="578" ht="14.25" customHeight="1">
      <c r="A578" s="2">
        <v>577.0</v>
      </c>
      <c r="B578" s="2" t="s">
        <v>26</v>
      </c>
      <c r="C578" s="2" t="s">
        <v>1381</v>
      </c>
      <c r="D578" s="2" t="s">
        <v>1382</v>
      </c>
      <c r="E578" s="2" t="s">
        <v>1383</v>
      </c>
      <c r="F578" s="2" t="str">
        <f>IF(Names!$B578="M","Mr.",IF(Names!$B578="F","Ms.","Mx."))</f>
        <v>Mr.</v>
      </c>
      <c r="G578" s="2" t="str">
        <f>IF(Names!$B578="M","he",IF(Names!$B578="F","she","they"))</f>
        <v>he</v>
      </c>
      <c r="H578" s="2" t="str">
        <f>IF(Names!$B578="M","him",IF(Names!$B578="F","her","them"))</f>
        <v>him</v>
      </c>
      <c r="I578" s="2" t="str">
        <f>IF(Names!$B578="M","his",IF(Names!$B578="F","her","their"))</f>
        <v>his</v>
      </c>
    </row>
    <row r="579" ht="14.25" customHeight="1">
      <c r="A579" s="2">
        <v>578.0</v>
      </c>
      <c r="B579" s="2" t="s">
        <v>26</v>
      </c>
      <c r="C579" s="2" t="s">
        <v>1384</v>
      </c>
      <c r="D579" s="2" t="s">
        <v>1385</v>
      </c>
      <c r="E579" s="2" t="s">
        <v>1386</v>
      </c>
      <c r="F579" s="2" t="str">
        <f>IF(Names!$B579="M","Mr.",IF(Names!$B579="F","Ms.","Mx."))</f>
        <v>Mr.</v>
      </c>
      <c r="G579" s="2" t="str">
        <f>IF(Names!$B579="M","he",IF(Names!$B579="F","she","they"))</f>
        <v>he</v>
      </c>
      <c r="H579" s="2" t="str">
        <f>IF(Names!$B579="M","him",IF(Names!$B579="F","her","them"))</f>
        <v>him</v>
      </c>
      <c r="I579" s="2" t="str">
        <f>IF(Names!$B579="M","his",IF(Names!$B579="F","her","their"))</f>
        <v>his</v>
      </c>
    </row>
    <row r="580" ht="14.25" customHeight="1">
      <c r="A580" s="2">
        <v>579.0</v>
      </c>
      <c r="B580" s="2" t="s">
        <v>26</v>
      </c>
      <c r="C580" s="2" t="s">
        <v>1387</v>
      </c>
      <c r="D580" s="2" t="s">
        <v>1388</v>
      </c>
      <c r="E580" s="2" t="s">
        <v>1389</v>
      </c>
      <c r="F580" s="2" t="str">
        <f>IF(Names!$B580="M","Mr.",IF(Names!$B580="F","Ms.","Mx."))</f>
        <v>Mr.</v>
      </c>
      <c r="G580" s="2" t="str">
        <f>IF(Names!$B580="M","he",IF(Names!$B580="F","she","they"))</f>
        <v>he</v>
      </c>
      <c r="H580" s="2" t="str">
        <f>IF(Names!$B580="M","him",IF(Names!$B580="F","her","them"))</f>
        <v>him</v>
      </c>
      <c r="I580" s="2" t="str">
        <f>IF(Names!$B580="M","his",IF(Names!$B580="F","her","their"))</f>
        <v>his</v>
      </c>
    </row>
    <row r="581" ht="14.25" customHeight="1">
      <c r="A581" s="2">
        <v>580.0</v>
      </c>
      <c r="B581" s="2" t="s">
        <v>26</v>
      </c>
      <c r="C581" s="2" t="s">
        <v>1390</v>
      </c>
      <c r="D581" s="2" t="s">
        <v>1391</v>
      </c>
      <c r="E581" s="2" t="s">
        <v>1392</v>
      </c>
      <c r="F581" s="2" t="str">
        <f>IF(Names!$B581="M","Mr.",IF(Names!$B581="F","Ms.","Mx."))</f>
        <v>Mr.</v>
      </c>
      <c r="G581" s="2" t="str">
        <f>IF(Names!$B581="M","he",IF(Names!$B581="F","she","they"))</f>
        <v>he</v>
      </c>
      <c r="H581" s="2" t="str">
        <f>IF(Names!$B581="M","him",IF(Names!$B581="F","her","them"))</f>
        <v>him</v>
      </c>
      <c r="I581" s="2" t="str">
        <f>IF(Names!$B581="M","his",IF(Names!$B581="F","her","their"))</f>
        <v>his</v>
      </c>
    </row>
    <row r="582" ht="14.25" customHeight="1">
      <c r="A582" s="2">
        <v>581.0</v>
      </c>
      <c r="B582" s="2" t="s">
        <v>447</v>
      </c>
      <c r="C582" s="2" t="s">
        <v>1393</v>
      </c>
      <c r="D582" s="2" t="s">
        <v>1394</v>
      </c>
      <c r="E582" s="2" t="s">
        <v>1395</v>
      </c>
      <c r="F582" s="2" t="str">
        <f>IF(Names!$B582="M","Mr.",IF(Names!$B582="F","Ms.","Mx."))</f>
        <v>Ms.</v>
      </c>
      <c r="G582" s="2" t="str">
        <f>IF(Names!$B582="M","he",IF(Names!$B582="F","she","they"))</f>
        <v>she</v>
      </c>
      <c r="H582" s="2" t="str">
        <f>IF(Names!$B582="M","him",IF(Names!$B582="F","her","them"))</f>
        <v>her</v>
      </c>
      <c r="I582" s="2" t="str">
        <f>IF(Names!$B582="M","his",IF(Names!$B582="F","her","their"))</f>
        <v>her</v>
      </c>
    </row>
    <row r="583" ht="14.25" customHeight="1">
      <c r="A583" s="2">
        <v>582.0</v>
      </c>
      <c r="B583" s="2" t="s">
        <v>447</v>
      </c>
      <c r="C583" s="2" t="s">
        <v>1396</v>
      </c>
      <c r="D583" s="2" t="s">
        <v>1397</v>
      </c>
      <c r="E583" s="2" t="s">
        <v>1398</v>
      </c>
      <c r="F583" s="2" t="str">
        <f>IF(Names!$B583="M","Mr.",IF(Names!$B583="F","Ms.","Mx."))</f>
        <v>Ms.</v>
      </c>
      <c r="G583" s="2" t="str">
        <f>IF(Names!$B583="M","he",IF(Names!$B583="F","she","they"))</f>
        <v>she</v>
      </c>
      <c r="H583" s="2" t="str">
        <f>IF(Names!$B583="M","him",IF(Names!$B583="F","her","them"))</f>
        <v>her</v>
      </c>
      <c r="I583" s="2" t="str">
        <f>IF(Names!$B583="M","his",IF(Names!$B583="F","her","their"))</f>
        <v>her</v>
      </c>
    </row>
    <row r="584" ht="14.25" customHeight="1">
      <c r="A584" s="2">
        <v>583.0</v>
      </c>
      <c r="B584" s="2" t="s">
        <v>447</v>
      </c>
      <c r="C584" s="2" t="s">
        <v>1399</v>
      </c>
      <c r="D584" s="2" t="s">
        <v>1400</v>
      </c>
      <c r="E584" s="2" t="s">
        <v>1401</v>
      </c>
      <c r="F584" s="2" t="str">
        <f>IF(Names!$B584="M","Mr.",IF(Names!$B584="F","Ms.","Mx."))</f>
        <v>Ms.</v>
      </c>
      <c r="G584" s="2" t="str">
        <f>IF(Names!$B584="M","he",IF(Names!$B584="F","she","they"))</f>
        <v>she</v>
      </c>
      <c r="H584" s="2" t="str">
        <f>IF(Names!$B584="M","him",IF(Names!$B584="F","her","them"))</f>
        <v>her</v>
      </c>
      <c r="I584" s="2" t="str">
        <f>IF(Names!$B584="M","his",IF(Names!$B584="F","her","their"))</f>
        <v>her</v>
      </c>
    </row>
    <row r="585" ht="14.25" customHeight="1">
      <c r="A585" s="2">
        <v>584.0</v>
      </c>
      <c r="B585" s="2" t="s">
        <v>447</v>
      </c>
      <c r="C585" s="2" t="s">
        <v>1402</v>
      </c>
      <c r="D585" s="2" t="s">
        <v>1403</v>
      </c>
      <c r="E585" s="2" t="s">
        <v>1404</v>
      </c>
      <c r="F585" s="2" t="str">
        <f>IF(Names!$B585="M","Mr.",IF(Names!$B585="F","Ms.","Mx."))</f>
        <v>Ms.</v>
      </c>
      <c r="G585" s="2" t="str">
        <f>IF(Names!$B585="M","he",IF(Names!$B585="F","she","they"))</f>
        <v>she</v>
      </c>
      <c r="H585" s="2" t="str">
        <f>IF(Names!$B585="M","him",IF(Names!$B585="F","her","them"))</f>
        <v>her</v>
      </c>
      <c r="I585" s="2" t="str">
        <f>IF(Names!$B585="M","his",IF(Names!$B585="F","her","their"))</f>
        <v>her</v>
      </c>
    </row>
    <row r="586" ht="14.25" customHeight="1">
      <c r="A586" s="2">
        <v>585.0</v>
      </c>
      <c r="B586" s="2" t="s">
        <v>447</v>
      </c>
      <c r="C586" s="2" t="s">
        <v>1405</v>
      </c>
      <c r="D586" s="2" t="s">
        <v>1406</v>
      </c>
      <c r="E586" s="2" t="s">
        <v>1407</v>
      </c>
      <c r="F586" s="2" t="str">
        <f>IF(Names!$B586="M","Mr.",IF(Names!$B586="F","Ms.","Mx."))</f>
        <v>Ms.</v>
      </c>
      <c r="G586" s="2" t="str">
        <f>IF(Names!$B586="M","he",IF(Names!$B586="F","she","they"))</f>
        <v>she</v>
      </c>
      <c r="H586" s="2" t="str">
        <f>IF(Names!$B586="M","him",IF(Names!$B586="F","her","them"))</f>
        <v>her</v>
      </c>
      <c r="I586" s="2" t="str">
        <f>IF(Names!$B586="M","his",IF(Names!$B586="F","her","their"))</f>
        <v>her</v>
      </c>
    </row>
    <row r="587" ht="14.25" customHeight="1">
      <c r="A587" s="2">
        <v>586.0</v>
      </c>
      <c r="B587" s="2" t="s">
        <v>447</v>
      </c>
      <c r="C587" s="2" t="s">
        <v>1408</v>
      </c>
      <c r="D587" s="2" t="s">
        <v>1409</v>
      </c>
      <c r="E587" s="2" t="s">
        <v>1410</v>
      </c>
      <c r="F587" s="2" t="str">
        <f>IF(Names!$B587="M","Mr.",IF(Names!$B587="F","Ms.","Mx."))</f>
        <v>Ms.</v>
      </c>
      <c r="G587" s="2" t="str">
        <f>IF(Names!$B587="M","he",IF(Names!$B587="F","she","they"))</f>
        <v>she</v>
      </c>
      <c r="H587" s="2" t="str">
        <f>IF(Names!$B587="M","him",IF(Names!$B587="F","her","them"))</f>
        <v>her</v>
      </c>
      <c r="I587" s="2" t="str">
        <f>IF(Names!$B587="M","his",IF(Names!$B587="F","her","their"))</f>
        <v>her</v>
      </c>
    </row>
    <row r="588" ht="14.25" customHeight="1">
      <c r="A588" s="2">
        <v>587.0</v>
      </c>
      <c r="B588" s="2" t="s">
        <v>447</v>
      </c>
      <c r="C588" s="2" t="s">
        <v>1411</v>
      </c>
      <c r="D588" s="2" t="s">
        <v>1412</v>
      </c>
      <c r="E588" s="2" t="s">
        <v>1413</v>
      </c>
      <c r="F588" s="2" t="str">
        <f>IF(Names!$B588="M","Mr.",IF(Names!$B588="F","Ms.","Mx."))</f>
        <v>Ms.</v>
      </c>
      <c r="G588" s="2" t="str">
        <f>IF(Names!$B588="M","he",IF(Names!$B588="F","she","they"))</f>
        <v>she</v>
      </c>
      <c r="H588" s="2" t="str">
        <f>IF(Names!$B588="M","him",IF(Names!$B588="F","her","them"))</f>
        <v>her</v>
      </c>
      <c r="I588" s="2" t="str">
        <f>IF(Names!$B588="M","his",IF(Names!$B588="F","her","their"))</f>
        <v>her</v>
      </c>
    </row>
    <row r="589" ht="14.25" customHeight="1">
      <c r="A589" s="2">
        <v>588.0</v>
      </c>
      <c r="B589" s="2" t="s">
        <v>447</v>
      </c>
      <c r="C589" s="2" t="s">
        <v>1414</v>
      </c>
      <c r="D589" s="2" t="s">
        <v>1415</v>
      </c>
      <c r="E589" s="2" t="s">
        <v>1416</v>
      </c>
      <c r="F589" s="2" t="str">
        <f>IF(Names!$B589="M","Mr.",IF(Names!$B589="F","Ms.","Mx."))</f>
        <v>Ms.</v>
      </c>
      <c r="G589" s="2" t="str">
        <f>IF(Names!$B589="M","he",IF(Names!$B589="F","she","they"))</f>
        <v>she</v>
      </c>
      <c r="H589" s="2" t="str">
        <f>IF(Names!$B589="M","him",IF(Names!$B589="F","her","them"))</f>
        <v>her</v>
      </c>
      <c r="I589" s="2" t="str">
        <f>IF(Names!$B589="M","his",IF(Names!$B589="F","her","their"))</f>
        <v>her</v>
      </c>
    </row>
    <row r="590" ht="14.25" customHeight="1">
      <c r="A590" s="2">
        <v>589.0</v>
      </c>
      <c r="B590" s="2" t="s">
        <v>447</v>
      </c>
      <c r="C590" s="2" t="s">
        <v>1417</v>
      </c>
      <c r="D590" s="2" t="s">
        <v>1418</v>
      </c>
      <c r="E590" s="2" t="s">
        <v>1374</v>
      </c>
      <c r="F590" s="2" t="str">
        <f>IF(Names!$B590="M","Mr.",IF(Names!$B590="F","Ms.","Mx."))</f>
        <v>Ms.</v>
      </c>
      <c r="G590" s="2" t="str">
        <f>IF(Names!$B590="M","he",IF(Names!$B590="F","she","they"))</f>
        <v>she</v>
      </c>
      <c r="H590" s="2" t="str">
        <f>IF(Names!$B590="M","him",IF(Names!$B590="F","her","them"))</f>
        <v>her</v>
      </c>
      <c r="I590" s="2" t="str">
        <f>IF(Names!$B590="M","his",IF(Names!$B590="F","her","their"))</f>
        <v>her</v>
      </c>
    </row>
    <row r="591" ht="14.25" customHeight="1">
      <c r="A591" s="2">
        <v>590.0</v>
      </c>
      <c r="B591" s="2" t="s">
        <v>447</v>
      </c>
      <c r="C591" s="2" t="s">
        <v>1419</v>
      </c>
      <c r="D591" s="2" t="s">
        <v>1420</v>
      </c>
      <c r="E591" s="2" t="s">
        <v>1421</v>
      </c>
      <c r="F591" s="2" t="str">
        <f>IF(Names!$B591="M","Mr.",IF(Names!$B591="F","Ms.","Mx."))</f>
        <v>Ms.</v>
      </c>
      <c r="G591" s="2" t="str">
        <f>IF(Names!$B591="M","he",IF(Names!$B591="F","she","they"))</f>
        <v>she</v>
      </c>
      <c r="H591" s="2" t="str">
        <f>IF(Names!$B591="M","him",IF(Names!$B591="F","her","them"))</f>
        <v>her</v>
      </c>
      <c r="I591" s="2" t="str">
        <f>IF(Names!$B591="M","his",IF(Names!$B591="F","her","their"))</f>
        <v>her</v>
      </c>
    </row>
    <row r="592" ht="14.25" customHeight="1">
      <c r="A592" s="2">
        <v>591.0</v>
      </c>
      <c r="B592" s="2" t="s">
        <v>26</v>
      </c>
      <c r="C592" s="2" t="s">
        <v>1422</v>
      </c>
      <c r="D592" s="2" t="s">
        <v>223</v>
      </c>
      <c r="E592" s="2" t="s">
        <v>1423</v>
      </c>
      <c r="F592" s="2" t="str">
        <f>IF(Names!$B592="M","Mr.",IF(Names!$B592="F","Ms.","Mx."))</f>
        <v>Mr.</v>
      </c>
      <c r="G592" s="2" t="str">
        <f>IF(Names!$B592="M","he",IF(Names!$B592="F","she","they"))</f>
        <v>he</v>
      </c>
      <c r="H592" s="2" t="str">
        <f>IF(Names!$B592="M","him",IF(Names!$B592="F","her","them"))</f>
        <v>him</v>
      </c>
      <c r="I592" s="2" t="str">
        <f>IF(Names!$B592="M","his",IF(Names!$B592="F","her","their"))</f>
        <v>his</v>
      </c>
    </row>
    <row r="593" ht="14.25" customHeight="1">
      <c r="A593" s="2">
        <v>592.0</v>
      </c>
      <c r="B593" s="2" t="s">
        <v>26</v>
      </c>
      <c r="C593" s="2" t="s">
        <v>1424</v>
      </c>
      <c r="D593" s="2" t="s">
        <v>1425</v>
      </c>
      <c r="E593" s="2" t="s">
        <v>1426</v>
      </c>
      <c r="F593" s="2" t="str">
        <f>IF(Names!$B593="M","Mr.",IF(Names!$B593="F","Ms.","Mx."))</f>
        <v>Mr.</v>
      </c>
      <c r="G593" s="2" t="str">
        <f>IF(Names!$B593="M","he",IF(Names!$B593="F","she","they"))</f>
        <v>he</v>
      </c>
      <c r="H593" s="2" t="str">
        <f>IF(Names!$B593="M","him",IF(Names!$B593="F","her","them"))</f>
        <v>him</v>
      </c>
      <c r="I593" s="2" t="str">
        <f>IF(Names!$B593="M","his",IF(Names!$B593="F","her","their"))</f>
        <v>his</v>
      </c>
    </row>
    <row r="594" ht="14.25" customHeight="1">
      <c r="A594" s="2">
        <v>593.0</v>
      </c>
      <c r="B594" s="2" t="s">
        <v>26</v>
      </c>
      <c r="C594" s="2" t="s">
        <v>1427</v>
      </c>
      <c r="D594" s="2" t="s">
        <v>1428</v>
      </c>
      <c r="E594" s="2" t="s">
        <v>1429</v>
      </c>
      <c r="F594" s="2" t="str">
        <f>IF(Names!$B594="M","Mr.",IF(Names!$B594="F","Ms.","Mx."))</f>
        <v>Mr.</v>
      </c>
      <c r="G594" s="2" t="str">
        <f>IF(Names!$B594="M","he",IF(Names!$B594="F","she","they"))</f>
        <v>he</v>
      </c>
      <c r="H594" s="2" t="str">
        <f>IF(Names!$B594="M","him",IF(Names!$B594="F","her","them"))</f>
        <v>him</v>
      </c>
      <c r="I594" s="2" t="str">
        <f>IF(Names!$B594="M","his",IF(Names!$B594="F","her","their"))</f>
        <v>his</v>
      </c>
    </row>
    <row r="595" ht="14.25" customHeight="1">
      <c r="A595" s="2">
        <v>594.0</v>
      </c>
      <c r="B595" s="2" t="s">
        <v>26</v>
      </c>
      <c r="C595" s="2" t="s">
        <v>1430</v>
      </c>
      <c r="D595" s="2" t="s">
        <v>1431</v>
      </c>
      <c r="E595" s="2" t="s">
        <v>1432</v>
      </c>
      <c r="F595" s="2" t="str">
        <f>IF(Names!$B595="M","Mr.",IF(Names!$B595="F","Ms.","Mx."))</f>
        <v>Mr.</v>
      </c>
      <c r="G595" s="2" t="str">
        <f>IF(Names!$B595="M","he",IF(Names!$B595="F","she","they"))</f>
        <v>he</v>
      </c>
      <c r="H595" s="2" t="str">
        <f>IF(Names!$B595="M","him",IF(Names!$B595="F","her","them"))</f>
        <v>him</v>
      </c>
      <c r="I595" s="2" t="str">
        <f>IF(Names!$B595="M","his",IF(Names!$B595="F","her","their"))</f>
        <v>his</v>
      </c>
    </row>
    <row r="596" ht="14.25" customHeight="1">
      <c r="A596" s="2">
        <v>595.0</v>
      </c>
      <c r="B596" s="2" t="s">
        <v>26</v>
      </c>
      <c r="C596" s="2" t="s">
        <v>1433</v>
      </c>
      <c r="D596" s="2" t="s">
        <v>1434</v>
      </c>
      <c r="E596" s="2" t="s">
        <v>1435</v>
      </c>
      <c r="F596" s="2" t="str">
        <f>IF(Names!$B596="M","Mr.",IF(Names!$B596="F","Ms.","Mx."))</f>
        <v>Mr.</v>
      </c>
      <c r="G596" s="2" t="str">
        <f>IF(Names!$B596="M","he",IF(Names!$B596="F","she","they"))</f>
        <v>he</v>
      </c>
      <c r="H596" s="2" t="str">
        <f>IF(Names!$B596="M","him",IF(Names!$B596="F","her","them"))</f>
        <v>him</v>
      </c>
      <c r="I596" s="2" t="str">
        <f>IF(Names!$B596="M","his",IF(Names!$B596="F","her","their"))</f>
        <v>his</v>
      </c>
    </row>
    <row r="597" ht="14.25" customHeight="1">
      <c r="A597" s="2">
        <v>596.0</v>
      </c>
      <c r="B597" s="2" t="s">
        <v>26</v>
      </c>
      <c r="C597" s="2" t="s">
        <v>1436</v>
      </c>
      <c r="D597" s="2" t="s">
        <v>1437</v>
      </c>
      <c r="E597" s="2" t="s">
        <v>1438</v>
      </c>
      <c r="F597" s="2" t="str">
        <f>IF(Names!$B597="M","Mr.",IF(Names!$B597="F","Ms.","Mx."))</f>
        <v>Mr.</v>
      </c>
      <c r="G597" s="2" t="str">
        <f>IF(Names!$B597="M","he",IF(Names!$B597="F","she","they"))</f>
        <v>he</v>
      </c>
      <c r="H597" s="2" t="str">
        <f>IF(Names!$B597="M","him",IF(Names!$B597="F","her","them"))</f>
        <v>him</v>
      </c>
      <c r="I597" s="2" t="str">
        <f>IF(Names!$B597="M","his",IF(Names!$B597="F","her","their"))</f>
        <v>his</v>
      </c>
    </row>
    <row r="598" ht="14.25" customHeight="1">
      <c r="A598" s="2">
        <v>597.0</v>
      </c>
      <c r="B598" s="2" t="s">
        <v>26</v>
      </c>
      <c r="C598" s="2" t="s">
        <v>1439</v>
      </c>
      <c r="D598" s="2" t="s">
        <v>1440</v>
      </c>
      <c r="E598" s="2" t="s">
        <v>1441</v>
      </c>
      <c r="F598" s="2" t="str">
        <f>IF(Names!$B598="M","Mr.",IF(Names!$B598="F","Ms.","Mx."))</f>
        <v>Mr.</v>
      </c>
      <c r="G598" s="2" t="str">
        <f>IF(Names!$B598="M","he",IF(Names!$B598="F","she","they"))</f>
        <v>he</v>
      </c>
      <c r="H598" s="2" t="str">
        <f>IF(Names!$B598="M","him",IF(Names!$B598="F","her","them"))</f>
        <v>him</v>
      </c>
      <c r="I598" s="2" t="str">
        <f>IF(Names!$B598="M","his",IF(Names!$B598="F","her","their"))</f>
        <v>his</v>
      </c>
    </row>
    <row r="599" ht="14.25" customHeight="1">
      <c r="A599" s="2">
        <v>598.0</v>
      </c>
      <c r="B599" s="2" t="s">
        <v>26</v>
      </c>
      <c r="C599" s="2" t="s">
        <v>1442</v>
      </c>
      <c r="D599" s="2" t="s">
        <v>1443</v>
      </c>
      <c r="E599" s="2" t="s">
        <v>1444</v>
      </c>
      <c r="F599" s="2" t="str">
        <f>IF(Names!$B599="M","Mr.",IF(Names!$B599="F","Ms.","Mx."))</f>
        <v>Mr.</v>
      </c>
      <c r="G599" s="2" t="str">
        <f>IF(Names!$B599="M","he",IF(Names!$B599="F","she","they"))</f>
        <v>he</v>
      </c>
      <c r="H599" s="2" t="str">
        <f>IF(Names!$B599="M","him",IF(Names!$B599="F","her","them"))</f>
        <v>him</v>
      </c>
      <c r="I599" s="2" t="str">
        <f>IF(Names!$B599="M","his",IF(Names!$B599="F","her","their"))</f>
        <v>his</v>
      </c>
    </row>
    <row r="600" ht="14.25" customHeight="1">
      <c r="A600" s="2">
        <v>599.0</v>
      </c>
      <c r="B600" s="2" t="s">
        <v>26</v>
      </c>
      <c r="C600" s="2" t="s">
        <v>1445</v>
      </c>
      <c r="D600" s="2" t="s">
        <v>1446</v>
      </c>
      <c r="E600" s="2" t="s">
        <v>1447</v>
      </c>
      <c r="F600" s="2" t="str">
        <f>IF(Names!$B600="M","Mr.",IF(Names!$B600="F","Ms.","Mx."))</f>
        <v>Mr.</v>
      </c>
      <c r="G600" s="2" t="str">
        <f>IF(Names!$B600="M","he",IF(Names!$B600="F","she","they"))</f>
        <v>he</v>
      </c>
      <c r="H600" s="2" t="str">
        <f>IF(Names!$B600="M","him",IF(Names!$B600="F","her","them"))</f>
        <v>him</v>
      </c>
      <c r="I600" s="2" t="str">
        <f>IF(Names!$B600="M","his",IF(Names!$B600="F","her","their"))</f>
        <v>his</v>
      </c>
    </row>
    <row r="601" ht="14.25" customHeight="1">
      <c r="A601" s="2">
        <v>600.0</v>
      </c>
      <c r="B601" s="2" t="s">
        <v>26</v>
      </c>
      <c r="C601" s="2" t="s">
        <v>1448</v>
      </c>
      <c r="D601" s="2" t="s">
        <v>1449</v>
      </c>
      <c r="E601" s="2" t="s">
        <v>1450</v>
      </c>
      <c r="F601" s="2" t="str">
        <f>IF(Names!$B601="M","Mr.",IF(Names!$B601="F","Ms.","Mx."))</f>
        <v>Mr.</v>
      </c>
      <c r="G601" s="2" t="str">
        <f>IF(Names!$B601="M","he",IF(Names!$B601="F","she","they"))</f>
        <v>he</v>
      </c>
      <c r="H601" s="2" t="str">
        <f>IF(Names!$B601="M","him",IF(Names!$B601="F","her","them"))</f>
        <v>him</v>
      </c>
      <c r="I601" s="2" t="str">
        <f>IF(Names!$B601="M","his",IF(Names!$B601="F","her","their"))</f>
        <v>his</v>
      </c>
    </row>
    <row r="602" ht="14.25" customHeight="1">
      <c r="A602" s="2">
        <v>601.0</v>
      </c>
      <c r="B602" s="2" t="s">
        <v>447</v>
      </c>
      <c r="C602" s="2" t="s">
        <v>1451</v>
      </c>
      <c r="D602" s="2" t="s">
        <v>1452</v>
      </c>
      <c r="E602" s="2" t="s">
        <v>1453</v>
      </c>
      <c r="F602" s="2" t="str">
        <f>IF(Names!$B602="M","Mr.",IF(Names!$B602="F","Ms.","Mx."))</f>
        <v>Ms.</v>
      </c>
      <c r="G602" s="2" t="str">
        <f>IF(Names!$B602="M","he",IF(Names!$B602="F","she","they"))</f>
        <v>she</v>
      </c>
      <c r="H602" s="2" t="str">
        <f>IF(Names!$B602="M","him",IF(Names!$B602="F","her","them"))</f>
        <v>her</v>
      </c>
      <c r="I602" s="2" t="str">
        <f>IF(Names!$B602="M","his",IF(Names!$B602="F","her","their"))</f>
        <v>her</v>
      </c>
    </row>
    <row r="603" ht="14.25" customHeight="1">
      <c r="A603" s="2">
        <v>602.0</v>
      </c>
      <c r="B603" s="2" t="s">
        <v>447</v>
      </c>
      <c r="C603" s="2" t="s">
        <v>1454</v>
      </c>
      <c r="D603" s="2" t="s">
        <v>1455</v>
      </c>
      <c r="E603" s="2" t="s">
        <v>1456</v>
      </c>
      <c r="F603" s="2" t="str">
        <f>IF(Names!$B603="M","Mr.",IF(Names!$B603="F","Ms.","Mx."))</f>
        <v>Ms.</v>
      </c>
      <c r="G603" s="2" t="str">
        <f>IF(Names!$B603="M","he",IF(Names!$B603="F","she","they"))</f>
        <v>she</v>
      </c>
      <c r="H603" s="2" t="str">
        <f>IF(Names!$B603="M","him",IF(Names!$B603="F","her","them"))</f>
        <v>her</v>
      </c>
      <c r="I603" s="2" t="str">
        <f>IF(Names!$B603="M","his",IF(Names!$B603="F","her","their"))</f>
        <v>her</v>
      </c>
    </row>
    <row r="604" ht="14.25" customHeight="1">
      <c r="A604" s="2">
        <v>603.0</v>
      </c>
      <c r="B604" s="2" t="s">
        <v>447</v>
      </c>
      <c r="C604" s="2" t="s">
        <v>1457</v>
      </c>
      <c r="D604" s="2" t="s">
        <v>1458</v>
      </c>
      <c r="E604" s="2" t="s">
        <v>1459</v>
      </c>
      <c r="F604" s="2" t="str">
        <f>IF(Names!$B604="M","Mr.",IF(Names!$B604="F","Ms.","Mx."))</f>
        <v>Ms.</v>
      </c>
      <c r="G604" s="2" t="str">
        <f>IF(Names!$B604="M","he",IF(Names!$B604="F","she","they"))</f>
        <v>she</v>
      </c>
      <c r="H604" s="2" t="str">
        <f>IF(Names!$B604="M","him",IF(Names!$B604="F","her","them"))</f>
        <v>her</v>
      </c>
      <c r="I604" s="2" t="str">
        <f>IF(Names!$B604="M","his",IF(Names!$B604="F","her","their"))</f>
        <v>her</v>
      </c>
    </row>
    <row r="605" ht="14.25" customHeight="1">
      <c r="A605" s="2">
        <v>604.0</v>
      </c>
      <c r="B605" s="2" t="s">
        <v>447</v>
      </c>
      <c r="C605" s="2" t="s">
        <v>1460</v>
      </c>
      <c r="D605" s="2" t="s">
        <v>1461</v>
      </c>
      <c r="E605" s="2" t="s">
        <v>1462</v>
      </c>
      <c r="F605" s="2" t="str">
        <f>IF(Names!$B605="M","Mr.",IF(Names!$B605="F","Ms.","Mx."))</f>
        <v>Ms.</v>
      </c>
      <c r="G605" s="2" t="str">
        <f>IF(Names!$B605="M","he",IF(Names!$B605="F","she","they"))</f>
        <v>she</v>
      </c>
      <c r="H605" s="2" t="str">
        <f>IF(Names!$B605="M","him",IF(Names!$B605="F","her","them"))</f>
        <v>her</v>
      </c>
      <c r="I605" s="2" t="str">
        <f>IF(Names!$B605="M","his",IF(Names!$B605="F","her","their"))</f>
        <v>her</v>
      </c>
    </row>
    <row r="606" ht="14.25" customHeight="1">
      <c r="A606" s="2">
        <v>605.0</v>
      </c>
      <c r="B606" s="2" t="s">
        <v>48</v>
      </c>
      <c r="C606" s="2" t="s">
        <v>1463</v>
      </c>
      <c r="D606" s="2" t="s">
        <v>1464</v>
      </c>
      <c r="E606" s="2" t="s">
        <v>1465</v>
      </c>
      <c r="F606" s="2" t="str">
        <f>IF(Names!$B606="M","Mr.",IF(Names!$B606="F","Ms.","Mx."))</f>
        <v>Mx.</v>
      </c>
      <c r="G606" s="2" t="str">
        <f>IF(Names!$B606="M","he",IF(Names!$B606="F","she","they"))</f>
        <v>they</v>
      </c>
      <c r="H606" s="2" t="str">
        <f>IF(Names!$B606="M","him",IF(Names!$B606="F","her","them"))</f>
        <v>them</v>
      </c>
      <c r="I606" s="2" t="str">
        <f>IF(Names!$B606="M","his",IF(Names!$B606="F","her","their"))</f>
        <v>their</v>
      </c>
    </row>
    <row r="607" ht="14.25" customHeight="1">
      <c r="A607" s="2">
        <v>606.0</v>
      </c>
      <c r="B607" s="2" t="s">
        <v>447</v>
      </c>
      <c r="C607" s="2" t="s">
        <v>1466</v>
      </c>
      <c r="D607" s="2" t="s">
        <v>1467</v>
      </c>
      <c r="E607" s="2" t="s">
        <v>1447</v>
      </c>
      <c r="F607" s="2" t="str">
        <f>IF(Names!$B607="M","Mr.",IF(Names!$B607="F","Ms.","Mx."))</f>
        <v>Ms.</v>
      </c>
      <c r="G607" s="2" t="str">
        <f>IF(Names!$B607="M","he",IF(Names!$B607="F","she","they"))</f>
        <v>she</v>
      </c>
      <c r="H607" s="2" t="str">
        <f>IF(Names!$B607="M","him",IF(Names!$B607="F","her","them"))</f>
        <v>her</v>
      </c>
      <c r="I607" s="2" t="str">
        <f>IF(Names!$B607="M","his",IF(Names!$B607="F","her","their"))</f>
        <v>her</v>
      </c>
    </row>
    <row r="608" ht="14.25" customHeight="1">
      <c r="A608" s="2">
        <v>607.0</v>
      </c>
      <c r="B608" s="2" t="s">
        <v>447</v>
      </c>
      <c r="C608" s="2" t="s">
        <v>1468</v>
      </c>
      <c r="D608" s="2" t="s">
        <v>1469</v>
      </c>
      <c r="E608" s="2" t="s">
        <v>1470</v>
      </c>
      <c r="F608" s="2" t="str">
        <f>IF(Names!$B608="M","Mr.",IF(Names!$B608="F","Ms.","Mx."))</f>
        <v>Ms.</v>
      </c>
      <c r="G608" s="2" t="str">
        <f>IF(Names!$B608="M","he",IF(Names!$B608="F","she","they"))</f>
        <v>she</v>
      </c>
      <c r="H608" s="2" t="str">
        <f>IF(Names!$B608="M","him",IF(Names!$B608="F","her","them"))</f>
        <v>her</v>
      </c>
      <c r="I608" s="2" t="str">
        <f>IF(Names!$B608="M","his",IF(Names!$B608="F","her","their"))</f>
        <v>her</v>
      </c>
    </row>
    <row r="609" ht="14.25" customHeight="1">
      <c r="A609" s="2">
        <v>608.0</v>
      </c>
      <c r="B609" s="2" t="s">
        <v>447</v>
      </c>
      <c r="C609" s="2" t="s">
        <v>1471</v>
      </c>
      <c r="D609" s="2" t="s">
        <v>1472</v>
      </c>
      <c r="E609" s="2" t="s">
        <v>1473</v>
      </c>
      <c r="F609" s="2" t="str">
        <f>IF(Names!$B609="M","Mr.",IF(Names!$B609="F","Ms.","Mx."))</f>
        <v>Ms.</v>
      </c>
      <c r="G609" s="2" t="str">
        <f>IF(Names!$B609="M","he",IF(Names!$B609="F","she","they"))</f>
        <v>she</v>
      </c>
      <c r="H609" s="2" t="str">
        <f>IF(Names!$B609="M","him",IF(Names!$B609="F","her","them"))</f>
        <v>her</v>
      </c>
      <c r="I609" s="2" t="str">
        <f>IF(Names!$B609="M","his",IF(Names!$B609="F","her","their"))</f>
        <v>her</v>
      </c>
    </row>
    <row r="610" ht="14.25" customHeight="1">
      <c r="A610" s="2">
        <v>609.0</v>
      </c>
      <c r="B610" s="2" t="s">
        <v>447</v>
      </c>
      <c r="C610" s="2" t="s">
        <v>1474</v>
      </c>
      <c r="D610" s="2" t="s">
        <v>1475</v>
      </c>
      <c r="E610" s="2" t="s">
        <v>1476</v>
      </c>
      <c r="F610" s="2" t="str">
        <f>IF(Names!$B610="M","Mr.",IF(Names!$B610="F","Ms.","Mx."))</f>
        <v>Ms.</v>
      </c>
      <c r="G610" s="2" t="str">
        <f>IF(Names!$B610="M","he",IF(Names!$B610="F","she","they"))</f>
        <v>she</v>
      </c>
      <c r="H610" s="2" t="str">
        <f>IF(Names!$B610="M","him",IF(Names!$B610="F","her","them"))</f>
        <v>her</v>
      </c>
      <c r="I610" s="2" t="str">
        <f>IF(Names!$B610="M","his",IF(Names!$B610="F","her","their"))</f>
        <v>her</v>
      </c>
    </row>
    <row r="611" ht="14.25" customHeight="1">
      <c r="A611" s="2">
        <v>610.0</v>
      </c>
      <c r="B611" s="2" t="s">
        <v>447</v>
      </c>
      <c r="C611" s="2" t="s">
        <v>1477</v>
      </c>
      <c r="D611" s="2" t="s">
        <v>1478</v>
      </c>
      <c r="E611" s="2" t="s">
        <v>1479</v>
      </c>
      <c r="F611" s="2" t="str">
        <f>IF(Names!$B611="M","Mr.",IF(Names!$B611="F","Ms.","Mx."))</f>
        <v>Ms.</v>
      </c>
      <c r="G611" s="2" t="str">
        <f>IF(Names!$B611="M","he",IF(Names!$B611="F","she","they"))</f>
        <v>she</v>
      </c>
      <c r="H611" s="2" t="str">
        <f>IF(Names!$B611="M","him",IF(Names!$B611="F","her","them"))</f>
        <v>her</v>
      </c>
      <c r="I611" s="2" t="str">
        <f>IF(Names!$B611="M","his",IF(Names!$B611="F","her","their"))</f>
        <v>her</v>
      </c>
    </row>
    <row r="612" ht="14.25" customHeight="1">
      <c r="A612" s="2">
        <v>611.0</v>
      </c>
      <c r="B612" s="2" t="s">
        <v>26</v>
      </c>
      <c r="C612" s="2" t="s">
        <v>1480</v>
      </c>
      <c r="D612" s="2" t="s">
        <v>1481</v>
      </c>
      <c r="E612" s="2" t="s">
        <v>1482</v>
      </c>
      <c r="F612" s="2" t="str">
        <f>IF(Names!$B612="M","Mr.",IF(Names!$B612="F","Ms.","Mx."))</f>
        <v>Mr.</v>
      </c>
      <c r="G612" s="2" t="str">
        <f>IF(Names!$B612="M","he",IF(Names!$B612="F","she","they"))</f>
        <v>he</v>
      </c>
      <c r="H612" s="2" t="str">
        <f>IF(Names!$B612="M","him",IF(Names!$B612="F","her","them"))</f>
        <v>him</v>
      </c>
      <c r="I612" s="2" t="str">
        <f>IF(Names!$B612="M","his",IF(Names!$B612="F","her","their"))</f>
        <v>his</v>
      </c>
    </row>
    <row r="613" ht="14.25" customHeight="1">
      <c r="A613" s="2">
        <v>612.0</v>
      </c>
      <c r="B613" s="2" t="s">
        <v>26</v>
      </c>
      <c r="C613" s="2" t="s">
        <v>1483</v>
      </c>
      <c r="D613" s="2" t="s">
        <v>1484</v>
      </c>
      <c r="E613" s="2" t="s">
        <v>1485</v>
      </c>
      <c r="F613" s="2" t="str">
        <f>IF(Names!$B613="M","Mr.",IF(Names!$B613="F","Ms.","Mx."))</f>
        <v>Mr.</v>
      </c>
      <c r="G613" s="2" t="str">
        <f>IF(Names!$B613="M","he",IF(Names!$B613="F","she","they"))</f>
        <v>he</v>
      </c>
      <c r="H613" s="2" t="str">
        <f>IF(Names!$B613="M","him",IF(Names!$B613="F","her","them"))</f>
        <v>him</v>
      </c>
      <c r="I613" s="2" t="str">
        <f>IF(Names!$B613="M","his",IF(Names!$B613="F","her","their"))</f>
        <v>his</v>
      </c>
    </row>
    <row r="614" ht="14.25" customHeight="1">
      <c r="A614" s="2">
        <v>613.0</v>
      </c>
      <c r="B614" s="2" t="s">
        <v>26</v>
      </c>
      <c r="C614" s="2" t="s">
        <v>1486</v>
      </c>
      <c r="D614" s="2" t="s">
        <v>1487</v>
      </c>
      <c r="E614" s="2" t="s">
        <v>1488</v>
      </c>
      <c r="F614" s="2" t="str">
        <f>IF(Names!$B614="M","Mr.",IF(Names!$B614="F","Ms.","Mx."))</f>
        <v>Mr.</v>
      </c>
      <c r="G614" s="2" t="str">
        <f>IF(Names!$B614="M","he",IF(Names!$B614="F","she","they"))</f>
        <v>he</v>
      </c>
      <c r="H614" s="2" t="str">
        <f>IF(Names!$B614="M","him",IF(Names!$B614="F","her","them"))</f>
        <v>him</v>
      </c>
      <c r="I614" s="2" t="str">
        <f>IF(Names!$B614="M","his",IF(Names!$B614="F","her","their"))</f>
        <v>his</v>
      </c>
    </row>
    <row r="615" ht="14.25" customHeight="1">
      <c r="A615" s="2">
        <v>614.0</v>
      </c>
      <c r="B615" s="2" t="s">
        <v>26</v>
      </c>
      <c r="C615" s="2" t="s">
        <v>1489</v>
      </c>
      <c r="D615" s="2" t="s">
        <v>1490</v>
      </c>
      <c r="E615" s="2" t="s">
        <v>1491</v>
      </c>
      <c r="F615" s="2" t="str">
        <f>IF(Names!$B615="M","Mr.",IF(Names!$B615="F","Ms.","Mx."))</f>
        <v>Mr.</v>
      </c>
      <c r="G615" s="2" t="str">
        <f>IF(Names!$B615="M","he",IF(Names!$B615="F","she","they"))</f>
        <v>he</v>
      </c>
      <c r="H615" s="2" t="str">
        <f>IF(Names!$B615="M","him",IF(Names!$B615="F","her","them"))</f>
        <v>him</v>
      </c>
      <c r="I615" s="2" t="str">
        <f>IF(Names!$B615="M","his",IF(Names!$B615="F","her","their"))</f>
        <v>his</v>
      </c>
    </row>
    <row r="616" ht="14.25" customHeight="1">
      <c r="A616" s="2">
        <v>615.0</v>
      </c>
      <c r="B616" s="2" t="s">
        <v>26</v>
      </c>
      <c r="C616" s="2" t="s">
        <v>1492</v>
      </c>
      <c r="D616" s="2" t="s">
        <v>1493</v>
      </c>
      <c r="E616" s="2" t="s">
        <v>1494</v>
      </c>
      <c r="F616" s="2" t="str">
        <f>IF(Names!$B616="M","Mr.",IF(Names!$B616="F","Ms.","Mx."))</f>
        <v>Mr.</v>
      </c>
      <c r="G616" s="2" t="str">
        <f>IF(Names!$B616="M","he",IF(Names!$B616="F","she","they"))</f>
        <v>he</v>
      </c>
      <c r="H616" s="2" t="str">
        <f>IF(Names!$B616="M","him",IF(Names!$B616="F","her","them"))</f>
        <v>him</v>
      </c>
      <c r="I616" s="2" t="str">
        <f>IF(Names!$B616="M","his",IF(Names!$B616="F","her","their"))</f>
        <v>his</v>
      </c>
    </row>
    <row r="617" ht="14.25" customHeight="1">
      <c r="A617" s="2">
        <v>616.0</v>
      </c>
      <c r="B617" s="2" t="s">
        <v>26</v>
      </c>
      <c r="C617" s="2" t="s">
        <v>1495</v>
      </c>
      <c r="D617" s="2" t="s">
        <v>1496</v>
      </c>
      <c r="E617" s="2" t="s">
        <v>1497</v>
      </c>
      <c r="F617" s="2" t="str">
        <f>IF(Names!$B617="M","Mr.",IF(Names!$B617="F","Ms.","Mx."))</f>
        <v>Mr.</v>
      </c>
      <c r="G617" s="2" t="str">
        <f>IF(Names!$B617="M","he",IF(Names!$B617="F","she","they"))</f>
        <v>he</v>
      </c>
      <c r="H617" s="2" t="str">
        <f>IF(Names!$B617="M","him",IF(Names!$B617="F","her","them"))</f>
        <v>him</v>
      </c>
      <c r="I617" s="2" t="str">
        <f>IF(Names!$B617="M","his",IF(Names!$B617="F","her","their"))</f>
        <v>his</v>
      </c>
    </row>
    <row r="618" ht="14.25" customHeight="1">
      <c r="A618" s="2">
        <v>617.0</v>
      </c>
      <c r="B618" s="2" t="s">
        <v>26</v>
      </c>
      <c r="C618" s="2" t="s">
        <v>1498</v>
      </c>
      <c r="D618" s="2" t="s">
        <v>1499</v>
      </c>
      <c r="E618" s="2" t="s">
        <v>1500</v>
      </c>
      <c r="F618" s="2" t="str">
        <f>IF(Names!$B618="M","Mr.",IF(Names!$B618="F","Ms.","Mx."))</f>
        <v>Mr.</v>
      </c>
      <c r="G618" s="2" t="str">
        <f>IF(Names!$B618="M","he",IF(Names!$B618="F","she","they"))</f>
        <v>he</v>
      </c>
      <c r="H618" s="2" t="str">
        <f>IF(Names!$B618="M","him",IF(Names!$B618="F","her","them"))</f>
        <v>him</v>
      </c>
      <c r="I618" s="2" t="str">
        <f>IF(Names!$B618="M","his",IF(Names!$B618="F","her","their"))</f>
        <v>his</v>
      </c>
    </row>
    <row r="619" ht="14.25" customHeight="1">
      <c r="A619" s="2">
        <v>618.0</v>
      </c>
      <c r="B619" s="2" t="s">
        <v>26</v>
      </c>
      <c r="C619" s="2" t="s">
        <v>1501</v>
      </c>
      <c r="D619" s="2" t="s">
        <v>1502</v>
      </c>
      <c r="E619" s="2" t="s">
        <v>1503</v>
      </c>
      <c r="F619" s="2" t="str">
        <f>IF(Names!$B619="M","Mr.",IF(Names!$B619="F","Ms.","Mx."))</f>
        <v>Mr.</v>
      </c>
      <c r="G619" s="2" t="str">
        <f>IF(Names!$B619="M","he",IF(Names!$B619="F","she","they"))</f>
        <v>he</v>
      </c>
      <c r="H619" s="2" t="str">
        <f>IF(Names!$B619="M","him",IF(Names!$B619="F","her","them"))</f>
        <v>him</v>
      </c>
      <c r="I619" s="2" t="str">
        <f>IF(Names!$B619="M","his",IF(Names!$B619="F","her","their"))</f>
        <v>his</v>
      </c>
    </row>
    <row r="620" ht="14.25" customHeight="1">
      <c r="A620" s="2">
        <v>619.0</v>
      </c>
      <c r="B620" s="2" t="s">
        <v>48</v>
      </c>
      <c r="C620" s="2" t="s">
        <v>1504</v>
      </c>
      <c r="D620" s="2" t="s">
        <v>1505</v>
      </c>
      <c r="E620" s="2" t="s">
        <v>1506</v>
      </c>
      <c r="F620" s="2" t="str">
        <f>IF(Names!$B620="M","Mr.",IF(Names!$B620="F","Ms.","Mx."))</f>
        <v>Mx.</v>
      </c>
      <c r="G620" s="2" t="str">
        <f>IF(Names!$B620="M","he",IF(Names!$B620="F","she","they"))</f>
        <v>they</v>
      </c>
      <c r="H620" s="2" t="str">
        <f>IF(Names!$B620="M","him",IF(Names!$B620="F","her","them"))</f>
        <v>them</v>
      </c>
      <c r="I620" s="2" t="str">
        <f>IF(Names!$B620="M","his",IF(Names!$B620="F","her","their"))</f>
        <v>their</v>
      </c>
    </row>
    <row r="621" ht="14.25" customHeight="1">
      <c r="A621" s="2">
        <v>620.0</v>
      </c>
      <c r="B621" s="2" t="s">
        <v>26</v>
      </c>
      <c r="C621" s="2" t="s">
        <v>1507</v>
      </c>
      <c r="D621" s="2" t="s">
        <v>1508</v>
      </c>
      <c r="E621" s="2" t="s">
        <v>1509</v>
      </c>
      <c r="F621" s="2" t="str">
        <f>IF(Names!$B621="M","Mr.",IF(Names!$B621="F","Ms.","Mx."))</f>
        <v>Mr.</v>
      </c>
      <c r="G621" s="2" t="str">
        <f>IF(Names!$B621="M","he",IF(Names!$B621="F","she","they"))</f>
        <v>he</v>
      </c>
      <c r="H621" s="2" t="str">
        <f>IF(Names!$B621="M","him",IF(Names!$B621="F","her","them"))</f>
        <v>him</v>
      </c>
      <c r="I621" s="2" t="str">
        <f>IF(Names!$B621="M","his",IF(Names!$B621="F","her","their"))</f>
        <v>his</v>
      </c>
    </row>
    <row r="622" ht="14.25" customHeight="1">
      <c r="A622" s="2">
        <v>621.0</v>
      </c>
      <c r="B622" s="2" t="s">
        <v>447</v>
      </c>
      <c r="C622" s="2" t="s">
        <v>1510</v>
      </c>
      <c r="D622" s="2" t="s">
        <v>1511</v>
      </c>
      <c r="E622" s="2" t="s">
        <v>1512</v>
      </c>
      <c r="F622" s="2" t="str">
        <f>IF(Names!$B622="M","Mr.",IF(Names!$B622="F","Ms.","Mx."))</f>
        <v>Ms.</v>
      </c>
      <c r="G622" s="2" t="str">
        <f>IF(Names!$B622="M","he",IF(Names!$B622="F","she","they"))</f>
        <v>she</v>
      </c>
      <c r="H622" s="2" t="str">
        <f>IF(Names!$B622="M","him",IF(Names!$B622="F","her","them"))</f>
        <v>her</v>
      </c>
      <c r="I622" s="2" t="str">
        <f>IF(Names!$B622="M","his",IF(Names!$B622="F","her","their"))</f>
        <v>her</v>
      </c>
    </row>
    <row r="623" ht="14.25" customHeight="1">
      <c r="A623" s="2">
        <v>622.0</v>
      </c>
      <c r="B623" s="2" t="s">
        <v>447</v>
      </c>
      <c r="C623" s="2" t="s">
        <v>1513</v>
      </c>
      <c r="D623" s="2" t="s">
        <v>1514</v>
      </c>
      <c r="E623" s="2" t="s">
        <v>1515</v>
      </c>
      <c r="F623" s="2" t="str">
        <f>IF(Names!$B623="M","Mr.",IF(Names!$B623="F","Ms.","Mx."))</f>
        <v>Ms.</v>
      </c>
      <c r="G623" s="2" t="str">
        <f>IF(Names!$B623="M","he",IF(Names!$B623="F","she","they"))</f>
        <v>she</v>
      </c>
      <c r="H623" s="2" t="str">
        <f>IF(Names!$B623="M","him",IF(Names!$B623="F","her","them"))</f>
        <v>her</v>
      </c>
      <c r="I623" s="2" t="str">
        <f>IF(Names!$B623="M","his",IF(Names!$B623="F","her","their"))</f>
        <v>her</v>
      </c>
    </row>
    <row r="624" ht="14.25" customHeight="1">
      <c r="A624" s="2">
        <v>623.0</v>
      </c>
      <c r="B624" s="2" t="s">
        <v>447</v>
      </c>
      <c r="C624" s="2" t="s">
        <v>1516</v>
      </c>
      <c r="D624" s="2" t="s">
        <v>1517</v>
      </c>
      <c r="E624" s="2" t="s">
        <v>1518</v>
      </c>
      <c r="F624" s="2" t="str">
        <f>IF(Names!$B624="M","Mr.",IF(Names!$B624="F","Ms.","Mx."))</f>
        <v>Ms.</v>
      </c>
      <c r="G624" s="2" t="str">
        <f>IF(Names!$B624="M","he",IF(Names!$B624="F","she","they"))</f>
        <v>she</v>
      </c>
      <c r="H624" s="2" t="str">
        <f>IF(Names!$B624="M","him",IF(Names!$B624="F","her","them"))</f>
        <v>her</v>
      </c>
      <c r="I624" s="2" t="str">
        <f>IF(Names!$B624="M","his",IF(Names!$B624="F","her","their"))</f>
        <v>her</v>
      </c>
    </row>
    <row r="625" ht="14.25" customHeight="1">
      <c r="A625" s="2">
        <v>624.0</v>
      </c>
      <c r="B625" s="2" t="s">
        <v>447</v>
      </c>
      <c r="C625" s="2" t="s">
        <v>1519</v>
      </c>
      <c r="D625" s="2" t="s">
        <v>1520</v>
      </c>
      <c r="E625" s="2" t="s">
        <v>1521</v>
      </c>
      <c r="F625" s="2" t="str">
        <f>IF(Names!$B625="M","Mr.",IF(Names!$B625="F","Ms.","Mx."))</f>
        <v>Ms.</v>
      </c>
      <c r="G625" s="2" t="str">
        <f>IF(Names!$B625="M","he",IF(Names!$B625="F","she","they"))</f>
        <v>she</v>
      </c>
      <c r="H625" s="2" t="str">
        <f>IF(Names!$B625="M","him",IF(Names!$B625="F","her","them"))</f>
        <v>her</v>
      </c>
      <c r="I625" s="2" t="str">
        <f>IF(Names!$B625="M","his",IF(Names!$B625="F","her","their"))</f>
        <v>her</v>
      </c>
    </row>
    <row r="626" ht="14.25" customHeight="1">
      <c r="A626" s="2">
        <v>625.0</v>
      </c>
      <c r="B626" s="2" t="s">
        <v>447</v>
      </c>
      <c r="C626" s="2" t="s">
        <v>1522</v>
      </c>
      <c r="D626" s="2" t="s">
        <v>1523</v>
      </c>
      <c r="E626" s="2" t="s">
        <v>1524</v>
      </c>
      <c r="F626" s="2" t="str">
        <f>IF(Names!$B626="M","Mr.",IF(Names!$B626="F","Ms.","Mx."))</f>
        <v>Ms.</v>
      </c>
      <c r="G626" s="2" t="str">
        <f>IF(Names!$B626="M","he",IF(Names!$B626="F","she","they"))</f>
        <v>she</v>
      </c>
      <c r="H626" s="2" t="str">
        <f>IF(Names!$B626="M","him",IF(Names!$B626="F","her","them"))</f>
        <v>her</v>
      </c>
      <c r="I626" s="2" t="str">
        <f>IF(Names!$B626="M","his",IF(Names!$B626="F","her","their"))</f>
        <v>her</v>
      </c>
    </row>
    <row r="627" ht="14.25" customHeight="1">
      <c r="A627" s="2">
        <v>626.0</v>
      </c>
      <c r="B627" s="2" t="s">
        <v>447</v>
      </c>
      <c r="C627" s="2" t="s">
        <v>1525</v>
      </c>
      <c r="D627" s="2" t="s">
        <v>1526</v>
      </c>
      <c r="E627" s="2" t="s">
        <v>1527</v>
      </c>
      <c r="F627" s="2" t="str">
        <f>IF(Names!$B627="M","Mr.",IF(Names!$B627="F","Ms.","Mx."))</f>
        <v>Ms.</v>
      </c>
      <c r="G627" s="2" t="str">
        <f>IF(Names!$B627="M","he",IF(Names!$B627="F","she","they"))</f>
        <v>she</v>
      </c>
      <c r="H627" s="2" t="str">
        <f>IF(Names!$B627="M","him",IF(Names!$B627="F","her","them"))</f>
        <v>her</v>
      </c>
      <c r="I627" s="2" t="str">
        <f>IF(Names!$B627="M","his",IF(Names!$B627="F","her","their"))</f>
        <v>her</v>
      </c>
    </row>
    <row r="628" ht="14.25" customHeight="1">
      <c r="A628" s="2">
        <v>627.0</v>
      </c>
      <c r="B628" s="2" t="s">
        <v>447</v>
      </c>
      <c r="C628" s="2" t="s">
        <v>1528</v>
      </c>
      <c r="D628" s="2" t="s">
        <v>1529</v>
      </c>
      <c r="E628" s="2" t="s">
        <v>1530</v>
      </c>
      <c r="F628" s="2" t="str">
        <f>IF(Names!$B628="M","Mr.",IF(Names!$B628="F","Ms.","Mx."))</f>
        <v>Ms.</v>
      </c>
      <c r="G628" s="2" t="str">
        <f>IF(Names!$B628="M","he",IF(Names!$B628="F","she","they"))</f>
        <v>she</v>
      </c>
      <c r="H628" s="2" t="str">
        <f>IF(Names!$B628="M","him",IF(Names!$B628="F","her","them"))</f>
        <v>her</v>
      </c>
      <c r="I628" s="2" t="str">
        <f>IF(Names!$B628="M","his",IF(Names!$B628="F","her","their"))</f>
        <v>her</v>
      </c>
    </row>
    <row r="629" ht="14.25" customHeight="1">
      <c r="A629" s="2">
        <v>628.0</v>
      </c>
      <c r="B629" s="2" t="s">
        <v>447</v>
      </c>
      <c r="C629" s="2" t="s">
        <v>1531</v>
      </c>
      <c r="D629" s="2" t="s">
        <v>1532</v>
      </c>
      <c r="E629" s="2" t="s">
        <v>1533</v>
      </c>
      <c r="F629" s="2" t="str">
        <f>IF(Names!$B629="M","Mr.",IF(Names!$B629="F","Ms.","Mx."))</f>
        <v>Ms.</v>
      </c>
      <c r="G629" s="2" t="str">
        <f>IF(Names!$B629="M","he",IF(Names!$B629="F","she","they"))</f>
        <v>she</v>
      </c>
      <c r="H629" s="2" t="str">
        <f>IF(Names!$B629="M","him",IF(Names!$B629="F","her","them"))</f>
        <v>her</v>
      </c>
      <c r="I629" s="2" t="str">
        <f>IF(Names!$B629="M","his",IF(Names!$B629="F","her","their"))</f>
        <v>her</v>
      </c>
    </row>
    <row r="630" ht="14.25" customHeight="1">
      <c r="A630" s="2">
        <v>629.0</v>
      </c>
      <c r="B630" s="2" t="s">
        <v>447</v>
      </c>
      <c r="C630" s="2" t="s">
        <v>1534</v>
      </c>
      <c r="D630" s="2" t="s">
        <v>1535</v>
      </c>
      <c r="E630" s="2" t="s">
        <v>1536</v>
      </c>
      <c r="F630" s="2" t="str">
        <f>IF(Names!$B630="M","Mr.",IF(Names!$B630="F","Ms.","Mx."))</f>
        <v>Ms.</v>
      </c>
      <c r="G630" s="2" t="str">
        <f>IF(Names!$B630="M","he",IF(Names!$B630="F","she","they"))</f>
        <v>she</v>
      </c>
      <c r="H630" s="2" t="str">
        <f>IF(Names!$B630="M","him",IF(Names!$B630="F","her","them"))</f>
        <v>her</v>
      </c>
      <c r="I630" s="2" t="str">
        <f>IF(Names!$B630="M","his",IF(Names!$B630="F","her","their"))</f>
        <v>her</v>
      </c>
    </row>
    <row r="631" ht="14.25" customHeight="1">
      <c r="A631" s="2">
        <v>630.0</v>
      </c>
      <c r="B631" s="2" t="s">
        <v>447</v>
      </c>
      <c r="C631" s="2" t="s">
        <v>1537</v>
      </c>
      <c r="D631" s="2" t="s">
        <v>1538</v>
      </c>
      <c r="E631" s="2" t="s">
        <v>1539</v>
      </c>
      <c r="F631" s="2" t="str">
        <f>IF(Names!$B631="M","Mr.",IF(Names!$B631="F","Ms.","Mx."))</f>
        <v>Ms.</v>
      </c>
      <c r="G631" s="2" t="str">
        <f>IF(Names!$B631="M","he",IF(Names!$B631="F","she","they"))</f>
        <v>she</v>
      </c>
      <c r="H631" s="2" t="str">
        <f>IF(Names!$B631="M","him",IF(Names!$B631="F","her","them"))</f>
        <v>her</v>
      </c>
      <c r="I631" s="2" t="str">
        <f>IF(Names!$B631="M","his",IF(Names!$B631="F","her","their"))</f>
        <v>her</v>
      </c>
    </row>
    <row r="632" ht="14.25" customHeight="1">
      <c r="A632" s="2">
        <v>631.0</v>
      </c>
      <c r="B632" s="2" t="s">
        <v>26</v>
      </c>
      <c r="C632" s="2" t="s">
        <v>1540</v>
      </c>
      <c r="D632" s="2" t="s">
        <v>1541</v>
      </c>
      <c r="E632" s="2" t="s">
        <v>1542</v>
      </c>
      <c r="F632" s="2" t="str">
        <f>IF(Names!$B632="M","Mr.",IF(Names!$B632="F","Ms.","Mx."))</f>
        <v>Mr.</v>
      </c>
      <c r="G632" s="2" t="str">
        <f>IF(Names!$B632="M","he",IF(Names!$B632="F","she","they"))</f>
        <v>he</v>
      </c>
      <c r="H632" s="2" t="str">
        <f>IF(Names!$B632="M","him",IF(Names!$B632="F","her","them"))</f>
        <v>him</v>
      </c>
      <c r="I632" s="2" t="str">
        <f>IF(Names!$B632="M","his",IF(Names!$B632="F","her","their"))</f>
        <v>his</v>
      </c>
    </row>
    <row r="633" ht="14.25" customHeight="1">
      <c r="A633" s="2">
        <v>632.0</v>
      </c>
      <c r="B633" s="2" t="s">
        <v>26</v>
      </c>
      <c r="C633" s="2" t="s">
        <v>1543</v>
      </c>
      <c r="D633" s="2" t="s">
        <v>1544</v>
      </c>
      <c r="E633" s="2" t="s">
        <v>1545</v>
      </c>
      <c r="F633" s="2" t="str">
        <f>IF(Names!$B633="M","Mr.",IF(Names!$B633="F","Ms.","Mx."))</f>
        <v>Mr.</v>
      </c>
      <c r="G633" s="2" t="str">
        <f>IF(Names!$B633="M","he",IF(Names!$B633="F","she","they"))</f>
        <v>he</v>
      </c>
      <c r="H633" s="2" t="str">
        <f>IF(Names!$B633="M","him",IF(Names!$B633="F","her","them"))</f>
        <v>him</v>
      </c>
      <c r="I633" s="2" t="str">
        <f>IF(Names!$B633="M","his",IF(Names!$B633="F","her","their"))</f>
        <v>his</v>
      </c>
    </row>
    <row r="634" ht="14.25" customHeight="1">
      <c r="A634" s="2">
        <v>633.0</v>
      </c>
      <c r="B634" s="2" t="s">
        <v>26</v>
      </c>
      <c r="C634" s="2" t="s">
        <v>1546</v>
      </c>
      <c r="D634" s="2" t="s">
        <v>1547</v>
      </c>
      <c r="E634" s="2" t="s">
        <v>1548</v>
      </c>
      <c r="F634" s="2" t="str">
        <f>IF(Names!$B634="M","Mr.",IF(Names!$B634="F","Ms.","Mx."))</f>
        <v>Mr.</v>
      </c>
      <c r="G634" s="2" t="str">
        <f>IF(Names!$B634="M","he",IF(Names!$B634="F","she","they"))</f>
        <v>he</v>
      </c>
      <c r="H634" s="2" t="str">
        <f>IF(Names!$B634="M","him",IF(Names!$B634="F","her","them"))</f>
        <v>him</v>
      </c>
      <c r="I634" s="2" t="str">
        <f>IF(Names!$B634="M","his",IF(Names!$B634="F","her","their"))</f>
        <v>his</v>
      </c>
    </row>
    <row r="635" ht="14.25" customHeight="1">
      <c r="A635" s="2">
        <v>634.0</v>
      </c>
      <c r="B635" s="2" t="s">
        <v>26</v>
      </c>
      <c r="C635" s="2" t="s">
        <v>1549</v>
      </c>
      <c r="D635" s="2" t="s">
        <v>1550</v>
      </c>
      <c r="E635" s="2" t="s">
        <v>1551</v>
      </c>
      <c r="F635" s="2" t="str">
        <f>IF(Names!$B635="M","Mr.",IF(Names!$B635="F","Ms.","Mx."))</f>
        <v>Mr.</v>
      </c>
      <c r="G635" s="2" t="str">
        <f>IF(Names!$B635="M","he",IF(Names!$B635="F","she","they"))</f>
        <v>he</v>
      </c>
      <c r="H635" s="2" t="str">
        <f>IF(Names!$B635="M","him",IF(Names!$B635="F","her","them"))</f>
        <v>him</v>
      </c>
      <c r="I635" s="2" t="str">
        <f>IF(Names!$B635="M","his",IF(Names!$B635="F","her","their"))</f>
        <v>his</v>
      </c>
    </row>
    <row r="636" ht="14.25" customHeight="1">
      <c r="A636" s="2">
        <v>635.0</v>
      </c>
      <c r="B636" s="2" t="s">
        <v>26</v>
      </c>
      <c r="C636" s="2" t="s">
        <v>1552</v>
      </c>
      <c r="D636" s="2" t="s">
        <v>1553</v>
      </c>
      <c r="E636" s="2" t="s">
        <v>1554</v>
      </c>
      <c r="F636" s="2" t="str">
        <f>IF(Names!$B636="M","Mr.",IF(Names!$B636="F","Ms.","Mx."))</f>
        <v>Mr.</v>
      </c>
      <c r="G636" s="2" t="str">
        <f>IF(Names!$B636="M","he",IF(Names!$B636="F","she","they"))</f>
        <v>he</v>
      </c>
      <c r="H636" s="2" t="str">
        <f>IF(Names!$B636="M","him",IF(Names!$B636="F","her","them"))</f>
        <v>him</v>
      </c>
      <c r="I636" s="2" t="str">
        <f>IF(Names!$B636="M","his",IF(Names!$B636="F","her","their"))</f>
        <v>his</v>
      </c>
    </row>
    <row r="637" ht="14.25" customHeight="1">
      <c r="A637" s="2">
        <v>636.0</v>
      </c>
      <c r="B637" s="2" t="s">
        <v>26</v>
      </c>
      <c r="C637" s="2" t="s">
        <v>1555</v>
      </c>
      <c r="D637" s="2" t="s">
        <v>1556</v>
      </c>
      <c r="E637" s="2" t="s">
        <v>1557</v>
      </c>
      <c r="F637" s="2" t="str">
        <f>IF(Names!$B637="M","Mr.",IF(Names!$B637="F","Ms.","Mx."))</f>
        <v>Mr.</v>
      </c>
      <c r="G637" s="2" t="str">
        <f>IF(Names!$B637="M","he",IF(Names!$B637="F","she","they"))</f>
        <v>he</v>
      </c>
      <c r="H637" s="2" t="str">
        <f>IF(Names!$B637="M","him",IF(Names!$B637="F","her","them"))</f>
        <v>him</v>
      </c>
      <c r="I637" s="2" t="str">
        <f>IF(Names!$B637="M","his",IF(Names!$B637="F","her","their"))</f>
        <v>his</v>
      </c>
    </row>
    <row r="638" ht="14.25" customHeight="1">
      <c r="A638" s="2">
        <v>637.0</v>
      </c>
      <c r="B638" s="2" t="s">
        <v>26</v>
      </c>
      <c r="C638" s="2" t="s">
        <v>1558</v>
      </c>
      <c r="D638" s="2" t="s">
        <v>130</v>
      </c>
      <c r="E638" s="2" t="s">
        <v>1559</v>
      </c>
      <c r="F638" s="2" t="str">
        <f>IF(Names!$B638="M","Mr.",IF(Names!$B638="F","Ms.","Mx."))</f>
        <v>Mr.</v>
      </c>
      <c r="G638" s="2" t="str">
        <f>IF(Names!$B638="M","he",IF(Names!$B638="F","she","they"))</f>
        <v>he</v>
      </c>
      <c r="H638" s="2" t="str">
        <f>IF(Names!$B638="M","him",IF(Names!$B638="F","her","them"))</f>
        <v>him</v>
      </c>
      <c r="I638" s="2" t="str">
        <f>IF(Names!$B638="M","his",IF(Names!$B638="F","her","their"))</f>
        <v>his</v>
      </c>
    </row>
    <row r="639" ht="14.25" customHeight="1">
      <c r="A639" s="2">
        <v>638.0</v>
      </c>
      <c r="B639" s="2" t="s">
        <v>26</v>
      </c>
      <c r="C639" s="2" t="s">
        <v>1560</v>
      </c>
      <c r="D639" s="2" t="s">
        <v>1561</v>
      </c>
      <c r="E639" s="2" t="s">
        <v>1562</v>
      </c>
      <c r="F639" s="2" t="str">
        <f>IF(Names!$B639="M","Mr.",IF(Names!$B639="F","Ms.","Mx."))</f>
        <v>Mr.</v>
      </c>
      <c r="G639" s="2" t="str">
        <f>IF(Names!$B639="M","he",IF(Names!$B639="F","she","they"))</f>
        <v>he</v>
      </c>
      <c r="H639" s="2" t="str">
        <f>IF(Names!$B639="M","him",IF(Names!$B639="F","her","them"))</f>
        <v>him</v>
      </c>
      <c r="I639" s="2" t="str">
        <f>IF(Names!$B639="M","his",IF(Names!$B639="F","her","their"))</f>
        <v>his</v>
      </c>
    </row>
    <row r="640" ht="14.25" customHeight="1">
      <c r="A640" s="2">
        <v>639.0</v>
      </c>
      <c r="B640" s="2" t="s">
        <v>26</v>
      </c>
      <c r="C640" s="2" t="s">
        <v>1563</v>
      </c>
      <c r="D640" s="2" t="s">
        <v>1564</v>
      </c>
      <c r="E640" s="2" t="s">
        <v>1565</v>
      </c>
      <c r="F640" s="2" t="str">
        <f>IF(Names!$B640="M","Mr.",IF(Names!$B640="F","Ms.","Mx."))</f>
        <v>Mr.</v>
      </c>
      <c r="G640" s="2" t="str">
        <f>IF(Names!$B640="M","he",IF(Names!$B640="F","she","they"))</f>
        <v>he</v>
      </c>
      <c r="H640" s="2" t="str">
        <f>IF(Names!$B640="M","him",IF(Names!$B640="F","her","them"))</f>
        <v>him</v>
      </c>
      <c r="I640" s="2" t="str">
        <f>IF(Names!$B640="M","his",IF(Names!$B640="F","her","their"))</f>
        <v>his</v>
      </c>
    </row>
    <row r="641" ht="14.25" customHeight="1">
      <c r="A641" s="2">
        <v>640.0</v>
      </c>
      <c r="B641" s="2" t="s">
        <v>26</v>
      </c>
      <c r="C641" s="2" t="s">
        <v>1566</v>
      </c>
      <c r="D641" s="2" t="s">
        <v>1567</v>
      </c>
      <c r="E641" s="2" t="s">
        <v>1568</v>
      </c>
      <c r="F641" s="2" t="str">
        <f>IF(Names!$B641="M","Mr.",IF(Names!$B641="F","Ms.","Mx."))</f>
        <v>Mr.</v>
      </c>
      <c r="G641" s="2" t="str">
        <f>IF(Names!$B641="M","he",IF(Names!$B641="F","she","they"))</f>
        <v>he</v>
      </c>
      <c r="H641" s="2" t="str">
        <f>IF(Names!$B641="M","him",IF(Names!$B641="F","her","them"))</f>
        <v>him</v>
      </c>
      <c r="I641" s="2" t="str">
        <f>IF(Names!$B641="M","his",IF(Names!$B641="F","her","their"))</f>
        <v>his</v>
      </c>
    </row>
    <row r="642" ht="14.25" customHeight="1">
      <c r="A642" s="2">
        <v>641.0</v>
      </c>
      <c r="B642" s="2" t="s">
        <v>447</v>
      </c>
      <c r="C642" s="2" t="s">
        <v>1569</v>
      </c>
      <c r="D642" s="2" t="s">
        <v>1570</v>
      </c>
      <c r="E642" s="2" t="s">
        <v>1571</v>
      </c>
      <c r="F642" s="2" t="str">
        <f>IF(Names!$B642="M","Mr.",IF(Names!$B642="F","Ms.","Mx."))</f>
        <v>Ms.</v>
      </c>
      <c r="G642" s="2" t="str">
        <f>IF(Names!$B642="M","he",IF(Names!$B642="F","she","they"))</f>
        <v>she</v>
      </c>
      <c r="H642" s="2" t="str">
        <f>IF(Names!$B642="M","him",IF(Names!$B642="F","her","them"))</f>
        <v>her</v>
      </c>
      <c r="I642" s="2" t="str">
        <f>IF(Names!$B642="M","his",IF(Names!$B642="F","her","their"))</f>
        <v>her</v>
      </c>
    </row>
    <row r="643" ht="14.25" customHeight="1">
      <c r="A643" s="2">
        <v>642.0</v>
      </c>
      <c r="B643" s="2" t="s">
        <v>447</v>
      </c>
      <c r="C643" s="2" t="s">
        <v>1572</v>
      </c>
      <c r="D643" s="2" t="s">
        <v>1573</v>
      </c>
      <c r="E643" s="2" t="s">
        <v>1574</v>
      </c>
      <c r="F643" s="2" t="str">
        <f>IF(Names!$B643="M","Mr.",IF(Names!$B643="F","Ms.","Mx."))</f>
        <v>Ms.</v>
      </c>
      <c r="G643" s="2" t="str">
        <f>IF(Names!$B643="M","he",IF(Names!$B643="F","she","they"))</f>
        <v>she</v>
      </c>
      <c r="H643" s="2" t="str">
        <f>IF(Names!$B643="M","him",IF(Names!$B643="F","her","them"))</f>
        <v>her</v>
      </c>
      <c r="I643" s="2" t="str">
        <f>IF(Names!$B643="M","his",IF(Names!$B643="F","her","their"))</f>
        <v>her</v>
      </c>
    </row>
    <row r="644" ht="14.25" customHeight="1">
      <c r="A644" s="2">
        <v>643.0</v>
      </c>
      <c r="B644" s="2" t="s">
        <v>447</v>
      </c>
      <c r="C644" s="2" t="s">
        <v>1575</v>
      </c>
      <c r="D644" s="2" t="s">
        <v>1576</v>
      </c>
      <c r="E644" s="2" t="s">
        <v>1577</v>
      </c>
      <c r="F644" s="2" t="str">
        <f>IF(Names!$B644="M","Mr.",IF(Names!$B644="F","Ms.","Mx."))</f>
        <v>Ms.</v>
      </c>
      <c r="G644" s="2" t="str">
        <f>IF(Names!$B644="M","he",IF(Names!$B644="F","she","they"))</f>
        <v>she</v>
      </c>
      <c r="H644" s="2" t="str">
        <f>IF(Names!$B644="M","him",IF(Names!$B644="F","her","them"))</f>
        <v>her</v>
      </c>
      <c r="I644" s="2" t="str">
        <f>IF(Names!$B644="M","his",IF(Names!$B644="F","her","their"))</f>
        <v>her</v>
      </c>
    </row>
    <row r="645" ht="14.25" customHeight="1">
      <c r="A645" s="2">
        <v>644.0</v>
      </c>
      <c r="B645" s="2" t="s">
        <v>447</v>
      </c>
      <c r="C645" s="2" t="s">
        <v>1578</v>
      </c>
      <c r="D645" s="2" t="s">
        <v>1579</v>
      </c>
      <c r="E645" s="2" t="s">
        <v>1580</v>
      </c>
      <c r="F645" s="2" t="str">
        <f>IF(Names!$B645="M","Mr.",IF(Names!$B645="F","Ms.","Mx."))</f>
        <v>Ms.</v>
      </c>
      <c r="G645" s="2" t="str">
        <f>IF(Names!$B645="M","he",IF(Names!$B645="F","she","they"))</f>
        <v>she</v>
      </c>
      <c r="H645" s="2" t="str">
        <f>IF(Names!$B645="M","him",IF(Names!$B645="F","her","them"))</f>
        <v>her</v>
      </c>
      <c r="I645" s="2" t="str">
        <f>IF(Names!$B645="M","his",IF(Names!$B645="F","her","their"))</f>
        <v>her</v>
      </c>
    </row>
    <row r="646" ht="14.25" customHeight="1">
      <c r="A646" s="2">
        <v>645.0</v>
      </c>
      <c r="B646" s="2" t="s">
        <v>447</v>
      </c>
      <c r="C646" s="2" t="s">
        <v>1581</v>
      </c>
      <c r="D646" s="2" t="s">
        <v>1582</v>
      </c>
      <c r="E646" s="2" t="s">
        <v>1583</v>
      </c>
      <c r="F646" s="2" t="str">
        <f>IF(Names!$B646="M","Mr.",IF(Names!$B646="F","Ms.","Mx."))</f>
        <v>Ms.</v>
      </c>
      <c r="G646" s="2" t="str">
        <f>IF(Names!$B646="M","he",IF(Names!$B646="F","she","they"))</f>
        <v>she</v>
      </c>
      <c r="H646" s="2" t="str">
        <f>IF(Names!$B646="M","him",IF(Names!$B646="F","her","them"))</f>
        <v>her</v>
      </c>
      <c r="I646" s="2" t="str">
        <f>IF(Names!$B646="M","his",IF(Names!$B646="F","her","their"))</f>
        <v>her</v>
      </c>
    </row>
    <row r="647" ht="14.25" customHeight="1">
      <c r="A647" s="2">
        <v>646.0</v>
      </c>
      <c r="B647" s="2" t="s">
        <v>447</v>
      </c>
      <c r="C647" s="2" t="s">
        <v>1584</v>
      </c>
      <c r="D647" s="2" t="s">
        <v>1585</v>
      </c>
      <c r="E647" s="2" t="s">
        <v>1586</v>
      </c>
      <c r="F647" s="2" t="str">
        <f>IF(Names!$B647="M","Mr.",IF(Names!$B647="F","Ms.","Mx."))</f>
        <v>Ms.</v>
      </c>
      <c r="G647" s="2" t="str">
        <f>IF(Names!$B647="M","he",IF(Names!$B647="F","she","they"))</f>
        <v>she</v>
      </c>
      <c r="H647" s="2" t="str">
        <f>IF(Names!$B647="M","him",IF(Names!$B647="F","her","them"))</f>
        <v>her</v>
      </c>
      <c r="I647" s="2" t="str">
        <f>IF(Names!$B647="M","his",IF(Names!$B647="F","her","their"))</f>
        <v>her</v>
      </c>
    </row>
    <row r="648" ht="14.25" customHeight="1">
      <c r="A648" s="2">
        <v>647.0</v>
      </c>
      <c r="B648" s="2" t="s">
        <v>447</v>
      </c>
      <c r="C648" s="2" t="s">
        <v>1587</v>
      </c>
      <c r="D648" s="2" t="s">
        <v>1588</v>
      </c>
      <c r="E648" s="2" t="s">
        <v>1589</v>
      </c>
      <c r="F648" s="2" t="str">
        <f>IF(Names!$B648="M","Mr.",IF(Names!$B648="F","Ms.","Mx."))</f>
        <v>Ms.</v>
      </c>
      <c r="G648" s="2" t="str">
        <f>IF(Names!$B648="M","he",IF(Names!$B648="F","she","they"))</f>
        <v>she</v>
      </c>
      <c r="H648" s="2" t="str">
        <f>IF(Names!$B648="M","him",IF(Names!$B648="F","her","them"))</f>
        <v>her</v>
      </c>
      <c r="I648" s="2" t="str">
        <f>IF(Names!$B648="M","his",IF(Names!$B648="F","her","their"))</f>
        <v>her</v>
      </c>
    </row>
    <row r="649" ht="14.25" customHeight="1">
      <c r="A649" s="2">
        <v>648.0</v>
      </c>
      <c r="B649" s="2" t="s">
        <v>447</v>
      </c>
      <c r="C649" s="2" t="s">
        <v>1590</v>
      </c>
      <c r="D649" s="2" t="s">
        <v>1591</v>
      </c>
      <c r="E649" s="2" t="s">
        <v>1592</v>
      </c>
      <c r="F649" s="2" t="str">
        <f>IF(Names!$B649="M","Mr.",IF(Names!$B649="F","Ms.","Mx."))</f>
        <v>Ms.</v>
      </c>
      <c r="G649" s="2" t="str">
        <f>IF(Names!$B649="M","he",IF(Names!$B649="F","she","they"))</f>
        <v>she</v>
      </c>
      <c r="H649" s="2" t="str">
        <f>IF(Names!$B649="M","him",IF(Names!$B649="F","her","them"))</f>
        <v>her</v>
      </c>
      <c r="I649" s="2" t="str">
        <f>IF(Names!$B649="M","his",IF(Names!$B649="F","her","their"))</f>
        <v>her</v>
      </c>
    </row>
    <row r="650" ht="14.25" customHeight="1">
      <c r="A650" s="2">
        <v>649.0</v>
      </c>
      <c r="B650" s="2" t="s">
        <v>447</v>
      </c>
      <c r="C650" s="2" t="s">
        <v>1593</v>
      </c>
      <c r="D650" s="2" t="s">
        <v>1594</v>
      </c>
      <c r="E650" s="2" t="s">
        <v>1595</v>
      </c>
      <c r="F650" s="2" t="str">
        <f>IF(Names!$B650="M","Mr.",IF(Names!$B650="F","Ms.","Mx."))</f>
        <v>Ms.</v>
      </c>
      <c r="G650" s="2" t="str">
        <f>IF(Names!$B650="M","he",IF(Names!$B650="F","she","they"))</f>
        <v>she</v>
      </c>
      <c r="H650" s="2" t="str">
        <f>IF(Names!$B650="M","him",IF(Names!$B650="F","her","them"))</f>
        <v>her</v>
      </c>
      <c r="I650" s="2" t="str">
        <f>IF(Names!$B650="M","his",IF(Names!$B650="F","her","their"))</f>
        <v>her</v>
      </c>
    </row>
    <row r="651" ht="14.25" customHeight="1">
      <c r="A651" s="2">
        <v>650.0</v>
      </c>
      <c r="B651" s="2" t="s">
        <v>447</v>
      </c>
      <c r="C651" s="2" t="s">
        <v>1596</v>
      </c>
      <c r="D651" s="2" t="s">
        <v>1597</v>
      </c>
      <c r="E651" s="2" t="s">
        <v>1598</v>
      </c>
      <c r="F651" s="2" t="str">
        <f>IF(Names!$B651="M","Mr.",IF(Names!$B651="F","Ms.","Mx."))</f>
        <v>Ms.</v>
      </c>
      <c r="G651" s="2" t="str">
        <f>IF(Names!$B651="M","he",IF(Names!$B651="F","she","they"))</f>
        <v>she</v>
      </c>
      <c r="H651" s="2" t="str">
        <f>IF(Names!$B651="M","him",IF(Names!$B651="F","her","them"))</f>
        <v>her</v>
      </c>
      <c r="I651" s="2" t="str">
        <f>IF(Names!$B651="M","his",IF(Names!$B651="F","her","their"))</f>
        <v>her</v>
      </c>
    </row>
    <row r="652" ht="14.25" customHeight="1">
      <c r="A652" s="2">
        <v>651.0</v>
      </c>
      <c r="B652" s="2" t="s">
        <v>26</v>
      </c>
      <c r="C652" s="2" t="s">
        <v>1599</v>
      </c>
      <c r="D652" s="2" t="s">
        <v>1600</v>
      </c>
      <c r="E652" s="2" t="s">
        <v>1601</v>
      </c>
      <c r="F652" s="2" t="str">
        <f>IF(Names!$B652="M","Mr.",IF(Names!$B652="F","Ms.","Mx."))</f>
        <v>Mr.</v>
      </c>
      <c r="G652" s="2" t="str">
        <f>IF(Names!$B652="M","he",IF(Names!$B652="F","she","they"))</f>
        <v>he</v>
      </c>
      <c r="H652" s="2" t="str">
        <f>IF(Names!$B652="M","him",IF(Names!$B652="F","her","them"))</f>
        <v>him</v>
      </c>
      <c r="I652" s="2" t="str">
        <f>IF(Names!$B652="M","his",IF(Names!$B652="F","her","their"))</f>
        <v>his</v>
      </c>
    </row>
    <row r="653" ht="14.25" customHeight="1">
      <c r="A653" s="2">
        <v>652.0</v>
      </c>
      <c r="B653" s="2" t="s">
        <v>26</v>
      </c>
      <c r="C653" s="2" t="s">
        <v>1602</v>
      </c>
      <c r="D653" s="2" t="s">
        <v>1603</v>
      </c>
      <c r="E653" s="2" t="s">
        <v>1604</v>
      </c>
      <c r="F653" s="2" t="str">
        <f>IF(Names!$B653="M","Mr.",IF(Names!$B653="F","Ms.","Mx."))</f>
        <v>Mr.</v>
      </c>
      <c r="G653" s="2" t="str">
        <f>IF(Names!$B653="M","he",IF(Names!$B653="F","she","they"))</f>
        <v>he</v>
      </c>
      <c r="H653" s="2" t="str">
        <f>IF(Names!$B653="M","him",IF(Names!$B653="F","her","them"))</f>
        <v>him</v>
      </c>
      <c r="I653" s="2" t="str">
        <f>IF(Names!$B653="M","his",IF(Names!$B653="F","her","their"))</f>
        <v>his</v>
      </c>
    </row>
    <row r="654" ht="14.25" customHeight="1">
      <c r="A654" s="2">
        <v>653.0</v>
      </c>
      <c r="B654" s="2" t="s">
        <v>26</v>
      </c>
      <c r="C654" s="2" t="s">
        <v>1605</v>
      </c>
      <c r="D654" s="2" t="s">
        <v>1606</v>
      </c>
      <c r="E654" s="2" t="s">
        <v>1607</v>
      </c>
      <c r="F654" s="2" t="str">
        <f>IF(Names!$B654="M","Mr.",IF(Names!$B654="F","Ms.","Mx."))</f>
        <v>Mr.</v>
      </c>
      <c r="G654" s="2" t="str">
        <f>IF(Names!$B654="M","he",IF(Names!$B654="F","she","they"))</f>
        <v>he</v>
      </c>
      <c r="H654" s="2" t="str">
        <f>IF(Names!$B654="M","him",IF(Names!$B654="F","her","them"))</f>
        <v>him</v>
      </c>
      <c r="I654" s="2" t="str">
        <f>IF(Names!$B654="M","his",IF(Names!$B654="F","her","their"))</f>
        <v>his</v>
      </c>
    </row>
    <row r="655" ht="14.25" customHeight="1">
      <c r="A655" s="2">
        <v>654.0</v>
      </c>
      <c r="B655" s="2" t="s">
        <v>26</v>
      </c>
      <c r="C655" s="2" t="s">
        <v>1608</v>
      </c>
      <c r="D655" s="2" t="s">
        <v>1609</v>
      </c>
      <c r="E655" s="2" t="s">
        <v>1610</v>
      </c>
      <c r="F655" s="2" t="str">
        <f>IF(Names!$B655="M","Mr.",IF(Names!$B655="F","Ms.","Mx."))</f>
        <v>Mr.</v>
      </c>
      <c r="G655" s="2" t="str">
        <f>IF(Names!$B655="M","he",IF(Names!$B655="F","she","they"))</f>
        <v>he</v>
      </c>
      <c r="H655" s="2" t="str">
        <f>IF(Names!$B655="M","him",IF(Names!$B655="F","her","them"))</f>
        <v>him</v>
      </c>
      <c r="I655" s="2" t="str">
        <f>IF(Names!$B655="M","his",IF(Names!$B655="F","her","their"))</f>
        <v>his</v>
      </c>
    </row>
    <row r="656" ht="14.25" customHeight="1">
      <c r="A656" s="2">
        <v>655.0</v>
      </c>
      <c r="B656" s="2" t="s">
        <v>26</v>
      </c>
      <c r="C656" s="2" t="s">
        <v>1611</v>
      </c>
      <c r="D656" s="2" t="s">
        <v>1612</v>
      </c>
      <c r="E656" s="2" t="s">
        <v>1613</v>
      </c>
      <c r="F656" s="2" t="str">
        <f>IF(Names!$B656="M","Mr.",IF(Names!$B656="F","Ms.","Mx."))</f>
        <v>Mr.</v>
      </c>
      <c r="G656" s="2" t="str">
        <f>IF(Names!$B656="M","he",IF(Names!$B656="F","she","they"))</f>
        <v>he</v>
      </c>
      <c r="H656" s="2" t="str">
        <f>IF(Names!$B656="M","him",IF(Names!$B656="F","her","them"))</f>
        <v>him</v>
      </c>
      <c r="I656" s="2" t="str">
        <f>IF(Names!$B656="M","his",IF(Names!$B656="F","her","their"))</f>
        <v>his</v>
      </c>
    </row>
    <row r="657" ht="14.25" customHeight="1">
      <c r="A657" s="2">
        <v>656.0</v>
      </c>
      <c r="B657" s="2" t="s">
        <v>26</v>
      </c>
      <c r="C657" s="2" t="s">
        <v>1614</v>
      </c>
      <c r="D657" s="2" t="s">
        <v>1615</v>
      </c>
      <c r="E657" s="2" t="s">
        <v>1616</v>
      </c>
      <c r="F657" s="2" t="str">
        <f>IF(Names!$B657="M","Mr.",IF(Names!$B657="F","Ms.","Mx."))</f>
        <v>Mr.</v>
      </c>
      <c r="G657" s="2" t="str">
        <f>IF(Names!$B657="M","he",IF(Names!$B657="F","she","they"))</f>
        <v>he</v>
      </c>
      <c r="H657" s="2" t="str">
        <f>IF(Names!$B657="M","him",IF(Names!$B657="F","her","them"))</f>
        <v>him</v>
      </c>
      <c r="I657" s="2" t="str">
        <f>IF(Names!$B657="M","his",IF(Names!$B657="F","her","their"))</f>
        <v>his</v>
      </c>
    </row>
    <row r="658" ht="14.25" customHeight="1">
      <c r="A658" s="2">
        <v>657.0</v>
      </c>
      <c r="B658" s="2" t="s">
        <v>26</v>
      </c>
      <c r="C658" s="2" t="s">
        <v>1617</v>
      </c>
      <c r="D658" s="2" t="s">
        <v>1618</v>
      </c>
      <c r="E658" s="2" t="s">
        <v>1619</v>
      </c>
      <c r="F658" s="2" t="str">
        <f>IF(Names!$B658="M","Mr.",IF(Names!$B658="F","Ms.","Mx."))</f>
        <v>Mr.</v>
      </c>
      <c r="G658" s="2" t="str">
        <f>IF(Names!$B658="M","he",IF(Names!$B658="F","she","they"))</f>
        <v>he</v>
      </c>
      <c r="H658" s="2" t="str">
        <f>IF(Names!$B658="M","him",IF(Names!$B658="F","her","them"))</f>
        <v>him</v>
      </c>
      <c r="I658" s="2" t="str">
        <f>IF(Names!$B658="M","his",IF(Names!$B658="F","her","their"))</f>
        <v>his</v>
      </c>
    </row>
    <row r="659" ht="14.25" customHeight="1">
      <c r="A659" s="2">
        <v>658.0</v>
      </c>
      <c r="B659" s="2" t="s">
        <v>26</v>
      </c>
      <c r="C659" s="2" t="s">
        <v>1620</v>
      </c>
      <c r="D659" s="2" t="s">
        <v>1621</v>
      </c>
      <c r="E659" s="2" t="s">
        <v>1622</v>
      </c>
      <c r="F659" s="2" t="str">
        <f>IF(Names!$B659="M","Mr.",IF(Names!$B659="F","Ms.","Mx."))</f>
        <v>Mr.</v>
      </c>
      <c r="G659" s="2" t="str">
        <f>IF(Names!$B659="M","he",IF(Names!$B659="F","she","they"))</f>
        <v>he</v>
      </c>
      <c r="H659" s="2" t="str">
        <f>IF(Names!$B659="M","him",IF(Names!$B659="F","her","them"))</f>
        <v>him</v>
      </c>
      <c r="I659" s="2" t="str">
        <f>IF(Names!$B659="M","his",IF(Names!$B659="F","her","their"))</f>
        <v>his</v>
      </c>
    </row>
    <row r="660" ht="14.25" customHeight="1">
      <c r="A660" s="2">
        <v>659.0</v>
      </c>
      <c r="B660" s="2" t="s">
        <v>48</v>
      </c>
      <c r="C660" s="2" t="s">
        <v>1623</v>
      </c>
      <c r="D660" s="2" t="s">
        <v>1624</v>
      </c>
      <c r="E660" s="2" t="s">
        <v>1625</v>
      </c>
      <c r="F660" s="2" t="str">
        <f>IF(Names!$B660="M","Mr.",IF(Names!$B660="F","Ms.","Mx."))</f>
        <v>Mx.</v>
      </c>
      <c r="G660" s="2" t="str">
        <f>IF(Names!$B660="M","he",IF(Names!$B660="F","she","they"))</f>
        <v>they</v>
      </c>
      <c r="H660" s="2" t="str">
        <f>IF(Names!$B660="M","him",IF(Names!$B660="F","her","them"))</f>
        <v>them</v>
      </c>
      <c r="I660" s="2" t="str">
        <f>IF(Names!$B660="M","his",IF(Names!$B660="F","her","their"))</f>
        <v>their</v>
      </c>
    </row>
    <row r="661" ht="14.25" customHeight="1">
      <c r="A661" s="2">
        <v>660.0</v>
      </c>
      <c r="B661" s="2" t="s">
        <v>26</v>
      </c>
      <c r="C661" s="2" t="s">
        <v>1626</v>
      </c>
      <c r="D661" s="2" t="s">
        <v>1627</v>
      </c>
      <c r="E661" s="2" t="s">
        <v>1628</v>
      </c>
      <c r="F661" s="2" t="str">
        <f>IF(Names!$B661="M","Mr.",IF(Names!$B661="F","Ms.","Mx."))</f>
        <v>Mr.</v>
      </c>
      <c r="G661" s="2" t="str">
        <f>IF(Names!$B661="M","he",IF(Names!$B661="F","she","they"))</f>
        <v>he</v>
      </c>
      <c r="H661" s="2" t="str">
        <f>IF(Names!$B661="M","him",IF(Names!$B661="F","her","them"))</f>
        <v>him</v>
      </c>
      <c r="I661" s="2" t="str">
        <f>IF(Names!$B661="M","his",IF(Names!$B661="F","her","their"))</f>
        <v>his</v>
      </c>
    </row>
    <row r="662" ht="14.25" customHeight="1">
      <c r="A662" s="2">
        <v>661.0</v>
      </c>
      <c r="B662" s="2" t="s">
        <v>447</v>
      </c>
      <c r="C662" s="2" t="s">
        <v>1629</v>
      </c>
      <c r="D662" s="2" t="s">
        <v>1630</v>
      </c>
      <c r="E662" s="2" t="s">
        <v>1631</v>
      </c>
      <c r="F662" s="2" t="str">
        <f>IF(Names!$B662="M","Mr.",IF(Names!$B662="F","Ms.","Mx."))</f>
        <v>Ms.</v>
      </c>
      <c r="G662" s="2" t="str">
        <f>IF(Names!$B662="M","he",IF(Names!$B662="F","she","they"))</f>
        <v>she</v>
      </c>
      <c r="H662" s="2" t="str">
        <f>IF(Names!$B662="M","him",IF(Names!$B662="F","her","them"))</f>
        <v>her</v>
      </c>
      <c r="I662" s="2" t="str">
        <f>IF(Names!$B662="M","his",IF(Names!$B662="F","her","their"))</f>
        <v>her</v>
      </c>
    </row>
    <row r="663" ht="14.25" customHeight="1">
      <c r="A663" s="2">
        <v>662.0</v>
      </c>
      <c r="B663" s="2" t="s">
        <v>447</v>
      </c>
      <c r="C663" s="2" t="s">
        <v>1632</v>
      </c>
      <c r="D663" s="2" t="s">
        <v>1633</v>
      </c>
      <c r="E663" s="2" t="s">
        <v>1634</v>
      </c>
      <c r="F663" s="2" t="str">
        <f>IF(Names!$B663="M","Mr.",IF(Names!$B663="F","Ms.","Mx."))</f>
        <v>Ms.</v>
      </c>
      <c r="G663" s="2" t="str">
        <f>IF(Names!$B663="M","he",IF(Names!$B663="F","she","they"))</f>
        <v>she</v>
      </c>
      <c r="H663" s="2" t="str">
        <f>IF(Names!$B663="M","him",IF(Names!$B663="F","her","them"))</f>
        <v>her</v>
      </c>
      <c r="I663" s="2" t="str">
        <f>IF(Names!$B663="M","his",IF(Names!$B663="F","her","their"))</f>
        <v>her</v>
      </c>
    </row>
    <row r="664" ht="14.25" customHeight="1">
      <c r="A664" s="2">
        <v>663.0</v>
      </c>
      <c r="B664" s="2" t="s">
        <v>447</v>
      </c>
      <c r="C664" s="2" t="s">
        <v>1635</v>
      </c>
      <c r="D664" s="2" t="s">
        <v>1636</v>
      </c>
      <c r="E664" s="2" t="s">
        <v>1637</v>
      </c>
      <c r="F664" s="2" t="str">
        <f>IF(Names!$B664="M","Mr.",IF(Names!$B664="F","Ms.","Mx."))</f>
        <v>Ms.</v>
      </c>
      <c r="G664" s="2" t="str">
        <f>IF(Names!$B664="M","he",IF(Names!$B664="F","she","they"))</f>
        <v>she</v>
      </c>
      <c r="H664" s="2" t="str">
        <f>IF(Names!$B664="M","him",IF(Names!$B664="F","her","them"))</f>
        <v>her</v>
      </c>
      <c r="I664" s="2" t="str">
        <f>IF(Names!$B664="M","his",IF(Names!$B664="F","her","their"))</f>
        <v>her</v>
      </c>
    </row>
    <row r="665" ht="14.25" customHeight="1">
      <c r="A665" s="2">
        <v>664.0</v>
      </c>
      <c r="B665" s="2" t="s">
        <v>447</v>
      </c>
      <c r="C665" s="2" t="s">
        <v>1638</v>
      </c>
      <c r="D665" s="2" t="s">
        <v>1639</v>
      </c>
      <c r="E665" s="2" t="s">
        <v>1640</v>
      </c>
      <c r="F665" s="2" t="str">
        <f>IF(Names!$B665="M","Mr.",IF(Names!$B665="F","Ms.","Mx."))</f>
        <v>Ms.</v>
      </c>
      <c r="G665" s="2" t="str">
        <f>IF(Names!$B665="M","he",IF(Names!$B665="F","she","they"))</f>
        <v>she</v>
      </c>
      <c r="H665" s="2" t="str">
        <f>IF(Names!$B665="M","him",IF(Names!$B665="F","her","them"))</f>
        <v>her</v>
      </c>
      <c r="I665" s="2" t="str">
        <f>IF(Names!$B665="M","his",IF(Names!$B665="F","her","their"))</f>
        <v>her</v>
      </c>
    </row>
    <row r="666" ht="14.25" customHeight="1">
      <c r="A666" s="2">
        <v>665.0</v>
      </c>
      <c r="B666" s="2" t="s">
        <v>447</v>
      </c>
      <c r="C666" s="2" t="s">
        <v>1641</v>
      </c>
      <c r="D666" s="2" t="s">
        <v>1642</v>
      </c>
      <c r="E666" s="2" t="s">
        <v>1643</v>
      </c>
      <c r="F666" s="2" t="str">
        <f>IF(Names!$B666="M","Mr.",IF(Names!$B666="F","Ms.","Mx."))</f>
        <v>Ms.</v>
      </c>
      <c r="G666" s="2" t="str">
        <f>IF(Names!$B666="M","he",IF(Names!$B666="F","she","they"))</f>
        <v>she</v>
      </c>
      <c r="H666" s="2" t="str">
        <f>IF(Names!$B666="M","him",IF(Names!$B666="F","her","them"))</f>
        <v>her</v>
      </c>
      <c r="I666" s="2" t="str">
        <f>IF(Names!$B666="M","his",IF(Names!$B666="F","her","their"))</f>
        <v>her</v>
      </c>
    </row>
    <row r="667" ht="14.25" customHeight="1">
      <c r="A667" s="2">
        <v>666.0</v>
      </c>
      <c r="B667" s="2" t="s">
        <v>447</v>
      </c>
      <c r="C667" s="2" t="s">
        <v>1644</v>
      </c>
      <c r="D667" s="2" t="s">
        <v>1645</v>
      </c>
      <c r="E667" s="2" t="s">
        <v>1646</v>
      </c>
      <c r="F667" s="2" t="str">
        <f>IF(Names!$B667="M","Mr.",IF(Names!$B667="F","Ms.","Mx."))</f>
        <v>Ms.</v>
      </c>
      <c r="G667" s="2" t="str">
        <f>IF(Names!$B667="M","he",IF(Names!$B667="F","she","they"))</f>
        <v>she</v>
      </c>
      <c r="H667" s="2" t="str">
        <f>IF(Names!$B667="M","him",IF(Names!$B667="F","her","them"))</f>
        <v>her</v>
      </c>
      <c r="I667" s="2" t="str">
        <f>IF(Names!$B667="M","his",IF(Names!$B667="F","her","their"))</f>
        <v>her</v>
      </c>
    </row>
    <row r="668" ht="14.25" customHeight="1">
      <c r="A668" s="2">
        <v>667.0</v>
      </c>
      <c r="B668" s="2" t="s">
        <v>447</v>
      </c>
      <c r="C668" s="2" t="s">
        <v>1647</v>
      </c>
      <c r="D668" s="2" t="s">
        <v>1648</v>
      </c>
      <c r="E668" s="2" t="s">
        <v>1649</v>
      </c>
      <c r="F668" s="2" t="str">
        <f>IF(Names!$B668="M","Mr.",IF(Names!$B668="F","Ms.","Mx."))</f>
        <v>Ms.</v>
      </c>
      <c r="G668" s="2" t="str">
        <f>IF(Names!$B668="M","he",IF(Names!$B668="F","she","they"))</f>
        <v>she</v>
      </c>
      <c r="H668" s="2" t="str">
        <f>IF(Names!$B668="M","him",IF(Names!$B668="F","her","them"))</f>
        <v>her</v>
      </c>
      <c r="I668" s="2" t="str">
        <f>IF(Names!$B668="M","his",IF(Names!$B668="F","her","their"))</f>
        <v>her</v>
      </c>
    </row>
    <row r="669" ht="14.25" customHeight="1">
      <c r="A669" s="2">
        <v>668.0</v>
      </c>
      <c r="B669" s="2" t="s">
        <v>447</v>
      </c>
      <c r="C669" s="2" t="s">
        <v>1650</v>
      </c>
      <c r="D669" s="2" t="s">
        <v>1651</v>
      </c>
      <c r="E669" s="2" t="s">
        <v>1652</v>
      </c>
      <c r="F669" s="2" t="str">
        <f>IF(Names!$B669="M","Mr.",IF(Names!$B669="F","Ms.","Mx."))</f>
        <v>Ms.</v>
      </c>
      <c r="G669" s="2" t="str">
        <f>IF(Names!$B669="M","he",IF(Names!$B669="F","she","they"))</f>
        <v>she</v>
      </c>
      <c r="H669" s="2" t="str">
        <f>IF(Names!$B669="M","him",IF(Names!$B669="F","her","them"))</f>
        <v>her</v>
      </c>
      <c r="I669" s="2" t="str">
        <f>IF(Names!$B669="M","his",IF(Names!$B669="F","her","their"))</f>
        <v>her</v>
      </c>
    </row>
    <row r="670" ht="14.25" customHeight="1">
      <c r="A670" s="2">
        <v>669.0</v>
      </c>
      <c r="B670" s="2" t="s">
        <v>447</v>
      </c>
      <c r="C670" s="2" t="s">
        <v>1653</v>
      </c>
      <c r="D670" s="2" t="s">
        <v>1654</v>
      </c>
      <c r="E670" s="2" t="s">
        <v>1613</v>
      </c>
      <c r="F670" s="2" t="str">
        <f>IF(Names!$B670="M","Mr.",IF(Names!$B670="F","Ms.","Mx."))</f>
        <v>Ms.</v>
      </c>
      <c r="G670" s="2" t="str">
        <f>IF(Names!$B670="M","he",IF(Names!$B670="F","she","they"))</f>
        <v>she</v>
      </c>
      <c r="H670" s="2" t="str">
        <f>IF(Names!$B670="M","him",IF(Names!$B670="F","her","them"))</f>
        <v>her</v>
      </c>
      <c r="I670" s="2" t="str">
        <f>IF(Names!$B670="M","his",IF(Names!$B670="F","her","their"))</f>
        <v>her</v>
      </c>
    </row>
    <row r="671" ht="14.25" customHeight="1">
      <c r="A671" s="2">
        <v>670.0</v>
      </c>
      <c r="B671" s="2" t="s">
        <v>447</v>
      </c>
      <c r="C671" s="2" t="s">
        <v>1655</v>
      </c>
      <c r="D671" s="2" t="s">
        <v>1656</v>
      </c>
      <c r="E671" s="2" t="s">
        <v>1657</v>
      </c>
      <c r="F671" s="2" t="str">
        <f>IF(Names!$B671="M","Mr.",IF(Names!$B671="F","Ms.","Mx."))</f>
        <v>Ms.</v>
      </c>
      <c r="G671" s="2" t="str">
        <f>IF(Names!$B671="M","he",IF(Names!$B671="F","she","they"))</f>
        <v>she</v>
      </c>
      <c r="H671" s="2" t="str">
        <f>IF(Names!$B671="M","him",IF(Names!$B671="F","her","them"))</f>
        <v>her</v>
      </c>
      <c r="I671" s="2" t="str">
        <f>IF(Names!$B671="M","his",IF(Names!$B671="F","her","their"))</f>
        <v>her</v>
      </c>
    </row>
    <row r="672" ht="14.25" customHeight="1">
      <c r="A672" s="2">
        <v>671.0</v>
      </c>
      <c r="B672" s="2" t="s">
        <v>26</v>
      </c>
      <c r="C672" s="2" t="s">
        <v>1658</v>
      </c>
      <c r="D672" s="2" t="s">
        <v>1659</v>
      </c>
      <c r="E672" s="2" t="s">
        <v>407</v>
      </c>
      <c r="F672" s="2" t="str">
        <f>IF(Names!$B672="M","Mr.",IF(Names!$B672="F","Ms.","Mx."))</f>
        <v>Mr.</v>
      </c>
      <c r="G672" s="2" t="str">
        <f>IF(Names!$B672="M","he",IF(Names!$B672="F","she","they"))</f>
        <v>he</v>
      </c>
      <c r="H672" s="2" t="str">
        <f>IF(Names!$B672="M","him",IF(Names!$B672="F","her","them"))</f>
        <v>him</v>
      </c>
      <c r="I672" s="2" t="str">
        <f>IF(Names!$B672="M","his",IF(Names!$B672="F","her","their"))</f>
        <v>his</v>
      </c>
    </row>
    <row r="673" ht="14.25" customHeight="1">
      <c r="A673" s="2">
        <v>672.0</v>
      </c>
      <c r="B673" s="2" t="s">
        <v>26</v>
      </c>
      <c r="C673" s="2" t="s">
        <v>1660</v>
      </c>
      <c r="D673" s="2" t="s">
        <v>1661</v>
      </c>
      <c r="E673" s="2" t="s">
        <v>1662</v>
      </c>
      <c r="F673" s="2" t="str">
        <f>IF(Names!$B673="M","Mr.",IF(Names!$B673="F","Ms.","Mx."))</f>
        <v>Mr.</v>
      </c>
      <c r="G673" s="2" t="str">
        <f>IF(Names!$B673="M","he",IF(Names!$B673="F","she","they"))</f>
        <v>he</v>
      </c>
      <c r="H673" s="2" t="str">
        <f>IF(Names!$B673="M","him",IF(Names!$B673="F","her","them"))</f>
        <v>him</v>
      </c>
      <c r="I673" s="2" t="str">
        <f>IF(Names!$B673="M","his",IF(Names!$B673="F","her","their"))</f>
        <v>his</v>
      </c>
    </row>
    <row r="674" ht="14.25" customHeight="1">
      <c r="A674" s="2">
        <v>673.0</v>
      </c>
      <c r="B674" s="2" t="s">
        <v>26</v>
      </c>
      <c r="C674" s="2" t="s">
        <v>1663</v>
      </c>
      <c r="D674" s="2" t="s">
        <v>1664</v>
      </c>
      <c r="E674" s="2" t="s">
        <v>1665</v>
      </c>
      <c r="F674" s="2" t="str">
        <f>IF(Names!$B674="M","Mr.",IF(Names!$B674="F","Ms.","Mx."))</f>
        <v>Mr.</v>
      </c>
      <c r="G674" s="2" t="str">
        <f>IF(Names!$B674="M","he",IF(Names!$B674="F","she","they"))</f>
        <v>he</v>
      </c>
      <c r="H674" s="2" t="str">
        <f>IF(Names!$B674="M","him",IF(Names!$B674="F","her","them"))</f>
        <v>him</v>
      </c>
      <c r="I674" s="2" t="str">
        <f>IF(Names!$B674="M","his",IF(Names!$B674="F","her","their"))</f>
        <v>his</v>
      </c>
    </row>
    <row r="675" ht="14.25" customHeight="1">
      <c r="A675" s="2">
        <v>674.0</v>
      </c>
      <c r="B675" s="2" t="s">
        <v>26</v>
      </c>
      <c r="C675" s="2" t="s">
        <v>1666</v>
      </c>
      <c r="D675" s="2" t="s">
        <v>1667</v>
      </c>
      <c r="E675" s="2" t="s">
        <v>450</v>
      </c>
      <c r="F675" s="2" t="str">
        <f>IF(Names!$B675="M","Mr.",IF(Names!$B675="F","Ms.","Mx."))</f>
        <v>Mr.</v>
      </c>
      <c r="G675" s="2" t="str">
        <f>IF(Names!$B675="M","he",IF(Names!$B675="F","she","they"))</f>
        <v>he</v>
      </c>
      <c r="H675" s="2" t="str">
        <f>IF(Names!$B675="M","him",IF(Names!$B675="F","her","them"))</f>
        <v>him</v>
      </c>
      <c r="I675" s="2" t="str">
        <f>IF(Names!$B675="M","his",IF(Names!$B675="F","her","their"))</f>
        <v>his</v>
      </c>
    </row>
    <row r="676" ht="14.25" customHeight="1">
      <c r="A676" s="2">
        <v>675.0</v>
      </c>
      <c r="B676" s="2" t="s">
        <v>26</v>
      </c>
      <c r="C676" s="2" t="s">
        <v>1668</v>
      </c>
      <c r="D676" s="2" t="s">
        <v>1669</v>
      </c>
      <c r="E676" s="2" t="s">
        <v>1670</v>
      </c>
      <c r="F676" s="2" t="str">
        <f>IF(Names!$B676="M","Mr.",IF(Names!$B676="F","Ms.","Mx."))</f>
        <v>Mr.</v>
      </c>
      <c r="G676" s="2" t="str">
        <f>IF(Names!$B676="M","he",IF(Names!$B676="F","she","they"))</f>
        <v>he</v>
      </c>
      <c r="H676" s="2" t="str">
        <f>IF(Names!$B676="M","him",IF(Names!$B676="F","her","them"))</f>
        <v>him</v>
      </c>
      <c r="I676" s="2" t="str">
        <f>IF(Names!$B676="M","his",IF(Names!$B676="F","her","their"))</f>
        <v>his</v>
      </c>
    </row>
    <row r="677" ht="14.25" customHeight="1">
      <c r="A677" s="2">
        <v>676.0</v>
      </c>
      <c r="B677" s="2" t="s">
        <v>26</v>
      </c>
      <c r="C677" s="2" t="s">
        <v>1671</v>
      </c>
      <c r="D677" s="2" t="s">
        <v>1672</v>
      </c>
      <c r="E677" s="2" t="s">
        <v>1673</v>
      </c>
      <c r="F677" s="2" t="str">
        <f>IF(Names!$B677="M","Mr.",IF(Names!$B677="F","Ms.","Mx."))</f>
        <v>Mr.</v>
      </c>
      <c r="G677" s="2" t="str">
        <f>IF(Names!$B677="M","he",IF(Names!$B677="F","she","they"))</f>
        <v>he</v>
      </c>
      <c r="H677" s="2" t="str">
        <f>IF(Names!$B677="M","him",IF(Names!$B677="F","her","them"))</f>
        <v>him</v>
      </c>
      <c r="I677" s="2" t="str">
        <f>IF(Names!$B677="M","his",IF(Names!$B677="F","her","their"))</f>
        <v>his</v>
      </c>
    </row>
    <row r="678" ht="14.25" customHeight="1">
      <c r="A678" s="2">
        <v>677.0</v>
      </c>
      <c r="B678" s="2" t="s">
        <v>26</v>
      </c>
      <c r="C678" s="2" t="s">
        <v>1674</v>
      </c>
      <c r="D678" s="2" t="s">
        <v>1675</v>
      </c>
      <c r="E678" s="2" t="s">
        <v>1676</v>
      </c>
      <c r="F678" s="2" t="str">
        <f>IF(Names!$B678="M","Mr.",IF(Names!$B678="F","Ms.","Mx."))</f>
        <v>Mr.</v>
      </c>
      <c r="G678" s="2" t="str">
        <f>IF(Names!$B678="M","he",IF(Names!$B678="F","she","they"))</f>
        <v>he</v>
      </c>
      <c r="H678" s="2" t="str">
        <f>IF(Names!$B678="M","him",IF(Names!$B678="F","her","them"))</f>
        <v>him</v>
      </c>
      <c r="I678" s="2" t="str">
        <f>IF(Names!$B678="M","his",IF(Names!$B678="F","her","their"))</f>
        <v>his</v>
      </c>
    </row>
    <row r="679" ht="14.25" customHeight="1">
      <c r="A679" s="2">
        <v>678.0</v>
      </c>
      <c r="B679" s="2" t="s">
        <v>26</v>
      </c>
      <c r="C679" s="2" t="s">
        <v>1677</v>
      </c>
      <c r="D679" s="2" t="s">
        <v>480</v>
      </c>
      <c r="E679" s="2" t="s">
        <v>1678</v>
      </c>
      <c r="F679" s="2" t="str">
        <f>IF(Names!$B679="M","Mr.",IF(Names!$B679="F","Ms.","Mx."))</f>
        <v>Mr.</v>
      </c>
      <c r="G679" s="2" t="str">
        <f>IF(Names!$B679="M","he",IF(Names!$B679="F","she","they"))</f>
        <v>he</v>
      </c>
      <c r="H679" s="2" t="str">
        <f>IF(Names!$B679="M","him",IF(Names!$B679="F","her","them"))</f>
        <v>him</v>
      </c>
      <c r="I679" s="2" t="str">
        <f>IF(Names!$B679="M","his",IF(Names!$B679="F","her","their"))</f>
        <v>his</v>
      </c>
    </row>
    <row r="680" ht="14.25" customHeight="1">
      <c r="A680" s="2">
        <v>679.0</v>
      </c>
      <c r="B680" s="2" t="s">
        <v>26</v>
      </c>
      <c r="C680" s="2" t="s">
        <v>1679</v>
      </c>
      <c r="D680" s="2" t="s">
        <v>535</v>
      </c>
      <c r="E680" s="2" t="s">
        <v>1680</v>
      </c>
      <c r="F680" s="2" t="str">
        <f>IF(Names!$B680="M","Mr.",IF(Names!$B680="F","Ms.","Mx."))</f>
        <v>Mr.</v>
      </c>
      <c r="G680" s="2" t="str">
        <f>IF(Names!$B680="M","he",IF(Names!$B680="F","she","they"))</f>
        <v>he</v>
      </c>
      <c r="H680" s="2" t="str">
        <f>IF(Names!$B680="M","him",IF(Names!$B680="F","her","them"))</f>
        <v>him</v>
      </c>
      <c r="I680" s="2" t="str">
        <f>IF(Names!$B680="M","his",IF(Names!$B680="F","her","their"))</f>
        <v>his</v>
      </c>
    </row>
    <row r="681" ht="14.25" customHeight="1">
      <c r="A681" s="2">
        <v>680.0</v>
      </c>
      <c r="B681" s="2" t="s">
        <v>26</v>
      </c>
      <c r="C681" s="2" t="s">
        <v>1681</v>
      </c>
      <c r="D681" s="2" t="s">
        <v>1682</v>
      </c>
      <c r="E681" s="2" t="s">
        <v>1683</v>
      </c>
      <c r="F681" s="2" t="str">
        <f>IF(Names!$B681="M","Mr.",IF(Names!$B681="F","Ms.","Mx."))</f>
        <v>Mr.</v>
      </c>
      <c r="G681" s="2" t="str">
        <f>IF(Names!$B681="M","he",IF(Names!$B681="F","she","they"))</f>
        <v>he</v>
      </c>
      <c r="H681" s="2" t="str">
        <f>IF(Names!$B681="M","him",IF(Names!$B681="F","her","them"))</f>
        <v>him</v>
      </c>
      <c r="I681" s="2" t="str">
        <f>IF(Names!$B681="M","his",IF(Names!$B681="F","her","their"))</f>
        <v>his</v>
      </c>
    </row>
    <row r="682" ht="14.25" customHeight="1">
      <c r="A682" s="2">
        <v>681.0</v>
      </c>
      <c r="B682" s="2" t="s">
        <v>447</v>
      </c>
      <c r="C682" s="2" t="s">
        <v>1684</v>
      </c>
      <c r="D682" s="2" t="s">
        <v>1685</v>
      </c>
      <c r="E682" s="2" t="s">
        <v>1686</v>
      </c>
      <c r="F682" s="2" t="str">
        <f>IF(Names!$B682="M","Mr.",IF(Names!$B682="F","Ms.","Mx."))</f>
        <v>Ms.</v>
      </c>
      <c r="G682" s="2" t="str">
        <f>IF(Names!$B682="M","he",IF(Names!$B682="F","she","they"))</f>
        <v>she</v>
      </c>
      <c r="H682" s="2" t="str">
        <f>IF(Names!$B682="M","him",IF(Names!$B682="F","her","them"))</f>
        <v>her</v>
      </c>
      <c r="I682" s="2" t="str">
        <f>IF(Names!$B682="M","his",IF(Names!$B682="F","her","their"))</f>
        <v>her</v>
      </c>
    </row>
    <row r="683" ht="14.25" customHeight="1">
      <c r="A683" s="2">
        <v>682.0</v>
      </c>
      <c r="B683" s="2" t="s">
        <v>447</v>
      </c>
      <c r="C683" s="2" t="s">
        <v>1687</v>
      </c>
      <c r="D683" s="2" t="s">
        <v>474</v>
      </c>
      <c r="E683" s="2" t="s">
        <v>444</v>
      </c>
      <c r="F683" s="2" t="str">
        <f>IF(Names!$B683="M","Mr.",IF(Names!$B683="F","Ms.","Mx."))</f>
        <v>Ms.</v>
      </c>
      <c r="G683" s="2" t="str">
        <f>IF(Names!$B683="M","he",IF(Names!$B683="F","she","they"))</f>
        <v>she</v>
      </c>
      <c r="H683" s="2" t="str">
        <f>IF(Names!$B683="M","him",IF(Names!$B683="F","her","them"))</f>
        <v>her</v>
      </c>
      <c r="I683" s="2" t="str">
        <f>IF(Names!$B683="M","his",IF(Names!$B683="F","her","their"))</f>
        <v>her</v>
      </c>
    </row>
    <row r="684" ht="14.25" customHeight="1">
      <c r="A684" s="2">
        <v>683.0</v>
      </c>
      <c r="B684" s="2" t="s">
        <v>48</v>
      </c>
      <c r="C684" s="2" t="s">
        <v>1688</v>
      </c>
      <c r="D684" s="2" t="s">
        <v>1689</v>
      </c>
      <c r="E684" s="2" t="s">
        <v>1690</v>
      </c>
      <c r="F684" s="2" t="str">
        <f>IF(Names!$B684="M","Mr.",IF(Names!$B684="F","Ms.","Mx."))</f>
        <v>Mx.</v>
      </c>
      <c r="G684" s="2" t="str">
        <f>IF(Names!$B684="M","he",IF(Names!$B684="F","she","they"))</f>
        <v>they</v>
      </c>
      <c r="H684" s="2" t="str">
        <f>IF(Names!$B684="M","him",IF(Names!$B684="F","her","them"))</f>
        <v>them</v>
      </c>
      <c r="I684" s="2" t="str">
        <f>IF(Names!$B684="M","his",IF(Names!$B684="F","her","their"))</f>
        <v>their</v>
      </c>
    </row>
    <row r="685" ht="14.25" customHeight="1">
      <c r="A685" s="2">
        <v>684.0</v>
      </c>
      <c r="B685" s="2" t="s">
        <v>48</v>
      </c>
      <c r="C685" s="2" t="s">
        <v>1691</v>
      </c>
      <c r="D685" s="2" t="s">
        <v>494</v>
      </c>
      <c r="E685" s="2" t="s">
        <v>1692</v>
      </c>
      <c r="F685" s="2" t="str">
        <f>IF(Names!$B685="M","Mr.",IF(Names!$B685="F","Ms.","Mx."))</f>
        <v>Mx.</v>
      </c>
      <c r="G685" s="2" t="str">
        <f>IF(Names!$B685="M","he",IF(Names!$B685="F","she","they"))</f>
        <v>they</v>
      </c>
      <c r="H685" s="2" t="str">
        <f>IF(Names!$B685="M","him",IF(Names!$B685="F","her","them"))</f>
        <v>them</v>
      </c>
      <c r="I685" s="2" t="str">
        <f>IF(Names!$B685="M","his",IF(Names!$B685="F","her","their"))</f>
        <v>their</v>
      </c>
    </row>
    <row r="686" ht="14.25" customHeight="1">
      <c r="A686" s="2">
        <v>685.0</v>
      </c>
      <c r="B686" s="2" t="s">
        <v>447</v>
      </c>
      <c r="C686" s="2" t="s">
        <v>1693</v>
      </c>
      <c r="D686" s="2" t="s">
        <v>1694</v>
      </c>
      <c r="E686" s="2" t="s">
        <v>1695</v>
      </c>
      <c r="F686" s="2" t="str">
        <f>IF(Names!$B686="M","Mr.",IF(Names!$B686="F","Ms.","Mx."))</f>
        <v>Ms.</v>
      </c>
      <c r="G686" s="2" t="str">
        <f>IF(Names!$B686="M","he",IF(Names!$B686="F","she","they"))</f>
        <v>she</v>
      </c>
      <c r="H686" s="2" t="str">
        <f>IF(Names!$B686="M","him",IF(Names!$B686="F","her","them"))</f>
        <v>her</v>
      </c>
      <c r="I686" s="2" t="str">
        <f>IF(Names!$B686="M","his",IF(Names!$B686="F","her","their"))</f>
        <v>her</v>
      </c>
    </row>
    <row r="687" ht="14.25" customHeight="1">
      <c r="A687" s="2">
        <v>686.0</v>
      </c>
      <c r="B687" s="2" t="s">
        <v>447</v>
      </c>
      <c r="C687" s="2" t="s">
        <v>1696</v>
      </c>
      <c r="D687" s="2" t="s">
        <v>1697</v>
      </c>
      <c r="E687" s="2" t="s">
        <v>1698</v>
      </c>
      <c r="F687" s="2" t="str">
        <f>IF(Names!$B687="M","Mr.",IF(Names!$B687="F","Ms.","Mx."))</f>
        <v>Ms.</v>
      </c>
      <c r="G687" s="2" t="str">
        <f>IF(Names!$B687="M","he",IF(Names!$B687="F","she","they"))</f>
        <v>she</v>
      </c>
      <c r="H687" s="2" t="str">
        <f>IF(Names!$B687="M","him",IF(Names!$B687="F","her","them"))</f>
        <v>her</v>
      </c>
      <c r="I687" s="2" t="str">
        <f>IF(Names!$B687="M","his",IF(Names!$B687="F","her","their"))</f>
        <v>her</v>
      </c>
    </row>
    <row r="688" ht="14.25" customHeight="1">
      <c r="A688" s="2">
        <v>687.0</v>
      </c>
      <c r="B688" s="2" t="s">
        <v>447</v>
      </c>
      <c r="C688" s="2" t="s">
        <v>1699</v>
      </c>
      <c r="D688" s="2" t="s">
        <v>1700</v>
      </c>
      <c r="E688" s="2" t="s">
        <v>1701</v>
      </c>
      <c r="F688" s="2" t="str">
        <f>IF(Names!$B688="M","Mr.",IF(Names!$B688="F","Ms.","Mx."))</f>
        <v>Ms.</v>
      </c>
      <c r="G688" s="2" t="str">
        <f>IF(Names!$B688="M","he",IF(Names!$B688="F","she","they"))</f>
        <v>she</v>
      </c>
      <c r="H688" s="2" t="str">
        <f>IF(Names!$B688="M","him",IF(Names!$B688="F","her","them"))</f>
        <v>her</v>
      </c>
      <c r="I688" s="2" t="str">
        <f>IF(Names!$B688="M","his",IF(Names!$B688="F","her","their"))</f>
        <v>her</v>
      </c>
    </row>
    <row r="689" ht="14.25" customHeight="1">
      <c r="A689" s="2">
        <v>688.0</v>
      </c>
      <c r="B689" s="2" t="s">
        <v>447</v>
      </c>
      <c r="C689" s="2" t="s">
        <v>1702</v>
      </c>
      <c r="D689" s="2" t="s">
        <v>477</v>
      </c>
      <c r="E689" s="2" t="s">
        <v>1703</v>
      </c>
      <c r="F689" s="2" t="str">
        <f>IF(Names!$B689="M","Mr.",IF(Names!$B689="F","Ms.","Mx."))</f>
        <v>Ms.</v>
      </c>
      <c r="G689" s="2" t="str">
        <f>IF(Names!$B689="M","he",IF(Names!$B689="F","she","they"))</f>
        <v>she</v>
      </c>
      <c r="H689" s="2" t="str">
        <f>IF(Names!$B689="M","him",IF(Names!$B689="F","her","them"))</f>
        <v>her</v>
      </c>
      <c r="I689" s="2" t="str">
        <f>IF(Names!$B689="M","his",IF(Names!$B689="F","her","their"))</f>
        <v>her</v>
      </c>
    </row>
    <row r="690" ht="14.25" customHeight="1">
      <c r="A690" s="2">
        <v>689.0</v>
      </c>
      <c r="B690" s="2" t="s">
        <v>447</v>
      </c>
      <c r="C690" s="2" t="s">
        <v>1704</v>
      </c>
      <c r="D690" s="2" t="s">
        <v>1705</v>
      </c>
      <c r="E690" s="2" t="s">
        <v>419</v>
      </c>
      <c r="F690" s="2" t="str">
        <f>IF(Names!$B690="M","Mr.",IF(Names!$B690="F","Ms.","Mx."))</f>
        <v>Ms.</v>
      </c>
      <c r="G690" s="2" t="str">
        <f>IF(Names!$B690="M","he",IF(Names!$B690="F","she","they"))</f>
        <v>she</v>
      </c>
      <c r="H690" s="2" t="str">
        <f>IF(Names!$B690="M","him",IF(Names!$B690="F","her","them"))</f>
        <v>her</v>
      </c>
      <c r="I690" s="2" t="str">
        <f>IF(Names!$B690="M","his",IF(Names!$B690="F","her","their"))</f>
        <v>her</v>
      </c>
    </row>
    <row r="691" ht="14.25" customHeight="1">
      <c r="A691" s="2">
        <v>690.0</v>
      </c>
      <c r="B691" s="2" t="s">
        <v>447</v>
      </c>
      <c r="C691" s="2" t="s">
        <v>1706</v>
      </c>
      <c r="D691" s="2" t="s">
        <v>1707</v>
      </c>
      <c r="E691" s="2" t="s">
        <v>1708</v>
      </c>
      <c r="F691" s="2" t="str">
        <f>IF(Names!$B691="M","Mr.",IF(Names!$B691="F","Ms.","Mx."))</f>
        <v>Ms.</v>
      </c>
      <c r="G691" s="2" t="str">
        <f>IF(Names!$B691="M","he",IF(Names!$B691="F","she","they"))</f>
        <v>she</v>
      </c>
      <c r="H691" s="2" t="str">
        <f>IF(Names!$B691="M","him",IF(Names!$B691="F","her","them"))</f>
        <v>her</v>
      </c>
      <c r="I691" s="2" t="str">
        <f>IF(Names!$B691="M","his",IF(Names!$B691="F","her","their"))</f>
        <v>her</v>
      </c>
    </row>
    <row r="692" ht="14.25" customHeight="1">
      <c r="A692" s="2">
        <v>691.0</v>
      </c>
      <c r="B692" s="2" t="s">
        <v>26</v>
      </c>
      <c r="C692" s="2" t="s">
        <v>1709</v>
      </c>
      <c r="D692" s="2" t="s">
        <v>1710</v>
      </c>
      <c r="E692" s="2" t="s">
        <v>1711</v>
      </c>
      <c r="F692" s="2" t="str">
        <f>IF(Names!$B692="M","Mr.",IF(Names!$B692="F","Ms.","Mx."))</f>
        <v>Mr.</v>
      </c>
      <c r="G692" s="2" t="str">
        <f>IF(Names!$B692="M","he",IF(Names!$B692="F","she","they"))</f>
        <v>he</v>
      </c>
      <c r="H692" s="2" t="str">
        <f>IF(Names!$B692="M","him",IF(Names!$B692="F","her","them"))</f>
        <v>him</v>
      </c>
      <c r="I692" s="2" t="str">
        <f>IF(Names!$B692="M","his",IF(Names!$B692="F","her","their"))</f>
        <v>his</v>
      </c>
    </row>
    <row r="693" ht="14.25" customHeight="1">
      <c r="A693" s="2">
        <v>692.0</v>
      </c>
      <c r="B693" s="2" t="s">
        <v>26</v>
      </c>
      <c r="C693" s="2" t="s">
        <v>1712</v>
      </c>
      <c r="D693" s="2" t="s">
        <v>1713</v>
      </c>
      <c r="E693" s="2" t="s">
        <v>1714</v>
      </c>
      <c r="F693" s="2" t="str">
        <f>IF(Names!$B693="M","Mr.",IF(Names!$B693="F","Ms.","Mx."))</f>
        <v>Mr.</v>
      </c>
      <c r="G693" s="2" t="str">
        <f>IF(Names!$B693="M","he",IF(Names!$B693="F","she","they"))</f>
        <v>he</v>
      </c>
      <c r="H693" s="2" t="str">
        <f>IF(Names!$B693="M","him",IF(Names!$B693="F","her","them"))</f>
        <v>him</v>
      </c>
      <c r="I693" s="2" t="str">
        <f>IF(Names!$B693="M","his",IF(Names!$B693="F","her","their"))</f>
        <v>his</v>
      </c>
    </row>
    <row r="694" ht="14.25" customHeight="1">
      <c r="A694" s="2">
        <v>693.0</v>
      </c>
      <c r="B694" s="2" t="s">
        <v>26</v>
      </c>
      <c r="C694" s="2" t="s">
        <v>1715</v>
      </c>
      <c r="D694" s="2" t="s">
        <v>1716</v>
      </c>
      <c r="E694" s="2" t="s">
        <v>878</v>
      </c>
      <c r="F694" s="2" t="str">
        <f>IF(Names!$B694="M","Mr.",IF(Names!$B694="F","Ms.","Mx."))</f>
        <v>Mr.</v>
      </c>
      <c r="G694" s="2" t="str">
        <f>IF(Names!$B694="M","he",IF(Names!$B694="F","she","they"))</f>
        <v>he</v>
      </c>
      <c r="H694" s="2" t="str">
        <f>IF(Names!$B694="M","him",IF(Names!$B694="F","her","them"))</f>
        <v>him</v>
      </c>
      <c r="I694" s="2" t="str">
        <f>IF(Names!$B694="M","his",IF(Names!$B694="F","her","their"))</f>
        <v>his</v>
      </c>
    </row>
    <row r="695" ht="14.25" customHeight="1">
      <c r="A695" s="2">
        <v>694.0</v>
      </c>
      <c r="B695" s="2" t="s">
        <v>26</v>
      </c>
      <c r="C695" s="2" t="s">
        <v>1717</v>
      </c>
      <c r="D695" s="2" t="s">
        <v>1718</v>
      </c>
      <c r="E695" s="2" t="s">
        <v>1719</v>
      </c>
      <c r="F695" s="2" t="str">
        <f>IF(Names!$B695="M","Mr.",IF(Names!$B695="F","Ms.","Mx."))</f>
        <v>Mr.</v>
      </c>
      <c r="G695" s="2" t="str">
        <f>IF(Names!$B695="M","he",IF(Names!$B695="F","she","they"))</f>
        <v>he</v>
      </c>
      <c r="H695" s="2" t="str">
        <f>IF(Names!$B695="M","him",IF(Names!$B695="F","her","them"))</f>
        <v>him</v>
      </c>
      <c r="I695" s="2" t="str">
        <f>IF(Names!$B695="M","his",IF(Names!$B695="F","her","their"))</f>
        <v>his</v>
      </c>
    </row>
    <row r="696" ht="14.25" customHeight="1">
      <c r="A696" s="2">
        <v>695.0</v>
      </c>
      <c r="B696" s="2" t="s">
        <v>26</v>
      </c>
      <c r="C696" s="2" t="s">
        <v>1720</v>
      </c>
      <c r="D696" s="2" t="s">
        <v>57</v>
      </c>
      <c r="E696" s="2" t="s">
        <v>1721</v>
      </c>
      <c r="F696" s="2" t="str">
        <f>IF(Names!$B696="M","Mr.",IF(Names!$B696="F","Ms.","Mx."))</f>
        <v>Mr.</v>
      </c>
      <c r="G696" s="2" t="str">
        <f>IF(Names!$B696="M","he",IF(Names!$B696="F","she","they"))</f>
        <v>he</v>
      </c>
      <c r="H696" s="2" t="str">
        <f>IF(Names!$B696="M","him",IF(Names!$B696="F","her","them"))</f>
        <v>him</v>
      </c>
      <c r="I696" s="2" t="str">
        <f>IF(Names!$B696="M","his",IF(Names!$B696="F","her","their"))</f>
        <v>his</v>
      </c>
    </row>
    <row r="697" ht="14.25" customHeight="1">
      <c r="A697" s="2">
        <v>696.0</v>
      </c>
      <c r="B697" s="2" t="s">
        <v>26</v>
      </c>
      <c r="C697" s="2" t="s">
        <v>1722</v>
      </c>
      <c r="D697" s="2" t="s">
        <v>1723</v>
      </c>
      <c r="E697" s="2" t="s">
        <v>856</v>
      </c>
      <c r="F697" s="2" t="str">
        <f>IF(Names!$B697="M","Mr.",IF(Names!$B697="F","Ms.","Mx."))</f>
        <v>Mr.</v>
      </c>
      <c r="G697" s="2" t="str">
        <f>IF(Names!$B697="M","he",IF(Names!$B697="F","she","they"))</f>
        <v>he</v>
      </c>
      <c r="H697" s="2" t="str">
        <f>IF(Names!$B697="M","him",IF(Names!$B697="F","her","them"))</f>
        <v>him</v>
      </c>
      <c r="I697" s="2" t="str">
        <f>IF(Names!$B697="M","his",IF(Names!$B697="F","her","their"))</f>
        <v>his</v>
      </c>
    </row>
    <row r="698" ht="14.25" customHeight="1">
      <c r="A698" s="2">
        <v>697.0</v>
      </c>
      <c r="B698" s="2" t="s">
        <v>26</v>
      </c>
      <c r="C698" s="2" t="s">
        <v>1724</v>
      </c>
      <c r="D698" s="2" t="s">
        <v>85</v>
      </c>
      <c r="E698" s="2" t="s">
        <v>1725</v>
      </c>
      <c r="F698" s="2" t="str">
        <f>IF(Names!$B698="M","Mr.",IF(Names!$B698="F","Ms.","Mx."))</f>
        <v>Mr.</v>
      </c>
      <c r="G698" s="2" t="str">
        <f>IF(Names!$B698="M","he",IF(Names!$B698="F","she","they"))</f>
        <v>he</v>
      </c>
      <c r="H698" s="2" t="str">
        <f>IF(Names!$B698="M","him",IF(Names!$B698="F","her","them"))</f>
        <v>him</v>
      </c>
      <c r="I698" s="2" t="str">
        <f>IF(Names!$B698="M","his",IF(Names!$B698="F","her","their"))</f>
        <v>his</v>
      </c>
    </row>
    <row r="699" ht="14.25" customHeight="1">
      <c r="A699" s="2">
        <v>698.0</v>
      </c>
      <c r="B699" s="2" t="s">
        <v>26</v>
      </c>
      <c r="C699" s="2" t="s">
        <v>1726</v>
      </c>
      <c r="D699" s="2" t="s">
        <v>139</v>
      </c>
      <c r="E699" s="2" t="s">
        <v>1727</v>
      </c>
      <c r="F699" s="2" t="str">
        <f>IF(Names!$B699="M","Mr.",IF(Names!$B699="F","Ms.","Mx."))</f>
        <v>Mr.</v>
      </c>
      <c r="G699" s="2" t="str">
        <f>IF(Names!$B699="M","he",IF(Names!$B699="F","she","they"))</f>
        <v>he</v>
      </c>
      <c r="H699" s="2" t="str">
        <f>IF(Names!$B699="M","him",IF(Names!$B699="F","her","them"))</f>
        <v>him</v>
      </c>
      <c r="I699" s="2" t="str">
        <f>IF(Names!$B699="M","his",IF(Names!$B699="F","her","their"))</f>
        <v>his</v>
      </c>
    </row>
    <row r="700" ht="14.25" customHeight="1">
      <c r="A700" s="2">
        <v>699.0</v>
      </c>
      <c r="B700" s="2" t="s">
        <v>26</v>
      </c>
      <c r="C700" s="2" t="s">
        <v>1728</v>
      </c>
      <c r="D700" s="2" t="s">
        <v>1729</v>
      </c>
      <c r="E700" s="2" t="s">
        <v>624</v>
      </c>
      <c r="F700" s="2" t="str">
        <f>IF(Names!$B700="M","Mr.",IF(Names!$B700="F","Ms.","Mx."))</f>
        <v>Mr.</v>
      </c>
      <c r="G700" s="2" t="str">
        <f>IF(Names!$B700="M","he",IF(Names!$B700="F","she","they"))</f>
        <v>he</v>
      </c>
      <c r="H700" s="2" t="str">
        <f>IF(Names!$B700="M","him",IF(Names!$B700="F","her","them"))</f>
        <v>him</v>
      </c>
      <c r="I700" s="2" t="str">
        <f>IF(Names!$B700="M","his",IF(Names!$B700="F","her","their"))</f>
        <v>his</v>
      </c>
    </row>
    <row r="701" ht="14.25" customHeight="1">
      <c r="A701" s="2">
        <v>700.0</v>
      </c>
      <c r="B701" s="2" t="s">
        <v>26</v>
      </c>
      <c r="C701" s="2" t="s">
        <v>1730</v>
      </c>
      <c r="D701" s="2" t="s">
        <v>1731</v>
      </c>
      <c r="E701" s="2" t="s">
        <v>1732</v>
      </c>
      <c r="F701" s="2" t="str">
        <f>IF(Names!$B701="M","Mr.",IF(Names!$B701="F","Ms.","Mx."))</f>
        <v>Mr.</v>
      </c>
      <c r="G701" s="2" t="str">
        <f>IF(Names!$B701="M","he",IF(Names!$B701="F","she","they"))</f>
        <v>he</v>
      </c>
      <c r="H701" s="2" t="str">
        <f>IF(Names!$B701="M","him",IF(Names!$B701="F","her","them"))</f>
        <v>him</v>
      </c>
      <c r="I701" s="2" t="str">
        <f>IF(Names!$B701="M","his",IF(Names!$B701="F","her","their"))</f>
        <v>his</v>
      </c>
    </row>
    <row r="702" ht="14.25" customHeight="1">
      <c r="A702" s="2">
        <v>701.0</v>
      </c>
      <c r="B702" s="2" t="s">
        <v>447</v>
      </c>
      <c r="C702" s="2" t="s">
        <v>1733</v>
      </c>
      <c r="D702" s="2" t="s">
        <v>1734</v>
      </c>
      <c r="E702" s="2" t="s">
        <v>145</v>
      </c>
      <c r="F702" s="2" t="str">
        <f>IF(Names!$B702="M","Mr.",IF(Names!$B702="F","Ms.","Mx."))</f>
        <v>Ms.</v>
      </c>
      <c r="G702" s="2" t="str">
        <f>IF(Names!$B702="M","he",IF(Names!$B702="F","she","they"))</f>
        <v>she</v>
      </c>
      <c r="H702" s="2" t="str">
        <f>IF(Names!$B702="M","him",IF(Names!$B702="F","her","them"))</f>
        <v>her</v>
      </c>
      <c r="I702" s="2" t="str">
        <f>IF(Names!$B702="M","his",IF(Names!$B702="F","her","their"))</f>
        <v>her</v>
      </c>
    </row>
    <row r="703" ht="14.25" customHeight="1">
      <c r="A703" s="2">
        <v>702.0</v>
      </c>
      <c r="B703" s="2" t="s">
        <v>447</v>
      </c>
      <c r="C703" s="2" t="s">
        <v>1735</v>
      </c>
      <c r="D703" s="2" t="s">
        <v>646</v>
      </c>
      <c r="E703" s="2" t="s">
        <v>1736</v>
      </c>
      <c r="F703" s="2" t="str">
        <f>IF(Names!$B703="M","Mr.",IF(Names!$B703="F","Ms.","Mx."))</f>
        <v>Ms.</v>
      </c>
      <c r="G703" s="2" t="str">
        <f>IF(Names!$B703="M","he",IF(Names!$B703="F","she","they"))</f>
        <v>she</v>
      </c>
      <c r="H703" s="2" t="str">
        <f>IF(Names!$B703="M","him",IF(Names!$B703="F","her","them"))</f>
        <v>her</v>
      </c>
      <c r="I703" s="2" t="str">
        <f>IF(Names!$B703="M","his",IF(Names!$B703="F","her","their"))</f>
        <v>her</v>
      </c>
    </row>
    <row r="704" ht="14.25" customHeight="1">
      <c r="A704" s="2">
        <v>703.0</v>
      </c>
      <c r="B704" s="2" t="s">
        <v>447</v>
      </c>
      <c r="C704" s="2" t="s">
        <v>1737</v>
      </c>
      <c r="D704" s="2" t="s">
        <v>1738</v>
      </c>
      <c r="E704" s="2" t="s">
        <v>1739</v>
      </c>
      <c r="F704" s="2" t="str">
        <f>IF(Names!$B704="M","Mr.",IF(Names!$B704="F","Ms.","Mx."))</f>
        <v>Ms.</v>
      </c>
      <c r="G704" s="2" t="str">
        <f>IF(Names!$B704="M","he",IF(Names!$B704="F","she","they"))</f>
        <v>she</v>
      </c>
      <c r="H704" s="2" t="str">
        <f>IF(Names!$B704="M","him",IF(Names!$B704="F","her","them"))</f>
        <v>her</v>
      </c>
      <c r="I704" s="2" t="str">
        <f>IF(Names!$B704="M","his",IF(Names!$B704="F","her","their"))</f>
        <v>her</v>
      </c>
    </row>
    <row r="705" ht="14.25" customHeight="1">
      <c r="A705" s="2">
        <v>704.0</v>
      </c>
      <c r="B705" s="2" t="s">
        <v>447</v>
      </c>
      <c r="C705" s="2" t="s">
        <v>1740</v>
      </c>
      <c r="D705" s="2" t="s">
        <v>1741</v>
      </c>
      <c r="E705" s="2" t="s">
        <v>112</v>
      </c>
      <c r="F705" s="2" t="str">
        <f>IF(Names!$B705="M","Mr.",IF(Names!$B705="F","Ms.","Mx."))</f>
        <v>Ms.</v>
      </c>
      <c r="G705" s="2" t="str">
        <f>IF(Names!$B705="M","he",IF(Names!$B705="F","she","they"))</f>
        <v>she</v>
      </c>
      <c r="H705" s="2" t="str">
        <f>IF(Names!$B705="M","him",IF(Names!$B705="F","her","them"))</f>
        <v>her</v>
      </c>
      <c r="I705" s="2" t="str">
        <f>IF(Names!$B705="M","his",IF(Names!$B705="F","her","their"))</f>
        <v>her</v>
      </c>
    </row>
    <row r="706" ht="14.25" customHeight="1">
      <c r="A706" s="2">
        <v>705.0</v>
      </c>
      <c r="B706" s="2" t="s">
        <v>447</v>
      </c>
      <c r="C706" s="2" t="s">
        <v>1742</v>
      </c>
      <c r="D706" s="2" t="s">
        <v>1743</v>
      </c>
      <c r="E706" s="2" t="s">
        <v>1744</v>
      </c>
      <c r="F706" s="2" t="str">
        <f>IF(Names!$B706="M","Mr.",IF(Names!$B706="F","Ms.","Mx."))</f>
        <v>Ms.</v>
      </c>
      <c r="G706" s="2" t="str">
        <f>IF(Names!$B706="M","he",IF(Names!$B706="F","she","they"))</f>
        <v>she</v>
      </c>
      <c r="H706" s="2" t="str">
        <f>IF(Names!$B706="M","him",IF(Names!$B706="F","her","them"))</f>
        <v>her</v>
      </c>
      <c r="I706" s="2" t="str">
        <f>IF(Names!$B706="M","his",IF(Names!$B706="F","her","their"))</f>
        <v>her</v>
      </c>
    </row>
    <row r="707" ht="14.25" customHeight="1">
      <c r="A707" s="2">
        <v>706.0</v>
      </c>
      <c r="B707" s="2" t="s">
        <v>447</v>
      </c>
      <c r="C707" s="2" t="s">
        <v>1745</v>
      </c>
      <c r="D707" s="2" t="s">
        <v>1746</v>
      </c>
      <c r="E707" s="2" t="s">
        <v>589</v>
      </c>
      <c r="F707" s="2" t="str">
        <f>IF(Names!$B707="M","Mr.",IF(Names!$B707="F","Ms.","Mx."))</f>
        <v>Ms.</v>
      </c>
      <c r="G707" s="2" t="str">
        <f>IF(Names!$B707="M","he",IF(Names!$B707="F","she","they"))</f>
        <v>she</v>
      </c>
      <c r="H707" s="2" t="str">
        <f>IF(Names!$B707="M","him",IF(Names!$B707="F","her","them"))</f>
        <v>her</v>
      </c>
      <c r="I707" s="2" t="str">
        <f>IF(Names!$B707="M","his",IF(Names!$B707="F","her","their"))</f>
        <v>her</v>
      </c>
    </row>
    <row r="708" ht="14.25" customHeight="1">
      <c r="A708" s="2">
        <v>707.0</v>
      </c>
      <c r="B708" s="2" t="s">
        <v>447</v>
      </c>
      <c r="C708" s="2" t="s">
        <v>1747</v>
      </c>
      <c r="D708" s="2" t="s">
        <v>1748</v>
      </c>
      <c r="E708" s="2" t="s">
        <v>1749</v>
      </c>
      <c r="F708" s="2" t="str">
        <f>IF(Names!$B708="M","Mr.",IF(Names!$B708="F","Ms.","Mx."))</f>
        <v>Ms.</v>
      </c>
      <c r="G708" s="2" t="str">
        <f>IF(Names!$B708="M","he",IF(Names!$B708="F","she","they"))</f>
        <v>she</v>
      </c>
      <c r="H708" s="2" t="str">
        <f>IF(Names!$B708="M","him",IF(Names!$B708="F","her","them"))</f>
        <v>her</v>
      </c>
      <c r="I708" s="2" t="str">
        <f>IF(Names!$B708="M","his",IF(Names!$B708="F","her","their"))</f>
        <v>her</v>
      </c>
    </row>
    <row r="709" ht="14.25" customHeight="1">
      <c r="A709" s="2">
        <v>708.0</v>
      </c>
      <c r="B709" s="2" t="s">
        <v>447</v>
      </c>
      <c r="C709" s="2" t="s">
        <v>1750</v>
      </c>
      <c r="D709" s="2" t="s">
        <v>549</v>
      </c>
      <c r="E709" s="2" t="s">
        <v>1751</v>
      </c>
      <c r="F709" s="2" t="str">
        <f>IF(Names!$B709="M","Mr.",IF(Names!$B709="F","Ms.","Mx."))</f>
        <v>Ms.</v>
      </c>
      <c r="G709" s="2" t="str">
        <f>IF(Names!$B709="M","he",IF(Names!$B709="F","she","they"))</f>
        <v>she</v>
      </c>
      <c r="H709" s="2" t="str">
        <f>IF(Names!$B709="M","him",IF(Names!$B709="F","her","them"))</f>
        <v>her</v>
      </c>
      <c r="I709" s="2" t="str">
        <f>IF(Names!$B709="M","his",IF(Names!$B709="F","her","their"))</f>
        <v>her</v>
      </c>
    </row>
    <row r="710" ht="14.25" customHeight="1">
      <c r="A710" s="2">
        <v>709.0</v>
      </c>
      <c r="B710" s="2" t="s">
        <v>447</v>
      </c>
      <c r="C710" s="2" t="s">
        <v>1752</v>
      </c>
      <c r="D710" s="2" t="s">
        <v>588</v>
      </c>
      <c r="E710" s="2" t="s">
        <v>1753</v>
      </c>
      <c r="F710" s="2" t="str">
        <f>IF(Names!$B710="M","Mr.",IF(Names!$B710="F","Ms.","Mx."))</f>
        <v>Ms.</v>
      </c>
      <c r="G710" s="2" t="str">
        <f>IF(Names!$B710="M","he",IF(Names!$B710="F","she","they"))</f>
        <v>she</v>
      </c>
      <c r="H710" s="2" t="str">
        <f>IF(Names!$B710="M","him",IF(Names!$B710="F","her","them"))</f>
        <v>her</v>
      </c>
      <c r="I710" s="2" t="str">
        <f>IF(Names!$B710="M","his",IF(Names!$B710="F","her","their"))</f>
        <v>her</v>
      </c>
    </row>
    <row r="711" ht="14.25" customHeight="1">
      <c r="A711" s="2">
        <v>710.0</v>
      </c>
      <c r="B711" s="2" t="s">
        <v>447</v>
      </c>
      <c r="C711" s="2" t="s">
        <v>1754</v>
      </c>
      <c r="D711" s="2" t="s">
        <v>1755</v>
      </c>
      <c r="E711" s="2" t="s">
        <v>1725</v>
      </c>
      <c r="F711" s="2" t="str">
        <f>IF(Names!$B711="M","Mr.",IF(Names!$B711="F","Ms.","Mx."))</f>
        <v>Ms.</v>
      </c>
      <c r="G711" s="2" t="str">
        <f>IF(Names!$B711="M","he",IF(Names!$B711="F","she","they"))</f>
        <v>she</v>
      </c>
      <c r="H711" s="2" t="str">
        <f>IF(Names!$B711="M","him",IF(Names!$B711="F","her","them"))</f>
        <v>her</v>
      </c>
      <c r="I711" s="2" t="str">
        <f>IF(Names!$B711="M","his",IF(Names!$B711="F","her","their"))</f>
        <v>her</v>
      </c>
    </row>
    <row r="712" ht="14.25" customHeight="1">
      <c r="A712" s="2">
        <v>711.0</v>
      </c>
      <c r="B712" s="2" t="s">
        <v>26</v>
      </c>
      <c r="C712" s="2" t="s">
        <v>1756</v>
      </c>
      <c r="D712" s="2" t="s">
        <v>1757</v>
      </c>
      <c r="E712" s="2" t="s">
        <v>1758</v>
      </c>
      <c r="F712" s="2" t="str">
        <f>IF(Names!$B712="M","Mr.",IF(Names!$B712="F","Ms.","Mx."))</f>
        <v>Mr.</v>
      </c>
      <c r="G712" s="2" t="str">
        <f>IF(Names!$B712="M","he",IF(Names!$B712="F","she","they"))</f>
        <v>he</v>
      </c>
      <c r="H712" s="2" t="str">
        <f>IF(Names!$B712="M","him",IF(Names!$B712="F","her","them"))</f>
        <v>him</v>
      </c>
      <c r="I712" s="2" t="str">
        <f>IF(Names!$B712="M","his",IF(Names!$B712="F","her","their"))</f>
        <v>his</v>
      </c>
    </row>
    <row r="713" ht="14.25" customHeight="1">
      <c r="A713" s="2">
        <v>712.0</v>
      </c>
      <c r="B713" s="2" t="s">
        <v>26</v>
      </c>
      <c r="C713" s="2" t="s">
        <v>1759</v>
      </c>
      <c r="D713" s="2" t="s">
        <v>1760</v>
      </c>
      <c r="E713" s="2" t="s">
        <v>1761</v>
      </c>
      <c r="F713" s="2" t="str">
        <f>IF(Names!$B713="M","Mr.",IF(Names!$B713="F","Ms.","Mx."))</f>
        <v>Mr.</v>
      </c>
      <c r="G713" s="2" t="str">
        <f>IF(Names!$B713="M","he",IF(Names!$B713="F","she","they"))</f>
        <v>he</v>
      </c>
      <c r="H713" s="2" t="str">
        <f>IF(Names!$B713="M","him",IF(Names!$B713="F","her","them"))</f>
        <v>him</v>
      </c>
      <c r="I713" s="2" t="str">
        <f>IF(Names!$B713="M","his",IF(Names!$B713="F","her","their"))</f>
        <v>his</v>
      </c>
    </row>
    <row r="714" ht="14.25" customHeight="1">
      <c r="A714" s="2">
        <v>713.0</v>
      </c>
      <c r="B714" s="2" t="s">
        <v>26</v>
      </c>
      <c r="C714" s="2" t="s">
        <v>1762</v>
      </c>
      <c r="D714" s="2" t="s">
        <v>1763</v>
      </c>
      <c r="E714" s="2" t="s">
        <v>1764</v>
      </c>
      <c r="F714" s="2" t="str">
        <f>IF(Names!$B714="M","Mr.",IF(Names!$B714="F","Ms.","Mx."))</f>
        <v>Mr.</v>
      </c>
      <c r="G714" s="2" t="str">
        <f>IF(Names!$B714="M","he",IF(Names!$B714="F","she","they"))</f>
        <v>he</v>
      </c>
      <c r="H714" s="2" t="str">
        <f>IF(Names!$B714="M","him",IF(Names!$B714="F","her","them"))</f>
        <v>him</v>
      </c>
      <c r="I714" s="2" t="str">
        <f>IF(Names!$B714="M","his",IF(Names!$B714="F","her","their"))</f>
        <v>his</v>
      </c>
    </row>
    <row r="715" ht="14.25" customHeight="1">
      <c r="A715" s="2">
        <v>714.0</v>
      </c>
      <c r="B715" s="2" t="s">
        <v>26</v>
      </c>
      <c r="C715" s="2" t="s">
        <v>1765</v>
      </c>
      <c r="D715" s="2" t="s">
        <v>1766</v>
      </c>
      <c r="E715" s="2" t="s">
        <v>1767</v>
      </c>
      <c r="F715" s="2" t="str">
        <f>IF(Names!$B715="M","Mr.",IF(Names!$B715="F","Ms.","Mx."))</f>
        <v>Mr.</v>
      </c>
      <c r="G715" s="2" t="str">
        <f>IF(Names!$B715="M","he",IF(Names!$B715="F","she","they"))</f>
        <v>he</v>
      </c>
      <c r="H715" s="2" t="str">
        <f>IF(Names!$B715="M","him",IF(Names!$B715="F","her","them"))</f>
        <v>him</v>
      </c>
      <c r="I715" s="2" t="str">
        <f>IF(Names!$B715="M","his",IF(Names!$B715="F","her","their"))</f>
        <v>his</v>
      </c>
    </row>
    <row r="716" ht="14.25" customHeight="1">
      <c r="A716" s="2">
        <v>715.0</v>
      </c>
      <c r="B716" s="2" t="s">
        <v>26</v>
      </c>
      <c r="C716" s="2" t="s">
        <v>1768</v>
      </c>
      <c r="D716" s="2" t="s">
        <v>1769</v>
      </c>
      <c r="E716" s="2" t="s">
        <v>1770</v>
      </c>
      <c r="F716" s="2" t="str">
        <f>IF(Names!$B716="M","Mr.",IF(Names!$B716="F","Ms.","Mx."))</f>
        <v>Mr.</v>
      </c>
      <c r="G716" s="2" t="str">
        <f>IF(Names!$B716="M","he",IF(Names!$B716="F","she","they"))</f>
        <v>he</v>
      </c>
      <c r="H716" s="2" t="str">
        <f>IF(Names!$B716="M","him",IF(Names!$B716="F","her","them"))</f>
        <v>him</v>
      </c>
      <c r="I716" s="2" t="str">
        <f>IF(Names!$B716="M","his",IF(Names!$B716="F","her","their"))</f>
        <v>his</v>
      </c>
    </row>
    <row r="717" ht="14.25" customHeight="1">
      <c r="A717" s="2">
        <v>716.0</v>
      </c>
      <c r="B717" s="2" t="s">
        <v>26</v>
      </c>
      <c r="C717" s="2" t="s">
        <v>1771</v>
      </c>
      <c r="D717" s="2" t="s">
        <v>1772</v>
      </c>
      <c r="E717" s="2" t="s">
        <v>1773</v>
      </c>
      <c r="F717" s="2" t="str">
        <f>IF(Names!$B717="M","Mr.",IF(Names!$B717="F","Ms.","Mx."))</f>
        <v>Mr.</v>
      </c>
      <c r="G717" s="2" t="str">
        <f>IF(Names!$B717="M","he",IF(Names!$B717="F","she","they"))</f>
        <v>he</v>
      </c>
      <c r="H717" s="2" t="str">
        <f>IF(Names!$B717="M","him",IF(Names!$B717="F","her","them"))</f>
        <v>him</v>
      </c>
      <c r="I717" s="2" t="str">
        <f>IF(Names!$B717="M","his",IF(Names!$B717="F","her","their"))</f>
        <v>his</v>
      </c>
    </row>
    <row r="718" ht="14.25" customHeight="1">
      <c r="A718" s="2">
        <v>717.0</v>
      </c>
      <c r="B718" s="2" t="s">
        <v>26</v>
      </c>
      <c r="C718" s="2" t="s">
        <v>1774</v>
      </c>
      <c r="D718" s="2" t="s">
        <v>1775</v>
      </c>
      <c r="E718" s="2" t="s">
        <v>1776</v>
      </c>
      <c r="F718" s="2" t="str">
        <f>IF(Names!$B718="M","Mr.",IF(Names!$B718="F","Ms.","Mx."))</f>
        <v>Mr.</v>
      </c>
      <c r="G718" s="2" t="str">
        <f>IF(Names!$B718="M","he",IF(Names!$B718="F","she","they"))</f>
        <v>he</v>
      </c>
      <c r="H718" s="2" t="str">
        <f>IF(Names!$B718="M","him",IF(Names!$B718="F","her","them"))</f>
        <v>him</v>
      </c>
      <c r="I718" s="2" t="str">
        <f>IF(Names!$B718="M","his",IF(Names!$B718="F","her","their"))</f>
        <v>his</v>
      </c>
    </row>
    <row r="719" ht="14.25" customHeight="1">
      <c r="A719" s="2">
        <v>718.0</v>
      </c>
      <c r="B719" s="2" t="s">
        <v>26</v>
      </c>
      <c r="C719" s="2" t="s">
        <v>1777</v>
      </c>
      <c r="D719" s="2" t="s">
        <v>1778</v>
      </c>
      <c r="E719" s="2" t="s">
        <v>1779</v>
      </c>
      <c r="F719" s="2" t="str">
        <f>IF(Names!$B719="M","Mr.",IF(Names!$B719="F","Ms.","Mx."))</f>
        <v>Mr.</v>
      </c>
      <c r="G719" s="2" t="str">
        <f>IF(Names!$B719="M","he",IF(Names!$B719="F","she","they"))</f>
        <v>he</v>
      </c>
      <c r="H719" s="2" t="str">
        <f>IF(Names!$B719="M","him",IF(Names!$B719="F","her","them"))</f>
        <v>him</v>
      </c>
      <c r="I719" s="2" t="str">
        <f>IF(Names!$B719="M","his",IF(Names!$B719="F","her","their"))</f>
        <v>his</v>
      </c>
    </row>
    <row r="720" ht="14.25" customHeight="1">
      <c r="A720" s="2">
        <v>719.0</v>
      </c>
      <c r="B720" s="2" t="s">
        <v>26</v>
      </c>
      <c r="C720" s="2" t="s">
        <v>1780</v>
      </c>
      <c r="D720" s="2" t="s">
        <v>1781</v>
      </c>
      <c r="E720" s="2" t="s">
        <v>1782</v>
      </c>
      <c r="F720" s="2" t="str">
        <f>IF(Names!$B720="M","Mr.",IF(Names!$B720="F","Ms.","Mx."))</f>
        <v>Mr.</v>
      </c>
      <c r="G720" s="2" t="str">
        <f>IF(Names!$B720="M","he",IF(Names!$B720="F","she","they"))</f>
        <v>he</v>
      </c>
      <c r="H720" s="2" t="str">
        <f>IF(Names!$B720="M","him",IF(Names!$B720="F","her","them"))</f>
        <v>him</v>
      </c>
      <c r="I720" s="2" t="str">
        <f>IF(Names!$B720="M","his",IF(Names!$B720="F","her","their"))</f>
        <v>his</v>
      </c>
    </row>
    <row r="721" ht="14.25" customHeight="1">
      <c r="A721" s="2">
        <v>720.0</v>
      </c>
      <c r="B721" s="2" t="s">
        <v>26</v>
      </c>
      <c r="C721" s="2" t="s">
        <v>1783</v>
      </c>
      <c r="D721" s="2" t="s">
        <v>1784</v>
      </c>
      <c r="E721" s="2" t="s">
        <v>1785</v>
      </c>
      <c r="F721" s="2" t="str">
        <f>IF(Names!$B721="M","Mr.",IF(Names!$B721="F","Ms.","Mx."))</f>
        <v>Mr.</v>
      </c>
      <c r="G721" s="2" t="str">
        <f>IF(Names!$B721="M","he",IF(Names!$B721="F","she","they"))</f>
        <v>he</v>
      </c>
      <c r="H721" s="2" t="str">
        <f>IF(Names!$B721="M","him",IF(Names!$B721="F","her","them"))</f>
        <v>him</v>
      </c>
      <c r="I721" s="2" t="str">
        <f>IF(Names!$B721="M","his",IF(Names!$B721="F","her","their"))</f>
        <v>his</v>
      </c>
    </row>
    <row r="722" ht="14.25" customHeight="1">
      <c r="A722" s="2">
        <v>721.0</v>
      </c>
      <c r="B722" s="2" t="s">
        <v>447</v>
      </c>
      <c r="C722" s="2" t="s">
        <v>1786</v>
      </c>
      <c r="D722" s="2" t="s">
        <v>1787</v>
      </c>
      <c r="E722" s="2" t="s">
        <v>1788</v>
      </c>
      <c r="F722" s="2" t="str">
        <f>IF(Names!$B722="M","Mr.",IF(Names!$B722="F","Ms.","Mx."))</f>
        <v>Ms.</v>
      </c>
      <c r="G722" s="2" t="str">
        <f>IF(Names!$B722="M","he",IF(Names!$B722="F","she","they"))</f>
        <v>she</v>
      </c>
      <c r="H722" s="2" t="str">
        <f>IF(Names!$B722="M","him",IF(Names!$B722="F","her","them"))</f>
        <v>her</v>
      </c>
      <c r="I722" s="2" t="str">
        <f>IF(Names!$B722="M","his",IF(Names!$B722="F","her","their"))</f>
        <v>her</v>
      </c>
    </row>
    <row r="723" ht="14.25" customHeight="1">
      <c r="A723" s="2">
        <v>722.0</v>
      </c>
      <c r="B723" s="2" t="s">
        <v>48</v>
      </c>
      <c r="C723" s="2" t="s">
        <v>1789</v>
      </c>
      <c r="D723" s="2" t="s">
        <v>1790</v>
      </c>
      <c r="E723" s="2" t="s">
        <v>1791</v>
      </c>
      <c r="F723" s="2" t="str">
        <f>IF(Names!$B723="M","Mr.",IF(Names!$B723="F","Ms.","Mx."))</f>
        <v>Mx.</v>
      </c>
      <c r="G723" s="2" t="str">
        <f>IF(Names!$B723="M","he",IF(Names!$B723="F","she","they"))</f>
        <v>they</v>
      </c>
      <c r="H723" s="2" t="str">
        <f>IF(Names!$B723="M","him",IF(Names!$B723="F","her","them"))</f>
        <v>them</v>
      </c>
      <c r="I723" s="2" t="str">
        <f>IF(Names!$B723="M","his",IF(Names!$B723="F","her","their"))</f>
        <v>their</v>
      </c>
    </row>
    <row r="724" ht="14.25" customHeight="1">
      <c r="A724" s="2">
        <v>723.0</v>
      </c>
      <c r="B724" s="2" t="s">
        <v>447</v>
      </c>
      <c r="C724" s="2" t="s">
        <v>1792</v>
      </c>
      <c r="D724" s="2" t="s">
        <v>1793</v>
      </c>
      <c r="E724" s="2" t="s">
        <v>1773</v>
      </c>
      <c r="F724" s="2" t="str">
        <f>IF(Names!$B724="M","Mr.",IF(Names!$B724="F","Ms.","Mx."))</f>
        <v>Ms.</v>
      </c>
      <c r="G724" s="2" t="str">
        <f>IF(Names!$B724="M","he",IF(Names!$B724="F","she","they"))</f>
        <v>she</v>
      </c>
      <c r="H724" s="2" t="str">
        <f>IF(Names!$B724="M","him",IF(Names!$B724="F","her","them"))</f>
        <v>her</v>
      </c>
      <c r="I724" s="2" t="str">
        <f>IF(Names!$B724="M","his",IF(Names!$B724="F","her","their"))</f>
        <v>her</v>
      </c>
    </row>
    <row r="725" ht="14.25" customHeight="1">
      <c r="A725" s="2">
        <v>724.0</v>
      </c>
      <c r="B725" s="2" t="s">
        <v>447</v>
      </c>
      <c r="C725" s="2" t="s">
        <v>1794</v>
      </c>
      <c r="D725" s="2" t="s">
        <v>1795</v>
      </c>
      <c r="E725" s="2" t="s">
        <v>1796</v>
      </c>
      <c r="F725" s="2" t="str">
        <f>IF(Names!$B725="M","Mr.",IF(Names!$B725="F","Ms.","Mx."))</f>
        <v>Ms.</v>
      </c>
      <c r="G725" s="2" t="str">
        <f>IF(Names!$B725="M","he",IF(Names!$B725="F","she","they"))</f>
        <v>she</v>
      </c>
      <c r="H725" s="2" t="str">
        <f>IF(Names!$B725="M","him",IF(Names!$B725="F","her","them"))</f>
        <v>her</v>
      </c>
      <c r="I725" s="2" t="str">
        <f>IF(Names!$B725="M","his",IF(Names!$B725="F","her","their"))</f>
        <v>her</v>
      </c>
    </row>
    <row r="726" ht="14.25" customHeight="1">
      <c r="A726" s="2">
        <v>725.0</v>
      </c>
      <c r="B726" s="2" t="s">
        <v>447</v>
      </c>
      <c r="C726" s="2" t="s">
        <v>1797</v>
      </c>
      <c r="D726" s="2" t="s">
        <v>1798</v>
      </c>
      <c r="E726" s="2" t="s">
        <v>1799</v>
      </c>
      <c r="F726" s="2" t="str">
        <f>IF(Names!$B726="M","Mr.",IF(Names!$B726="F","Ms.","Mx."))</f>
        <v>Ms.</v>
      </c>
      <c r="G726" s="2" t="str">
        <f>IF(Names!$B726="M","he",IF(Names!$B726="F","she","they"))</f>
        <v>she</v>
      </c>
      <c r="H726" s="2" t="str">
        <f>IF(Names!$B726="M","him",IF(Names!$B726="F","her","them"))</f>
        <v>her</v>
      </c>
      <c r="I726" s="2" t="str">
        <f>IF(Names!$B726="M","his",IF(Names!$B726="F","her","their"))</f>
        <v>her</v>
      </c>
    </row>
    <row r="727" ht="14.25" customHeight="1">
      <c r="A727" s="2">
        <v>726.0</v>
      </c>
      <c r="B727" s="2" t="s">
        <v>447</v>
      </c>
      <c r="C727" s="2" t="s">
        <v>1800</v>
      </c>
      <c r="D727" s="2" t="s">
        <v>1801</v>
      </c>
      <c r="E727" s="2" t="s">
        <v>1802</v>
      </c>
      <c r="F727" s="2" t="str">
        <f>IF(Names!$B727="M","Mr.",IF(Names!$B727="F","Ms.","Mx."))</f>
        <v>Ms.</v>
      </c>
      <c r="G727" s="2" t="str">
        <f>IF(Names!$B727="M","he",IF(Names!$B727="F","she","they"))</f>
        <v>she</v>
      </c>
      <c r="H727" s="2" t="str">
        <f>IF(Names!$B727="M","him",IF(Names!$B727="F","her","them"))</f>
        <v>her</v>
      </c>
      <c r="I727" s="2" t="str">
        <f>IF(Names!$B727="M","his",IF(Names!$B727="F","her","their"))</f>
        <v>her</v>
      </c>
    </row>
    <row r="728" ht="14.25" customHeight="1">
      <c r="A728" s="2">
        <v>727.0</v>
      </c>
      <c r="B728" s="2" t="s">
        <v>447</v>
      </c>
      <c r="C728" s="2" t="s">
        <v>1803</v>
      </c>
      <c r="D728" s="2" t="s">
        <v>1804</v>
      </c>
      <c r="E728" s="2" t="s">
        <v>1805</v>
      </c>
      <c r="F728" s="2" t="str">
        <f>IF(Names!$B728="M","Mr.",IF(Names!$B728="F","Ms.","Mx."))</f>
        <v>Ms.</v>
      </c>
      <c r="G728" s="2" t="str">
        <f>IF(Names!$B728="M","he",IF(Names!$B728="F","she","they"))</f>
        <v>she</v>
      </c>
      <c r="H728" s="2" t="str">
        <f>IF(Names!$B728="M","him",IF(Names!$B728="F","her","them"))</f>
        <v>her</v>
      </c>
      <c r="I728" s="2" t="str">
        <f>IF(Names!$B728="M","his",IF(Names!$B728="F","her","their"))</f>
        <v>her</v>
      </c>
    </row>
    <row r="729" ht="14.25" customHeight="1">
      <c r="A729" s="2">
        <v>728.0</v>
      </c>
      <c r="B729" s="2" t="s">
        <v>447</v>
      </c>
      <c r="C729" s="2" t="s">
        <v>1806</v>
      </c>
      <c r="D729" s="2" t="s">
        <v>1807</v>
      </c>
      <c r="E729" s="2" t="s">
        <v>1761</v>
      </c>
      <c r="F729" s="2" t="str">
        <f>IF(Names!$B729="M","Mr.",IF(Names!$B729="F","Ms.","Mx."))</f>
        <v>Ms.</v>
      </c>
      <c r="G729" s="2" t="str">
        <f>IF(Names!$B729="M","he",IF(Names!$B729="F","she","they"))</f>
        <v>she</v>
      </c>
      <c r="H729" s="2" t="str">
        <f>IF(Names!$B729="M","him",IF(Names!$B729="F","her","them"))</f>
        <v>her</v>
      </c>
      <c r="I729" s="2" t="str">
        <f>IF(Names!$B729="M","his",IF(Names!$B729="F","her","their"))</f>
        <v>her</v>
      </c>
    </row>
    <row r="730" ht="14.25" customHeight="1">
      <c r="A730" s="2">
        <v>729.0</v>
      </c>
      <c r="B730" s="2" t="s">
        <v>447</v>
      </c>
      <c r="C730" s="2" t="s">
        <v>1808</v>
      </c>
      <c r="D730" s="2" t="s">
        <v>1809</v>
      </c>
      <c r="E730" s="2" t="s">
        <v>1773</v>
      </c>
      <c r="F730" s="2" t="str">
        <f>IF(Names!$B730="M","Mr.",IF(Names!$B730="F","Ms.","Mx."))</f>
        <v>Ms.</v>
      </c>
      <c r="G730" s="2" t="str">
        <f>IF(Names!$B730="M","he",IF(Names!$B730="F","she","they"))</f>
        <v>she</v>
      </c>
      <c r="H730" s="2" t="str">
        <f>IF(Names!$B730="M","him",IF(Names!$B730="F","her","them"))</f>
        <v>her</v>
      </c>
      <c r="I730" s="2" t="str">
        <f>IF(Names!$B730="M","his",IF(Names!$B730="F","her","their"))</f>
        <v>her</v>
      </c>
    </row>
    <row r="731" ht="14.25" customHeight="1">
      <c r="A731" s="2">
        <v>730.0</v>
      </c>
      <c r="B731" s="2" t="s">
        <v>447</v>
      </c>
      <c r="C731" s="2" t="s">
        <v>1810</v>
      </c>
      <c r="D731" s="2" t="s">
        <v>1811</v>
      </c>
      <c r="E731" s="2" t="s">
        <v>1812</v>
      </c>
      <c r="F731" s="2" t="str">
        <f>IF(Names!$B731="M","Mr.",IF(Names!$B731="F","Ms.","Mx."))</f>
        <v>Ms.</v>
      </c>
      <c r="G731" s="2" t="str">
        <f>IF(Names!$B731="M","he",IF(Names!$B731="F","she","they"))</f>
        <v>she</v>
      </c>
      <c r="H731" s="2" t="str">
        <f>IF(Names!$B731="M","him",IF(Names!$B731="F","her","them"))</f>
        <v>her</v>
      </c>
      <c r="I731" s="2" t="str">
        <f>IF(Names!$B731="M","his",IF(Names!$B731="F","her","their"))</f>
        <v>her</v>
      </c>
    </row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10.5"/>
    <col customWidth="1" min="8" max="8" width="15.88"/>
    <col customWidth="1" min="9" max="26" width="8.63"/>
  </cols>
  <sheetData>
    <row r="1" ht="14.25" customHeight="1">
      <c r="A1" s="1" t="s">
        <v>17</v>
      </c>
      <c r="B1" s="1" t="s">
        <v>1813</v>
      </c>
      <c r="C1" s="1" t="s">
        <v>1814</v>
      </c>
      <c r="D1" s="1" t="s">
        <v>1815</v>
      </c>
      <c r="E1" s="1" t="s">
        <v>1816</v>
      </c>
      <c r="F1" s="1" t="s">
        <v>1817</v>
      </c>
      <c r="G1" s="1" t="s">
        <v>1818</v>
      </c>
      <c r="H1" s="1" t="s">
        <v>1819</v>
      </c>
    </row>
    <row r="2" ht="14.25" customHeight="1">
      <c r="A2" s="5">
        <v>1.0</v>
      </c>
      <c r="B2" s="5" t="s">
        <v>1820</v>
      </c>
      <c r="C2" s="5">
        <v>5000.0</v>
      </c>
      <c r="D2" s="5">
        <v>30000.0</v>
      </c>
      <c r="E2" s="5">
        <v>50.0</v>
      </c>
      <c r="F2" s="5">
        <v>300.0</v>
      </c>
      <c r="G2" s="6">
        <f>RANDBETWEEN(50,300)*100</f>
        <v>25500</v>
      </c>
      <c r="H2" s="2" t="s">
        <v>1821</v>
      </c>
    </row>
    <row r="3" ht="14.25" customHeight="1">
      <c r="A3" s="5">
        <v>2.0</v>
      </c>
      <c r="B3" s="5" t="s">
        <v>1822</v>
      </c>
      <c r="C3" s="5">
        <v>10000.0</v>
      </c>
      <c r="D3" s="5">
        <v>150000.0</v>
      </c>
      <c r="E3" s="5">
        <v>100.0</v>
      </c>
      <c r="F3" s="5">
        <v>1500.0</v>
      </c>
      <c r="G3" s="6">
        <f>RANDBETWEEN(100,1500)*100</f>
        <v>116400</v>
      </c>
      <c r="H3" s="2" t="s">
        <v>1821</v>
      </c>
    </row>
    <row r="4" ht="14.25" customHeight="1">
      <c r="A4" s="5">
        <v>3.0</v>
      </c>
      <c r="B4" s="5" t="s">
        <v>1823</v>
      </c>
      <c r="C4" s="5">
        <v>20000.0</v>
      </c>
      <c r="D4" s="5">
        <v>100000.0</v>
      </c>
      <c r="E4" s="5">
        <v>200.0</v>
      </c>
      <c r="F4" s="5">
        <v>1000.0</v>
      </c>
      <c r="G4" s="6">
        <f>RANDBETWEEN(200,1000)*100</f>
        <v>35700</v>
      </c>
      <c r="H4" s="2"/>
    </row>
    <row r="5" ht="14.25" customHeight="1">
      <c r="A5" s="5">
        <v>4.0</v>
      </c>
      <c r="B5" s="5" t="s">
        <v>1824</v>
      </c>
      <c r="C5" s="5">
        <v>5000.0</v>
      </c>
      <c r="D5" s="5">
        <v>17000.0</v>
      </c>
      <c r="E5" s="5">
        <v>50.0</v>
      </c>
      <c r="F5" s="5">
        <v>170.0</v>
      </c>
      <c r="G5" s="6">
        <f>RANDBETWEEN(50,170)*100</f>
        <v>16700</v>
      </c>
      <c r="H5" s="2" t="s">
        <v>1821</v>
      </c>
    </row>
    <row r="6" ht="14.25" customHeight="1">
      <c r="A6" s="5">
        <v>5.0</v>
      </c>
      <c r="B6" s="5" t="s">
        <v>1825</v>
      </c>
      <c r="C6" s="5">
        <v>5000.0</v>
      </c>
      <c r="D6" s="5">
        <v>22000.0</v>
      </c>
      <c r="E6" s="5">
        <v>50.0</v>
      </c>
      <c r="F6" s="5">
        <v>220.0</v>
      </c>
      <c r="G6" s="6">
        <f>RANDBETWEEN(50,220)*100</f>
        <v>11700</v>
      </c>
      <c r="H6" s="2" t="s">
        <v>1821</v>
      </c>
    </row>
    <row r="7" ht="14.25" customHeight="1">
      <c r="A7" s="5">
        <v>6.0</v>
      </c>
      <c r="B7" s="5" t="s">
        <v>1826</v>
      </c>
      <c r="C7" s="5">
        <v>3000.0</v>
      </c>
      <c r="D7" s="5">
        <v>8000.0</v>
      </c>
      <c r="E7" s="5">
        <v>30.0</v>
      </c>
      <c r="F7" s="5">
        <v>80.0</v>
      </c>
      <c r="G7" s="6">
        <f>RANDBETWEEN(30,80)*100</f>
        <v>7600</v>
      </c>
      <c r="H7" s="2" t="s">
        <v>1821</v>
      </c>
    </row>
    <row r="8" ht="14.25" customHeight="1">
      <c r="A8" s="5">
        <v>7.0</v>
      </c>
      <c r="B8" s="5" t="s">
        <v>1827</v>
      </c>
      <c r="C8" s="5">
        <v>2000.0</v>
      </c>
      <c r="D8" s="5">
        <v>7000.0</v>
      </c>
      <c r="E8" s="5">
        <v>20.0</v>
      </c>
      <c r="F8" s="5">
        <v>70.0</v>
      </c>
      <c r="G8" s="6">
        <f>RANDBETWEEN(20,70)*100</f>
        <v>6600</v>
      </c>
      <c r="H8" s="2" t="s">
        <v>1821</v>
      </c>
    </row>
    <row r="9" ht="14.25" customHeight="1">
      <c r="A9" s="5">
        <v>8.0</v>
      </c>
      <c r="B9" s="5" t="s">
        <v>1828</v>
      </c>
      <c r="C9" s="5">
        <v>1000.0</v>
      </c>
      <c r="D9" s="5">
        <v>4000.0</v>
      </c>
      <c r="E9" s="5">
        <v>10.0</v>
      </c>
      <c r="F9" s="5">
        <v>40.0</v>
      </c>
      <c r="G9" s="6">
        <f>RANDBETWEEN(10,40)*100</f>
        <v>4000</v>
      </c>
      <c r="H9" s="2" t="s">
        <v>1829</v>
      </c>
    </row>
    <row r="10" ht="14.25" customHeight="1">
      <c r="A10" s="5">
        <v>9.0</v>
      </c>
      <c r="B10" s="5" t="s">
        <v>1830</v>
      </c>
      <c r="C10" s="5">
        <v>10000.0</v>
      </c>
      <c r="D10" s="5">
        <v>20000.0</v>
      </c>
      <c r="E10" s="5">
        <v>100.0</v>
      </c>
      <c r="F10" s="5">
        <v>200.0</v>
      </c>
      <c r="G10" s="6">
        <f>RANDBETWEEN(100,200)*100</f>
        <v>14500</v>
      </c>
      <c r="H10" s="2" t="s">
        <v>1829</v>
      </c>
    </row>
    <row r="11" ht="14.25" customHeight="1">
      <c r="A11" s="5">
        <v>10.0</v>
      </c>
      <c r="B11" s="5" t="s">
        <v>1831</v>
      </c>
      <c r="C11" s="5">
        <v>1000.0</v>
      </c>
      <c r="D11" s="5">
        <v>3000.0</v>
      </c>
      <c r="E11" s="5">
        <v>10.0</v>
      </c>
      <c r="F11" s="5">
        <v>30.0</v>
      </c>
      <c r="G11" s="6">
        <f>RANDBETWEEN(10,30)*100</f>
        <v>1600</v>
      </c>
      <c r="H11" s="2" t="s">
        <v>1821</v>
      </c>
    </row>
    <row r="12" ht="14.25" customHeight="1">
      <c r="A12" s="5">
        <v>11.0</v>
      </c>
      <c r="B12" s="5" t="s">
        <v>1832</v>
      </c>
      <c r="C12" s="5">
        <v>800.0</v>
      </c>
      <c r="D12" s="5">
        <v>2500.0</v>
      </c>
      <c r="E12" s="5">
        <v>8.0</v>
      </c>
      <c r="F12" s="5">
        <v>25.0</v>
      </c>
      <c r="G12" s="6">
        <f>RANDBETWEEN(8,25)*100</f>
        <v>800</v>
      </c>
      <c r="H12" s="2" t="s">
        <v>1829</v>
      </c>
    </row>
    <row r="13" ht="14.25" customHeight="1">
      <c r="A13" s="5">
        <v>12.0</v>
      </c>
      <c r="B13" s="5" t="s">
        <v>1833</v>
      </c>
      <c r="C13" s="5">
        <v>800.0</v>
      </c>
      <c r="D13" s="5">
        <v>2000.0</v>
      </c>
      <c r="E13" s="5">
        <v>8.0</v>
      </c>
      <c r="F13" s="5">
        <v>20.0</v>
      </c>
      <c r="G13" s="6">
        <f>RANDBETWEEN(8,20)*100</f>
        <v>900</v>
      </c>
      <c r="H13" s="2" t="s">
        <v>1829</v>
      </c>
    </row>
    <row r="14" ht="14.25" customHeight="1">
      <c r="A14" s="5">
        <v>13.0</v>
      </c>
      <c r="B14" s="5" t="s">
        <v>1834</v>
      </c>
      <c r="C14" s="5">
        <v>1200.0</v>
      </c>
      <c r="D14" s="5">
        <v>3600.0</v>
      </c>
      <c r="E14" s="5">
        <v>12.0</v>
      </c>
      <c r="F14" s="5">
        <v>36.0</v>
      </c>
      <c r="G14" s="6">
        <f>RANDBETWEEN(12,36)*100</f>
        <v>1900</v>
      </c>
      <c r="H14" s="2" t="s">
        <v>1821</v>
      </c>
    </row>
    <row r="15" ht="14.25" customHeight="1">
      <c r="A15" s="5">
        <v>14.0</v>
      </c>
      <c r="B15" s="5" t="s">
        <v>1835</v>
      </c>
      <c r="C15" s="5">
        <v>1000.0</v>
      </c>
      <c r="D15" s="5">
        <v>6000.0</v>
      </c>
      <c r="E15" s="5">
        <v>10.0</v>
      </c>
      <c r="F15" s="5">
        <v>60.0</v>
      </c>
      <c r="G15" s="6">
        <f>RANDBETWEEN(10,60)*100</f>
        <v>5900</v>
      </c>
      <c r="H15" s="2" t="s">
        <v>1829</v>
      </c>
    </row>
    <row r="16" ht="14.25" customHeight="1">
      <c r="A16" s="5">
        <v>15.0</v>
      </c>
      <c r="B16" s="5" t="s">
        <v>1836</v>
      </c>
      <c r="C16" s="5">
        <v>800.0</v>
      </c>
      <c r="D16" s="5">
        <v>2200.0</v>
      </c>
      <c r="E16" s="5">
        <v>8.0</v>
      </c>
      <c r="F16" s="5">
        <v>22.0</v>
      </c>
      <c r="G16" s="6">
        <f>RANDBETWEEN(8,22)*100</f>
        <v>2200</v>
      </c>
      <c r="H16" s="2" t="s">
        <v>1829</v>
      </c>
    </row>
    <row r="17" ht="14.25" customHeight="1">
      <c r="A17" s="5">
        <v>16.0</v>
      </c>
      <c r="B17" s="5" t="s">
        <v>1837</v>
      </c>
      <c r="C17" s="5">
        <v>1500.0</v>
      </c>
      <c r="D17" s="5">
        <v>3000.0</v>
      </c>
      <c r="E17" s="5">
        <v>15.0</v>
      </c>
      <c r="F17" s="5">
        <v>30.0</v>
      </c>
      <c r="G17" s="6">
        <f>RANDBETWEEN(15,30)*100</f>
        <v>2100</v>
      </c>
      <c r="H17" s="2" t="s">
        <v>1829</v>
      </c>
    </row>
    <row r="18" ht="14.25" customHeight="1">
      <c r="A18" s="5">
        <v>17.0</v>
      </c>
      <c r="B18" s="5" t="s">
        <v>1838</v>
      </c>
      <c r="C18" s="5">
        <v>10000.0</v>
      </c>
      <c r="D18" s="5">
        <v>25000.0</v>
      </c>
      <c r="E18" s="5">
        <v>100.0</v>
      </c>
      <c r="F18" s="5">
        <v>250.0</v>
      </c>
      <c r="G18" s="6">
        <f>RANDBETWEEN(100,250)*100</f>
        <v>15800</v>
      </c>
      <c r="H18" s="2" t="s">
        <v>1821</v>
      </c>
    </row>
    <row r="19" ht="14.25" customHeight="1">
      <c r="A19" s="5">
        <v>18.0</v>
      </c>
      <c r="B19" s="5" t="s">
        <v>1839</v>
      </c>
      <c r="C19" s="5">
        <v>12000.0</v>
      </c>
      <c r="D19" s="5">
        <v>18000.0</v>
      </c>
      <c r="E19" s="5">
        <v>120.0</v>
      </c>
      <c r="F19" s="5">
        <v>180.0</v>
      </c>
      <c r="G19" s="6">
        <f>RANDBETWEEN(120,180)*100</f>
        <v>16600</v>
      </c>
      <c r="H19" s="2" t="s">
        <v>1829</v>
      </c>
    </row>
    <row r="20" ht="14.25" customHeight="1">
      <c r="A20" s="5">
        <v>19.0</v>
      </c>
      <c r="B20" s="5" t="s">
        <v>1840</v>
      </c>
      <c r="C20" s="5">
        <v>10000.0</v>
      </c>
      <c r="D20" s="5">
        <v>80000.0</v>
      </c>
      <c r="E20" s="5">
        <v>100.0</v>
      </c>
      <c r="F20" s="5">
        <v>800.0</v>
      </c>
      <c r="G20" s="6">
        <f>RANDBETWEEN(100,800)*100</f>
        <v>39000</v>
      </c>
      <c r="H20" s="2" t="s">
        <v>1829</v>
      </c>
    </row>
    <row r="21" ht="14.25" customHeight="1">
      <c r="A21" s="5">
        <v>20.0</v>
      </c>
      <c r="B21" s="5" t="s">
        <v>1841</v>
      </c>
      <c r="C21" s="5">
        <v>500.0</v>
      </c>
      <c r="D21" s="5">
        <v>5000.0</v>
      </c>
      <c r="E21" s="5">
        <v>5.0</v>
      </c>
      <c r="F21" s="5">
        <v>50.0</v>
      </c>
      <c r="G21" s="6">
        <f>RANDBETWEEN(5,50)*100</f>
        <v>600</v>
      </c>
      <c r="H21" s="2" t="s">
        <v>1821</v>
      </c>
    </row>
    <row r="22" ht="14.25" customHeight="1">
      <c r="A22" s="5">
        <v>21.0</v>
      </c>
      <c r="B22" s="5" t="s">
        <v>1842</v>
      </c>
      <c r="C22" s="5">
        <v>1000.0</v>
      </c>
      <c r="D22" s="5">
        <v>7000.0</v>
      </c>
      <c r="E22" s="5">
        <v>10.0</v>
      </c>
      <c r="F22" s="5">
        <v>70.0</v>
      </c>
      <c r="G22" s="6">
        <f>RANDBETWEEN(10,70)*100</f>
        <v>2700</v>
      </c>
      <c r="H22" s="2" t="s">
        <v>1821</v>
      </c>
    </row>
    <row r="23" ht="14.25" customHeight="1">
      <c r="A23" s="5">
        <v>22.0</v>
      </c>
      <c r="B23" s="5" t="s">
        <v>1843</v>
      </c>
      <c r="C23" s="5">
        <v>3000.0</v>
      </c>
      <c r="D23" s="5">
        <v>15000.0</v>
      </c>
      <c r="E23" s="5">
        <v>30.0</v>
      </c>
      <c r="F23" s="5">
        <v>150.0</v>
      </c>
      <c r="G23" s="6">
        <f>RANDBETWEEN(30,150)*100</f>
        <v>13200</v>
      </c>
      <c r="H23" s="2" t="s">
        <v>1821</v>
      </c>
    </row>
    <row r="24" ht="14.25" customHeight="1">
      <c r="A24" s="5">
        <v>23.0</v>
      </c>
      <c r="B24" s="5" t="s">
        <v>1844</v>
      </c>
      <c r="C24" s="5">
        <v>2000.0</v>
      </c>
      <c r="D24" s="5">
        <v>10000.0</v>
      </c>
      <c r="E24" s="5">
        <v>20.0</v>
      </c>
      <c r="F24" s="5">
        <v>100.0</v>
      </c>
      <c r="G24" s="6">
        <f>RANDBETWEEN(20,100)*100</f>
        <v>5000</v>
      </c>
      <c r="H24" s="2"/>
    </row>
    <row r="25" ht="14.25" customHeight="1">
      <c r="A25" s="5">
        <v>24.0</v>
      </c>
      <c r="B25" s="5" t="s">
        <v>1845</v>
      </c>
      <c r="C25" s="5">
        <v>800.0</v>
      </c>
      <c r="D25" s="5">
        <v>5000.0</v>
      </c>
      <c r="E25" s="5">
        <v>8.0</v>
      </c>
      <c r="F25" s="5">
        <v>50.0</v>
      </c>
      <c r="G25" s="6">
        <f>RANDBETWEEN(8,50)*100</f>
        <v>1000</v>
      </c>
      <c r="H25" s="2" t="s">
        <v>1821</v>
      </c>
    </row>
    <row r="26" ht="14.25" customHeight="1">
      <c r="A26" s="5">
        <v>25.0</v>
      </c>
      <c r="B26" s="5" t="s">
        <v>1846</v>
      </c>
      <c r="C26" s="5">
        <v>8000.0</v>
      </c>
      <c r="D26" s="5">
        <v>25000.0</v>
      </c>
      <c r="E26" s="5">
        <v>80.0</v>
      </c>
      <c r="F26" s="5">
        <v>250.0</v>
      </c>
      <c r="G26" s="6">
        <f>RANDBETWEEN(80,250)*100</f>
        <v>20500</v>
      </c>
      <c r="H26" s="2" t="s">
        <v>1829</v>
      </c>
    </row>
    <row r="27" ht="14.25" customHeight="1">
      <c r="A27" s="5">
        <v>26.0</v>
      </c>
      <c r="B27" s="5" t="s">
        <v>1847</v>
      </c>
      <c r="C27" s="5">
        <v>2000.0</v>
      </c>
      <c r="D27" s="5">
        <v>12000.0</v>
      </c>
      <c r="E27" s="5">
        <v>20.0</v>
      </c>
      <c r="F27" s="5">
        <v>120.0</v>
      </c>
      <c r="G27" s="6">
        <f>RANDBETWEEN(20,120)*100</f>
        <v>11700</v>
      </c>
      <c r="H27" s="2" t="s">
        <v>1829</v>
      </c>
    </row>
    <row r="28" ht="14.25" customHeight="1">
      <c r="A28" s="5">
        <v>27.0</v>
      </c>
      <c r="B28" s="5" t="s">
        <v>1848</v>
      </c>
      <c r="C28" s="5">
        <v>5000.0</v>
      </c>
      <c r="D28" s="5">
        <v>50000.0</v>
      </c>
      <c r="E28" s="5">
        <v>50.0</v>
      </c>
      <c r="F28" s="5">
        <v>500.0</v>
      </c>
      <c r="G28" s="6">
        <f>RANDBETWEEN(50,500)*100</f>
        <v>20700</v>
      </c>
      <c r="H28" s="2" t="s">
        <v>1821</v>
      </c>
    </row>
    <row r="29" ht="14.25" customHeight="1">
      <c r="A29" s="5">
        <v>28.0</v>
      </c>
      <c r="B29" s="5" t="s">
        <v>1849</v>
      </c>
      <c r="C29" s="5">
        <v>2000.0</v>
      </c>
      <c r="D29" s="5">
        <v>12000.0</v>
      </c>
      <c r="E29" s="5">
        <v>20.0</v>
      </c>
      <c r="F29" s="5">
        <v>120.0</v>
      </c>
      <c r="G29" s="6">
        <f>RANDBETWEEN(20,120)*100</f>
        <v>2700</v>
      </c>
      <c r="H29" s="2" t="s">
        <v>1821</v>
      </c>
    </row>
    <row r="30" ht="14.25" customHeight="1">
      <c r="A30" s="5">
        <v>29.0</v>
      </c>
      <c r="B30" s="5" t="s">
        <v>1850</v>
      </c>
      <c r="C30" s="5">
        <v>1000.0</v>
      </c>
      <c r="D30" s="5">
        <v>7000.0</v>
      </c>
      <c r="E30" s="5">
        <v>10.0</v>
      </c>
      <c r="F30" s="5">
        <v>70.0</v>
      </c>
      <c r="G30" s="6">
        <f>RANDBETWEEN(10,70)*100</f>
        <v>4000</v>
      </c>
      <c r="H30" s="2" t="s">
        <v>1829</v>
      </c>
    </row>
    <row r="31" ht="14.25" customHeight="1">
      <c r="A31" s="5">
        <v>30.0</v>
      </c>
      <c r="B31" s="5" t="s">
        <v>1851</v>
      </c>
      <c r="C31" s="5">
        <v>1500.0</v>
      </c>
      <c r="D31" s="5">
        <v>6000.0</v>
      </c>
      <c r="E31" s="5">
        <v>15.0</v>
      </c>
      <c r="F31" s="5">
        <v>60.0</v>
      </c>
      <c r="G31" s="6">
        <f>RANDBETWEEN(15,60)*100</f>
        <v>3900</v>
      </c>
      <c r="H31" s="2" t="s">
        <v>1829</v>
      </c>
    </row>
    <row r="32" ht="14.25" customHeight="1">
      <c r="A32" s="5">
        <v>31.0</v>
      </c>
      <c r="B32" s="5" t="s">
        <v>1852</v>
      </c>
      <c r="C32" s="5">
        <v>3000.0</v>
      </c>
      <c r="D32" s="5">
        <v>20000.0</v>
      </c>
      <c r="E32" s="5">
        <v>30.0</v>
      </c>
      <c r="F32" s="5">
        <v>200.0</v>
      </c>
      <c r="G32" s="6">
        <f>RANDBETWEEN(30,200)*100</f>
        <v>19000</v>
      </c>
      <c r="H32" s="2" t="s">
        <v>1829</v>
      </c>
    </row>
    <row r="33" ht="14.25" customHeight="1">
      <c r="A33" s="5">
        <v>32.0</v>
      </c>
      <c r="B33" s="5" t="s">
        <v>1853</v>
      </c>
      <c r="C33" s="5">
        <v>10000.0</v>
      </c>
      <c r="D33" s="5">
        <v>40000.0</v>
      </c>
      <c r="E33" s="5">
        <v>100.0</v>
      </c>
      <c r="F33" s="5">
        <v>400.0</v>
      </c>
      <c r="G33" s="6">
        <f>RANDBETWEEN(100,400)*100</f>
        <v>20300</v>
      </c>
      <c r="H33" s="2" t="s">
        <v>1829</v>
      </c>
    </row>
    <row r="34" ht="14.25" customHeight="1">
      <c r="A34" s="5">
        <v>33.0</v>
      </c>
      <c r="B34" s="5" t="s">
        <v>1854</v>
      </c>
      <c r="C34" s="5">
        <v>1200.0</v>
      </c>
      <c r="D34" s="5">
        <v>3500.0</v>
      </c>
      <c r="E34" s="5">
        <v>12.0</v>
      </c>
      <c r="F34" s="5">
        <v>35.0</v>
      </c>
      <c r="G34" s="6">
        <f>RANDBETWEEN(12,35)*100</f>
        <v>2400</v>
      </c>
      <c r="H34" s="2" t="s">
        <v>1829</v>
      </c>
    </row>
    <row r="35" ht="14.25" customHeight="1">
      <c r="A35" s="5">
        <v>34.0</v>
      </c>
      <c r="B35" s="5" t="s">
        <v>1855</v>
      </c>
      <c r="C35" s="5">
        <v>2000.0</v>
      </c>
      <c r="D35" s="5">
        <v>10000.0</v>
      </c>
      <c r="E35" s="5">
        <v>20.0</v>
      </c>
      <c r="F35" s="5">
        <v>100.0</v>
      </c>
      <c r="G35" s="6">
        <f>RANDBETWEEN(20,100)*100</f>
        <v>3800</v>
      </c>
      <c r="H35" s="2" t="s">
        <v>1829</v>
      </c>
    </row>
    <row r="36" ht="14.25" customHeight="1">
      <c r="A36" s="5">
        <v>35.0</v>
      </c>
      <c r="B36" s="5" t="s">
        <v>1856</v>
      </c>
      <c r="C36" s="5">
        <v>3000.0</v>
      </c>
      <c r="D36" s="5">
        <v>8000.0</v>
      </c>
      <c r="E36" s="5">
        <v>30.0</v>
      </c>
      <c r="F36" s="5">
        <v>80.0</v>
      </c>
      <c r="G36" s="6">
        <f>RANDBETWEEN(30,80)*100</f>
        <v>7600</v>
      </c>
      <c r="H36" s="2" t="s">
        <v>1821</v>
      </c>
    </row>
    <row r="37" ht="14.25" customHeight="1">
      <c r="A37" s="5">
        <v>36.0</v>
      </c>
      <c r="B37" s="5" t="s">
        <v>1857</v>
      </c>
      <c r="C37" s="5">
        <v>5000.0</v>
      </c>
      <c r="D37" s="5">
        <v>20000.0</v>
      </c>
      <c r="E37" s="5">
        <v>50.0</v>
      </c>
      <c r="F37" s="5">
        <v>200.0</v>
      </c>
      <c r="G37" s="6">
        <f>RANDBETWEEN(50,200)*100</f>
        <v>5600</v>
      </c>
      <c r="H37" s="2" t="s">
        <v>1821</v>
      </c>
    </row>
    <row r="38" ht="14.25" customHeight="1">
      <c r="A38" s="5">
        <v>37.0</v>
      </c>
      <c r="B38" s="5" t="s">
        <v>1858</v>
      </c>
      <c r="C38" s="5">
        <v>2000.0</v>
      </c>
      <c r="D38" s="5">
        <v>10000.0</v>
      </c>
      <c r="E38" s="5">
        <v>20.0</v>
      </c>
      <c r="F38" s="5">
        <v>100.0</v>
      </c>
      <c r="G38" s="6">
        <f t="shared" ref="G38:G39" si="1">RANDBETWEEN(20,100)*100</f>
        <v>6400</v>
      </c>
      <c r="H38" s="2" t="s">
        <v>1829</v>
      </c>
    </row>
    <row r="39" ht="14.25" customHeight="1">
      <c r="A39" s="5">
        <v>38.0</v>
      </c>
      <c r="B39" s="5" t="s">
        <v>1859</v>
      </c>
      <c r="C39" s="5">
        <v>2000.0</v>
      </c>
      <c r="D39" s="5">
        <v>10000.0</v>
      </c>
      <c r="E39" s="5">
        <v>20.0</v>
      </c>
      <c r="F39" s="5">
        <v>100.0</v>
      </c>
      <c r="G39" s="6">
        <f t="shared" si="1"/>
        <v>6700</v>
      </c>
      <c r="H39" s="2" t="s">
        <v>1829</v>
      </c>
    </row>
    <row r="40" ht="14.25" customHeight="1">
      <c r="A40" s="5">
        <v>39.0</v>
      </c>
      <c r="B40" s="5" t="s">
        <v>1860</v>
      </c>
      <c r="C40" s="5">
        <v>1000.0</v>
      </c>
      <c r="D40" s="5">
        <v>7000.0</v>
      </c>
      <c r="E40" s="5">
        <v>10.0</v>
      </c>
      <c r="F40" s="5">
        <v>70.0</v>
      </c>
      <c r="G40" s="6">
        <f>RANDBETWEEN(10,70)*100</f>
        <v>3900</v>
      </c>
      <c r="H40" s="2" t="s">
        <v>1821</v>
      </c>
    </row>
    <row r="41" ht="14.25" customHeight="1">
      <c r="A41" s="5">
        <v>40.0</v>
      </c>
      <c r="B41" s="5" t="s">
        <v>1861</v>
      </c>
      <c r="C41" s="5">
        <v>5000.0</v>
      </c>
      <c r="D41" s="5">
        <v>20000.0</v>
      </c>
      <c r="E41" s="5">
        <v>50.0</v>
      </c>
      <c r="F41" s="5">
        <v>200.0</v>
      </c>
      <c r="G41" s="6">
        <f>RANDBETWEEN(50,200)*100</f>
        <v>16300</v>
      </c>
      <c r="H41" s="2" t="s">
        <v>1821</v>
      </c>
    </row>
    <row r="42" ht="14.25" customHeight="1">
      <c r="A42" s="5">
        <v>41.0</v>
      </c>
      <c r="B42" s="5" t="s">
        <v>1862</v>
      </c>
      <c r="C42" s="5">
        <v>2000.0</v>
      </c>
      <c r="D42" s="5">
        <v>12000.0</v>
      </c>
      <c r="E42" s="5">
        <v>20.0</v>
      </c>
      <c r="F42" s="5">
        <v>120.0</v>
      </c>
      <c r="G42" s="6">
        <f>RANDBETWEEN(20,120)*100</f>
        <v>11600</v>
      </c>
      <c r="H42" s="2" t="s">
        <v>1829</v>
      </c>
    </row>
    <row r="43" ht="14.25" customHeight="1">
      <c r="A43" s="5">
        <v>42.0</v>
      </c>
      <c r="B43" s="5" t="s">
        <v>1863</v>
      </c>
      <c r="C43" s="5">
        <v>15000.0</v>
      </c>
      <c r="D43" s="5">
        <v>80000.0</v>
      </c>
      <c r="E43" s="5">
        <v>150.0</v>
      </c>
      <c r="F43" s="5">
        <v>800.0</v>
      </c>
      <c r="G43" s="6">
        <f>RANDBETWEEN(150,800)*100</f>
        <v>45300</v>
      </c>
      <c r="H43" s="2" t="s">
        <v>1829</v>
      </c>
    </row>
    <row r="44" ht="14.25" customHeight="1">
      <c r="A44" s="5">
        <v>43.0</v>
      </c>
      <c r="B44" s="5" t="s">
        <v>1864</v>
      </c>
      <c r="C44" s="5">
        <v>5000.0</v>
      </c>
      <c r="D44" s="5">
        <v>40000.0</v>
      </c>
      <c r="E44" s="5">
        <v>50.0</v>
      </c>
      <c r="F44" s="5">
        <v>400.0</v>
      </c>
      <c r="G44" s="6">
        <f>RANDBETWEEN(50,400)*100</f>
        <v>35500</v>
      </c>
      <c r="H44" s="2" t="s">
        <v>1821</v>
      </c>
    </row>
    <row r="45" ht="14.25" customHeight="1">
      <c r="A45" s="5">
        <v>44.0</v>
      </c>
      <c r="B45" s="5" t="s">
        <v>1865</v>
      </c>
      <c r="C45" s="5">
        <v>1000.0</v>
      </c>
      <c r="D45" s="5">
        <v>25000.0</v>
      </c>
      <c r="E45" s="5">
        <v>10.0</v>
      </c>
      <c r="F45" s="5">
        <v>250.0</v>
      </c>
      <c r="G45" s="6">
        <f>RANDBETWEEN(10,250)*100</f>
        <v>8500</v>
      </c>
      <c r="H45" s="2" t="s">
        <v>1821</v>
      </c>
    </row>
    <row r="46" ht="14.25" customHeight="1">
      <c r="A46" s="5">
        <v>45.0</v>
      </c>
      <c r="B46" s="5" t="s">
        <v>1866</v>
      </c>
      <c r="C46" s="5">
        <v>5000.0</v>
      </c>
      <c r="D46" s="5">
        <v>30000.0</v>
      </c>
      <c r="E46" s="5">
        <v>50.0</v>
      </c>
      <c r="F46" s="5">
        <v>300.0</v>
      </c>
      <c r="G46" s="6">
        <f>RANDBETWEEN(50,300)*100</f>
        <v>22400</v>
      </c>
      <c r="H46" s="2" t="s">
        <v>1829</v>
      </c>
    </row>
    <row r="47" ht="14.25" customHeight="1">
      <c r="A47" s="5">
        <v>46.0</v>
      </c>
      <c r="B47" s="5" t="s">
        <v>1867</v>
      </c>
      <c r="C47" s="5">
        <v>1500.0</v>
      </c>
      <c r="D47" s="5">
        <v>8000.0</v>
      </c>
      <c r="E47" s="5">
        <v>15.0</v>
      </c>
      <c r="F47" s="5">
        <v>80.0</v>
      </c>
      <c r="G47" s="6">
        <f>RANDBETWEEN(15,80)*100</f>
        <v>4000</v>
      </c>
      <c r="H47" s="2" t="s">
        <v>1829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5"/>
    <col customWidth="1" min="3" max="3" width="11.5"/>
    <col customWidth="1" min="4" max="4" width="9.5"/>
    <col customWidth="1" min="5" max="5" width="10.13"/>
    <col customWidth="1" min="6" max="6" width="28.5"/>
    <col customWidth="1" min="7" max="7" width="22.75"/>
    <col customWidth="1" min="8" max="8" width="12.88"/>
    <col customWidth="1" min="9" max="9" width="14.25"/>
    <col customWidth="1" min="10" max="26" width="8.63"/>
  </cols>
  <sheetData>
    <row r="1" ht="14.25" customHeight="1">
      <c r="A1" s="1" t="s">
        <v>17</v>
      </c>
      <c r="B1" s="1" t="s">
        <v>1868</v>
      </c>
      <c r="C1" s="1" t="s">
        <v>1869</v>
      </c>
      <c r="D1" s="1" t="s">
        <v>1870</v>
      </c>
      <c r="E1" s="1" t="s">
        <v>1871</v>
      </c>
      <c r="F1" s="1" t="s">
        <v>1872</v>
      </c>
      <c r="G1" s="1" t="s">
        <v>1873</v>
      </c>
      <c r="H1" s="1" t="s">
        <v>1874</v>
      </c>
      <c r="I1" s="1" t="s">
        <v>1875</v>
      </c>
      <c r="J1" s="1" t="s">
        <v>1876</v>
      </c>
      <c r="K1" s="1" t="s">
        <v>1877</v>
      </c>
    </row>
    <row r="2" ht="14.25" customHeight="1">
      <c r="A2" s="7">
        <v>86.0</v>
      </c>
      <c r="B2" s="8" t="s">
        <v>1878</v>
      </c>
      <c r="C2" s="8">
        <v>1.0</v>
      </c>
      <c r="D2" s="7">
        <v>5.0</v>
      </c>
      <c r="E2" s="7">
        <v>15.0</v>
      </c>
      <c r="F2" s="8" t="s">
        <v>1879</v>
      </c>
      <c r="G2" s="8" t="s">
        <v>1880</v>
      </c>
      <c r="H2" s="8" t="s">
        <v>1881</v>
      </c>
      <c r="I2" s="8" t="s">
        <v>1882</v>
      </c>
      <c r="J2" s="2" t="s">
        <v>1883</v>
      </c>
      <c r="K2" s="2" t="s">
        <v>1882</v>
      </c>
    </row>
    <row r="3" ht="14.25" customHeight="1">
      <c r="A3" s="7">
        <v>74.0</v>
      </c>
      <c r="B3" s="8" t="s">
        <v>1884</v>
      </c>
      <c r="C3" s="8">
        <v>1.0</v>
      </c>
      <c r="D3" s="7">
        <v>1.5</v>
      </c>
      <c r="E3" s="7">
        <v>4.0</v>
      </c>
      <c r="F3" s="9" t="s">
        <v>1885</v>
      </c>
      <c r="G3" s="8" t="s">
        <v>1886</v>
      </c>
      <c r="H3" s="8" t="s">
        <v>1887</v>
      </c>
      <c r="I3" s="8" t="s">
        <v>1888</v>
      </c>
      <c r="J3" s="2" t="s">
        <v>1883</v>
      </c>
      <c r="K3" s="2" t="s">
        <v>1889</v>
      </c>
    </row>
    <row r="4" ht="14.25" customHeight="1">
      <c r="A4" s="7">
        <v>53.0</v>
      </c>
      <c r="B4" s="8" t="s">
        <v>1890</v>
      </c>
      <c r="C4" s="8">
        <v>1.0</v>
      </c>
      <c r="D4" s="7">
        <v>3.0</v>
      </c>
      <c r="E4" s="7">
        <v>7.0</v>
      </c>
      <c r="F4" s="8" t="s">
        <v>1891</v>
      </c>
      <c r="G4" s="8" t="s">
        <v>1880</v>
      </c>
      <c r="H4" s="8" t="s">
        <v>1892</v>
      </c>
      <c r="I4" s="8" t="s">
        <v>1893</v>
      </c>
      <c r="J4" s="2" t="s">
        <v>1883</v>
      </c>
      <c r="K4" s="2" t="s">
        <v>1893</v>
      </c>
    </row>
    <row r="5" ht="14.25" customHeight="1">
      <c r="A5" s="7">
        <v>47.0</v>
      </c>
      <c r="B5" s="8" t="s">
        <v>1894</v>
      </c>
      <c r="C5" s="8">
        <v>100.0</v>
      </c>
      <c r="D5" s="7">
        <v>8.0</v>
      </c>
      <c r="E5" s="7">
        <v>20.0</v>
      </c>
      <c r="F5" s="8" t="s">
        <v>1895</v>
      </c>
      <c r="G5" s="8" t="s">
        <v>1880</v>
      </c>
      <c r="H5" s="8" t="s">
        <v>1896</v>
      </c>
      <c r="I5" s="8" t="s">
        <v>1897</v>
      </c>
      <c r="J5" s="2" t="s">
        <v>1883</v>
      </c>
      <c r="K5" s="2" t="s">
        <v>1897</v>
      </c>
    </row>
    <row r="6" ht="14.25" customHeight="1">
      <c r="A6" s="7">
        <v>7.0</v>
      </c>
      <c r="B6" s="8" t="s">
        <v>1898</v>
      </c>
      <c r="C6" s="8">
        <v>1.0</v>
      </c>
      <c r="D6" s="7">
        <v>0.85</v>
      </c>
      <c r="E6" s="7">
        <v>3.5</v>
      </c>
      <c r="F6" s="8" t="s">
        <v>1899</v>
      </c>
      <c r="G6" s="8" t="s">
        <v>1880</v>
      </c>
      <c r="H6" s="8" t="s">
        <v>1900</v>
      </c>
      <c r="I6" s="8" t="s">
        <v>1901</v>
      </c>
      <c r="J6" s="2" t="s">
        <v>1883</v>
      </c>
      <c r="K6" s="2" t="s">
        <v>1901</v>
      </c>
    </row>
    <row r="7" ht="14.25" customHeight="1">
      <c r="A7" s="7">
        <v>31.0</v>
      </c>
      <c r="B7" s="8" t="s">
        <v>1902</v>
      </c>
      <c r="C7" s="8">
        <v>1.0</v>
      </c>
      <c r="D7" s="7">
        <v>5.0</v>
      </c>
      <c r="E7" s="7">
        <v>20.0</v>
      </c>
      <c r="F7" s="8" t="s">
        <v>1903</v>
      </c>
      <c r="G7" s="8" t="s">
        <v>1880</v>
      </c>
      <c r="H7" s="8" t="s">
        <v>1904</v>
      </c>
      <c r="I7" s="8" t="s">
        <v>1905</v>
      </c>
      <c r="J7" s="2" t="s">
        <v>1883</v>
      </c>
      <c r="K7" s="2" t="s">
        <v>1906</v>
      </c>
    </row>
    <row r="8" ht="14.25" customHeight="1">
      <c r="A8" s="7">
        <v>26.0</v>
      </c>
      <c r="B8" s="8" t="s">
        <v>1907</v>
      </c>
      <c r="C8" s="8">
        <v>1.0</v>
      </c>
      <c r="D8" s="7">
        <v>4.5</v>
      </c>
      <c r="E8" s="7">
        <v>8.0</v>
      </c>
      <c r="F8" s="8" t="s">
        <v>1908</v>
      </c>
      <c r="G8" s="9" t="s">
        <v>1909</v>
      </c>
      <c r="H8" s="8" t="s">
        <v>1910</v>
      </c>
      <c r="I8" s="8" t="s">
        <v>1911</v>
      </c>
      <c r="J8" s="2" t="s">
        <v>1912</v>
      </c>
      <c r="K8" s="2" t="s">
        <v>1913</v>
      </c>
    </row>
    <row r="9" ht="14.25" customHeight="1">
      <c r="A9" s="7">
        <v>36.0</v>
      </c>
      <c r="B9" s="8" t="s">
        <v>1914</v>
      </c>
      <c r="C9" s="8">
        <v>1.0</v>
      </c>
      <c r="D9" s="7">
        <v>2.5</v>
      </c>
      <c r="E9" s="7">
        <v>6.5</v>
      </c>
      <c r="F9" s="8" t="s">
        <v>1915</v>
      </c>
      <c r="G9" s="9" t="s">
        <v>1909</v>
      </c>
      <c r="H9" s="8" t="s">
        <v>1916</v>
      </c>
      <c r="I9" s="8" t="s">
        <v>1917</v>
      </c>
      <c r="J9" s="2" t="s">
        <v>1912</v>
      </c>
      <c r="K9" s="2" t="s">
        <v>1918</v>
      </c>
    </row>
    <row r="10" ht="14.25" customHeight="1">
      <c r="A10" s="7">
        <v>12.0</v>
      </c>
      <c r="B10" s="8" t="s">
        <v>1919</v>
      </c>
      <c r="C10" s="8">
        <v>1.0</v>
      </c>
      <c r="D10" s="7">
        <v>8.5</v>
      </c>
      <c r="E10" s="7">
        <v>16.0</v>
      </c>
      <c r="F10" s="8" t="s">
        <v>1920</v>
      </c>
      <c r="G10" s="9" t="s">
        <v>1909</v>
      </c>
      <c r="H10" s="8" t="s">
        <v>1921</v>
      </c>
      <c r="I10" s="8" t="s">
        <v>1922</v>
      </c>
      <c r="J10" s="2" t="s">
        <v>1912</v>
      </c>
      <c r="K10" s="2" t="s">
        <v>1923</v>
      </c>
    </row>
    <row r="11" ht="14.25" customHeight="1">
      <c r="A11" s="7">
        <v>13.0</v>
      </c>
      <c r="B11" s="8" t="s">
        <v>1924</v>
      </c>
      <c r="C11" s="8">
        <v>1.0</v>
      </c>
      <c r="D11" s="7">
        <v>18.0</v>
      </c>
      <c r="E11" s="7">
        <v>31.0</v>
      </c>
      <c r="F11" s="8" t="s">
        <v>1920</v>
      </c>
      <c r="G11" s="9" t="s">
        <v>1909</v>
      </c>
      <c r="H11" s="8" t="s">
        <v>1925</v>
      </c>
      <c r="I11" s="8" t="s">
        <v>1926</v>
      </c>
      <c r="J11" s="2" t="s">
        <v>1912</v>
      </c>
      <c r="K11" s="2" t="s">
        <v>1923</v>
      </c>
    </row>
    <row r="12" ht="14.25" customHeight="1">
      <c r="A12" s="7">
        <v>69.0</v>
      </c>
      <c r="B12" s="8" t="s">
        <v>1927</v>
      </c>
      <c r="C12" s="8">
        <v>1.0</v>
      </c>
      <c r="D12" s="7">
        <v>4.0</v>
      </c>
      <c r="E12" s="7">
        <v>9.0</v>
      </c>
      <c r="F12" s="8" t="s">
        <v>1928</v>
      </c>
      <c r="G12" s="9" t="s">
        <v>1909</v>
      </c>
      <c r="H12" s="8" t="s">
        <v>1916</v>
      </c>
      <c r="I12" s="8" t="s">
        <v>1917</v>
      </c>
      <c r="J12" s="2" t="s">
        <v>1912</v>
      </c>
      <c r="K12" s="2" t="s">
        <v>1929</v>
      </c>
    </row>
    <row r="13" ht="14.25" customHeight="1">
      <c r="A13" s="7">
        <v>5.0</v>
      </c>
      <c r="B13" s="8" t="s">
        <v>1930</v>
      </c>
      <c r="C13" s="8">
        <v>1.0</v>
      </c>
      <c r="D13" s="7">
        <v>9.54</v>
      </c>
      <c r="E13" s="7">
        <v>19.09</v>
      </c>
      <c r="F13" s="8" t="s">
        <v>1931</v>
      </c>
      <c r="G13" s="8" t="s">
        <v>1880</v>
      </c>
      <c r="H13" s="8" t="s">
        <v>1932</v>
      </c>
      <c r="I13" s="8" t="s">
        <v>1933</v>
      </c>
      <c r="J13" s="2" t="s">
        <v>1912</v>
      </c>
      <c r="K13" s="2" t="s">
        <v>1933</v>
      </c>
    </row>
    <row r="14" ht="14.25" customHeight="1">
      <c r="A14" s="7">
        <v>34.0</v>
      </c>
      <c r="B14" s="8" t="s">
        <v>1934</v>
      </c>
      <c r="C14" s="8">
        <v>1.0</v>
      </c>
      <c r="D14" s="7">
        <v>4.0</v>
      </c>
      <c r="E14" s="7">
        <v>9.0</v>
      </c>
      <c r="F14" s="8" t="s">
        <v>1935</v>
      </c>
      <c r="G14" s="9" t="s">
        <v>1909</v>
      </c>
      <c r="H14" s="8" t="s">
        <v>1921</v>
      </c>
      <c r="I14" s="8" t="s">
        <v>1922</v>
      </c>
      <c r="J14" s="2" t="s">
        <v>1912</v>
      </c>
      <c r="K14" s="2" t="s">
        <v>1936</v>
      </c>
    </row>
    <row r="15" ht="14.25" customHeight="1">
      <c r="A15" s="7">
        <v>39.0</v>
      </c>
      <c r="B15" s="8" t="s">
        <v>1937</v>
      </c>
      <c r="C15" s="8">
        <v>1.0</v>
      </c>
      <c r="D15" s="7">
        <v>25.0</v>
      </c>
      <c r="E15" s="7">
        <v>50.0</v>
      </c>
      <c r="F15" s="8" t="s">
        <v>1938</v>
      </c>
      <c r="G15" s="8" t="s">
        <v>1880</v>
      </c>
      <c r="H15" s="8" t="s">
        <v>1939</v>
      </c>
      <c r="I15" s="8" t="s">
        <v>1940</v>
      </c>
      <c r="J15" s="2" t="s">
        <v>1912</v>
      </c>
      <c r="K15" s="2" t="s">
        <v>1941</v>
      </c>
    </row>
    <row r="16" ht="14.25" customHeight="1">
      <c r="A16" s="7">
        <v>41.0</v>
      </c>
      <c r="B16" s="8" t="s">
        <v>1942</v>
      </c>
      <c r="C16" s="8">
        <v>12.0</v>
      </c>
      <c r="D16" s="7">
        <v>15.0</v>
      </c>
      <c r="E16" s="7">
        <v>60.0</v>
      </c>
      <c r="F16" s="8" t="s">
        <v>1943</v>
      </c>
      <c r="G16" s="8" t="s">
        <v>1880</v>
      </c>
      <c r="H16" s="8" t="s">
        <v>1944</v>
      </c>
      <c r="I16" s="8" t="s">
        <v>1945</v>
      </c>
      <c r="J16" s="2" t="s">
        <v>1912</v>
      </c>
      <c r="K16" s="2" t="s">
        <v>1942</v>
      </c>
    </row>
    <row r="17" ht="14.25" customHeight="1">
      <c r="A17" s="7">
        <v>83.0</v>
      </c>
      <c r="B17" s="8" t="s">
        <v>1946</v>
      </c>
      <c r="C17" s="8">
        <v>1.0</v>
      </c>
      <c r="D17" s="7">
        <v>25.0</v>
      </c>
      <c r="E17" s="7">
        <v>100.0</v>
      </c>
      <c r="F17" s="9" t="s">
        <v>1947</v>
      </c>
      <c r="G17" s="8" t="s">
        <v>1880</v>
      </c>
      <c r="H17" s="8" t="s">
        <v>1948</v>
      </c>
      <c r="I17" s="8" t="s">
        <v>1949</v>
      </c>
      <c r="J17" s="2" t="s">
        <v>1912</v>
      </c>
      <c r="K17" s="2" t="s">
        <v>1949</v>
      </c>
    </row>
    <row r="18" ht="14.25" customHeight="1">
      <c r="A18" s="7">
        <v>37.0</v>
      </c>
      <c r="B18" s="8" t="s">
        <v>1950</v>
      </c>
      <c r="C18" s="8">
        <v>1.0</v>
      </c>
      <c r="D18" s="7">
        <v>6.0</v>
      </c>
      <c r="E18" s="7">
        <v>15.0</v>
      </c>
      <c r="F18" s="9" t="s">
        <v>1951</v>
      </c>
      <c r="G18" s="9" t="s">
        <v>1909</v>
      </c>
      <c r="H18" s="8" t="s">
        <v>1952</v>
      </c>
      <c r="I18" s="8" t="s">
        <v>1953</v>
      </c>
      <c r="J18" s="2" t="s">
        <v>1912</v>
      </c>
      <c r="K18" s="2" t="s">
        <v>1954</v>
      </c>
    </row>
    <row r="19" ht="14.25" customHeight="1">
      <c r="A19" s="7">
        <v>19.0</v>
      </c>
      <c r="B19" s="8" t="s">
        <v>1955</v>
      </c>
      <c r="C19" s="8">
        <v>50.0</v>
      </c>
      <c r="D19" s="7">
        <v>3.0</v>
      </c>
      <c r="E19" s="7">
        <v>6.0</v>
      </c>
      <c r="F19" s="8" t="s">
        <v>1956</v>
      </c>
      <c r="G19" s="8" t="s">
        <v>1886</v>
      </c>
      <c r="H19" s="8" t="s">
        <v>1887</v>
      </c>
      <c r="I19" s="8" t="s">
        <v>1888</v>
      </c>
      <c r="J19" s="2" t="s">
        <v>1912</v>
      </c>
      <c r="K19" s="2" t="s">
        <v>1957</v>
      </c>
    </row>
    <row r="20" ht="14.25" customHeight="1">
      <c r="A20" s="7">
        <v>3.0</v>
      </c>
      <c r="B20" s="8" t="s">
        <v>1958</v>
      </c>
      <c r="C20" s="8">
        <v>1.0</v>
      </c>
      <c r="D20" s="7">
        <v>1.2</v>
      </c>
      <c r="E20" s="7">
        <v>2.1</v>
      </c>
      <c r="F20" s="8" t="s">
        <v>1959</v>
      </c>
      <c r="G20" s="9" t="s">
        <v>1909</v>
      </c>
      <c r="H20" s="8" t="s">
        <v>1960</v>
      </c>
      <c r="I20" s="8" t="s">
        <v>1958</v>
      </c>
      <c r="J20" s="2" t="s">
        <v>1912</v>
      </c>
      <c r="K20" s="2" t="s">
        <v>1960</v>
      </c>
    </row>
    <row r="21" ht="14.25" customHeight="1">
      <c r="A21" s="7">
        <v>44.0</v>
      </c>
      <c r="B21" s="8" t="s">
        <v>1961</v>
      </c>
      <c r="C21" s="8">
        <v>4.0</v>
      </c>
      <c r="D21" s="7">
        <v>1.0</v>
      </c>
      <c r="E21" s="7">
        <v>3.0</v>
      </c>
      <c r="F21" s="8" t="s">
        <v>1959</v>
      </c>
      <c r="G21" s="9" t="s">
        <v>1909</v>
      </c>
      <c r="H21" s="8" t="s">
        <v>1962</v>
      </c>
      <c r="I21" s="8" t="s">
        <v>1963</v>
      </c>
      <c r="J21" s="2" t="s">
        <v>1912</v>
      </c>
      <c r="K21" s="2" t="s">
        <v>1964</v>
      </c>
    </row>
    <row r="22" ht="14.25" customHeight="1">
      <c r="A22" s="7">
        <v>73.0</v>
      </c>
      <c r="B22" s="8" t="s">
        <v>1965</v>
      </c>
      <c r="C22" s="8">
        <v>1.0</v>
      </c>
      <c r="D22" s="7">
        <v>2.0</v>
      </c>
      <c r="E22" s="7">
        <v>10.0</v>
      </c>
      <c r="F22" s="8" t="s">
        <v>1966</v>
      </c>
      <c r="G22" s="8" t="s">
        <v>1880</v>
      </c>
      <c r="H22" s="8" t="s">
        <v>1967</v>
      </c>
      <c r="I22" s="8" t="s">
        <v>1968</v>
      </c>
      <c r="J22" s="2" t="s">
        <v>1912</v>
      </c>
      <c r="K22" s="2" t="s">
        <v>1969</v>
      </c>
    </row>
    <row r="23" ht="14.25" customHeight="1">
      <c r="A23" s="7">
        <v>68.0</v>
      </c>
      <c r="B23" s="8" t="s">
        <v>1970</v>
      </c>
      <c r="C23" s="8">
        <v>24.0</v>
      </c>
      <c r="D23" s="7">
        <v>4.0</v>
      </c>
      <c r="E23" s="7">
        <v>8.0</v>
      </c>
      <c r="F23" s="8" t="s">
        <v>1971</v>
      </c>
      <c r="G23" s="8" t="s">
        <v>1886</v>
      </c>
      <c r="H23" s="8" t="s">
        <v>1972</v>
      </c>
      <c r="I23" s="8" t="s">
        <v>1973</v>
      </c>
      <c r="J23" s="2" t="s">
        <v>1912</v>
      </c>
      <c r="K23" s="2" t="s">
        <v>1973</v>
      </c>
    </row>
    <row r="24" ht="14.25" customHeight="1">
      <c r="A24" s="7">
        <v>18.0</v>
      </c>
      <c r="B24" s="8" t="s">
        <v>1974</v>
      </c>
      <c r="C24" s="8">
        <v>32.0</v>
      </c>
      <c r="D24" s="7">
        <v>6.0</v>
      </c>
      <c r="E24" s="7">
        <v>18.0</v>
      </c>
      <c r="F24" s="8" t="s">
        <v>1975</v>
      </c>
      <c r="G24" s="8" t="s">
        <v>1880</v>
      </c>
      <c r="H24" s="8" t="s">
        <v>1976</v>
      </c>
      <c r="I24" s="8" t="s">
        <v>1977</v>
      </c>
      <c r="J24" s="2" t="s">
        <v>1883</v>
      </c>
      <c r="K24" s="2" t="s">
        <v>1978</v>
      </c>
    </row>
    <row r="25" ht="14.25" customHeight="1">
      <c r="A25" s="7">
        <v>30.0</v>
      </c>
      <c r="B25" s="8" t="s">
        <v>1979</v>
      </c>
      <c r="C25" s="8">
        <v>1.0</v>
      </c>
      <c r="D25" s="7">
        <v>2.0</v>
      </c>
      <c r="E25" s="7">
        <v>5.0</v>
      </c>
      <c r="F25" s="8" t="s">
        <v>1980</v>
      </c>
      <c r="G25" s="9" t="s">
        <v>1909</v>
      </c>
      <c r="H25" s="8" t="s">
        <v>1972</v>
      </c>
      <c r="I25" s="8" t="s">
        <v>1973</v>
      </c>
      <c r="J25" s="2" t="s">
        <v>1912</v>
      </c>
      <c r="K25" s="2" t="s">
        <v>1981</v>
      </c>
    </row>
    <row r="26" ht="14.25" customHeight="1">
      <c r="A26" s="7">
        <v>100.0</v>
      </c>
      <c r="B26" s="8" t="s">
        <v>1982</v>
      </c>
      <c r="C26" s="8">
        <v>1.0</v>
      </c>
      <c r="D26" s="7">
        <v>10.0</v>
      </c>
      <c r="E26" s="7">
        <v>30.0</v>
      </c>
      <c r="F26" s="9" t="s">
        <v>1983</v>
      </c>
      <c r="G26" s="8" t="s">
        <v>1880</v>
      </c>
      <c r="H26" s="8" t="s">
        <v>1984</v>
      </c>
      <c r="I26" s="8" t="s">
        <v>1985</v>
      </c>
      <c r="J26" s="2" t="s">
        <v>1912</v>
      </c>
      <c r="K26" s="2" t="s">
        <v>1985</v>
      </c>
    </row>
    <row r="27" ht="14.25" customHeight="1">
      <c r="A27" s="7">
        <v>65.0</v>
      </c>
      <c r="B27" s="8" t="s">
        <v>1986</v>
      </c>
      <c r="C27" s="8">
        <v>10.0</v>
      </c>
      <c r="D27" s="7">
        <v>5.0</v>
      </c>
      <c r="E27" s="7">
        <v>15.0</v>
      </c>
      <c r="F27" s="8" t="s">
        <v>1987</v>
      </c>
      <c r="G27" s="8" t="s">
        <v>1886</v>
      </c>
      <c r="H27" s="8" t="s">
        <v>1988</v>
      </c>
      <c r="I27" s="8" t="s">
        <v>1989</v>
      </c>
      <c r="J27" s="2" t="s">
        <v>1912</v>
      </c>
      <c r="K27" s="2" t="s">
        <v>1990</v>
      </c>
    </row>
    <row r="28" ht="14.25" customHeight="1">
      <c r="A28" s="7">
        <v>103.0</v>
      </c>
      <c r="B28" s="8" t="s">
        <v>1991</v>
      </c>
      <c r="C28" s="8">
        <v>50.0</v>
      </c>
      <c r="D28" s="7">
        <v>13.0</v>
      </c>
      <c r="E28" s="7">
        <v>28.0</v>
      </c>
      <c r="F28" s="8" t="s">
        <v>1992</v>
      </c>
      <c r="G28" s="8" t="s">
        <v>1886</v>
      </c>
      <c r="H28" s="8" t="s">
        <v>1993</v>
      </c>
      <c r="I28" s="8" t="s">
        <v>1994</v>
      </c>
      <c r="J28" s="2" t="s">
        <v>1912</v>
      </c>
      <c r="K28" s="2" t="s">
        <v>1995</v>
      </c>
    </row>
    <row r="29" ht="14.25" customHeight="1">
      <c r="A29" s="7">
        <v>66.0</v>
      </c>
      <c r="B29" s="8" t="s">
        <v>1996</v>
      </c>
      <c r="C29" s="8">
        <v>1.0</v>
      </c>
      <c r="D29" s="7">
        <v>2.0</v>
      </c>
      <c r="E29" s="7">
        <v>5.0</v>
      </c>
      <c r="F29" s="8" t="s">
        <v>1997</v>
      </c>
      <c r="G29" s="9" t="s">
        <v>1909</v>
      </c>
      <c r="H29" s="8" t="s">
        <v>1993</v>
      </c>
      <c r="I29" s="8" t="s">
        <v>1994</v>
      </c>
      <c r="J29" s="2" t="s">
        <v>1912</v>
      </c>
      <c r="K29" s="2" t="s">
        <v>1998</v>
      </c>
    </row>
    <row r="30" ht="14.25" customHeight="1">
      <c r="A30" s="7">
        <v>80.0</v>
      </c>
      <c r="B30" s="8" t="s">
        <v>1999</v>
      </c>
      <c r="C30" s="8">
        <v>1.0</v>
      </c>
      <c r="D30" s="7">
        <v>3.0</v>
      </c>
      <c r="E30" s="7">
        <v>7.0</v>
      </c>
      <c r="F30" s="8" t="s">
        <v>2000</v>
      </c>
      <c r="G30" s="9" t="s">
        <v>1909</v>
      </c>
      <c r="H30" s="8" t="s">
        <v>2001</v>
      </c>
      <c r="I30" s="8" t="s">
        <v>2002</v>
      </c>
      <c r="J30" s="2" t="s">
        <v>1912</v>
      </c>
      <c r="K30" s="2" t="s">
        <v>2003</v>
      </c>
    </row>
    <row r="31" ht="14.25" customHeight="1">
      <c r="A31" s="7">
        <v>15.0</v>
      </c>
      <c r="B31" s="8" t="s">
        <v>2004</v>
      </c>
      <c r="C31" s="8">
        <v>1.0</v>
      </c>
      <c r="D31" s="7">
        <v>0.75</v>
      </c>
      <c r="E31" s="7">
        <v>2.5</v>
      </c>
      <c r="F31" s="8" t="s">
        <v>2005</v>
      </c>
      <c r="G31" s="8" t="s">
        <v>1880</v>
      </c>
      <c r="H31" s="8" t="s">
        <v>2006</v>
      </c>
      <c r="I31" s="8" t="s">
        <v>2007</v>
      </c>
      <c r="J31" s="2" t="s">
        <v>1912</v>
      </c>
      <c r="K31" s="2" t="s">
        <v>2007</v>
      </c>
    </row>
    <row r="32" ht="14.25" customHeight="1">
      <c r="A32" s="7">
        <v>93.0</v>
      </c>
      <c r="B32" s="8" t="s">
        <v>2008</v>
      </c>
      <c r="C32" s="8">
        <v>1.0</v>
      </c>
      <c r="D32" s="7">
        <v>25.0</v>
      </c>
      <c r="E32" s="7">
        <v>75.0</v>
      </c>
      <c r="F32" s="8" t="s">
        <v>2009</v>
      </c>
      <c r="G32" s="9" t="s">
        <v>1909</v>
      </c>
      <c r="H32" s="8" t="s">
        <v>1887</v>
      </c>
      <c r="I32" s="8" t="s">
        <v>1888</v>
      </c>
      <c r="J32" s="2" t="s">
        <v>1912</v>
      </c>
      <c r="K32" s="2" t="s">
        <v>2010</v>
      </c>
    </row>
    <row r="33" ht="14.25" customHeight="1">
      <c r="A33" s="7">
        <v>61.0</v>
      </c>
      <c r="B33" s="8" t="s">
        <v>2011</v>
      </c>
      <c r="C33" s="8">
        <v>12.0</v>
      </c>
      <c r="D33" s="7">
        <v>6.0</v>
      </c>
      <c r="E33" s="7">
        <v>12.0</v>
      </c>
      <c r="F33" s="8" t="s">
        <v>2012</v>
      </c>
      <c r="G33" s="9" t="s">
        <v>1909</v>
      </c>
      <c r="H33" s="8" t="s">
        <v>2013</v>
      </c>
      <c r="I33" s="8" t="s">
        <v>2011</v>
      </c>
      <c r="J33" s="2" t="s">
        <v>1912</v>
      </c>
      <c r="K33" s="2" t="s">
        <v>2014</v>
      </c>
    </row>
    <row r="34" ht="14.25" customHeight="1">
      <c r="A34" s="7">
        <v>77.0</v>
      </c>
      <c r="B34" s="8" t="s">
        <v>2015</v>
      </c>
      <c r="C34" s="8">
        <v>1.0</v>
      </c>
      <c r="D34" s="7">
        <v>2.5</v>
      </c>
      <c r="E34" s="7">
        <v>5.0</v>
      </c>
      <c r="F34" s="8" t="s">
        <v>2016</v>
      </c>
      <c r="G34" s="9" t="s">
        <v>1909</v>
      </c>
      <c r="H34" s="8" t="s">
        <v>2001</v>
      </c>
      <c r="I34" s="8" t="s">
        <v>2002</v>
      </c>
      <c r="J34" s="2" t="s">
        <v>1912</v>
      </c>
      <c r="K34" s="2" t="s">
        <v>2017</v>
      </c>
    </row>
    <row r="35" ht="14.25" customHeight="1">
      <c r="A35" s="7">
        <v>92.0</v>
      </c>
      <c r="B35" s="8" t="s">
        <v>2018</v>
      </c>
      <c r="C35" s="8">
        <v>5.0</v>
      </c>
      <c r="D35" s="7">
        <v>2.0</v>
      </c>
      <c r="E35" s="7">
        <v>5.0</v>
      </c>
      <c r="F35" s="8" t="s">
        <v>2019</v>
      </c>
      <c r="G35" s="8" t="s">
        <v>1886</v>
      </c>
      <c r="H35" s="8" t="s">
        <v>2020</v>
      </c>
      <c r="I35" s="8" t="s">
        <v>2021</v>
      </c>
      <c r="J35" s="2" t="s">
        <v>1912</v>
      </c>
      <c r="K35" s="2" t="s">
        <v>2018</v>
      </c>
    </row>
    <row r="36" ht="14.25" customHeight="1">
      <c r="A36" s="7">
        <v>85.0</v>
      </c>
      <c r="B36" s="8" t="s">
        <v>2022</v>
      </c>
      <c r="C36" s="8">
        <v>1.0</v>
      </c>
      <c r="D36" s="7">
        <v>0.5</v>
      </c>
      <c r="E36" s="7">
        <v>2.0</v>
      </c>
      <c r="F36" s="8" t="s">
        <v>2023</v>
      </c>
      <c r="G36" s="8" t="s">
        <v>1880</v>
      </c>
      <c r="H36" s="8" t="s">
        <v>2024</v>
      </c>
      <c r="I36" s="8" t="s">
        <v>2025</v>
      </c>
      <c r="J36" s="2" t="s">
        <v>1912</v>
      </c>
      <c r="K36" s="2" t="s">
        <v>2025</v>
      </c>
    </row>
    <row r="37" ht="14.25" customHeight="1">
      <c r="A37" s="7">
        <v>81.0</v>
      </c>
      <c r="B37" s="8" t="s">
        <v>2026</v>
      </c>
      <c r="C37" s="8">
        <v>100.0</v>
      </c>
      <c r="D37" s="7">
        <v>5.0</v>
      </c>
      <c r="E37" s="7">
        <v>12.0</v>
      </c>
      <c r="F37" s="8" t="s">
        <v>2027</v>
      </c>
      <c r="G37" s="8" t="s">
        <v>1886</v>
      </c>
      <c r="H37" s="8" t="s">
        <v>2028</v>
      </c>
      <c r="I37" s="8" t="s">
        <v>2029</v>
      </c>
      <c r="J37" s="2" t="s">
        <v>1912</v>
      </c>
      <c r="K37" s="2" t="s">
        <v>2030</v>
      </c>
    </row>
    <row r="38" ht="14.25" customHeight="1">
      <c r="A38" s="7">
        <v>45.0</v>
      </c>
      <c r="B38" s="8" t="s">
        <v>2031</v>
      </c>
      <c r="C38" s="8">
        <v>50.0</v>
      </c>
      <c r="D38" s="7">
        <v>15.0</v>
      </c>
      <c r="E38" s="7">
        <v>40.0</v>
      </c>
      <c r="F38" s="8" t="s">
        <v>2032</v>
      </c>
      <c r="G38" s="8" t="s">
        <v>1886</v>
      </c>
      <c r="H38" s="8" t="s">
        <v>1952</v>
      </c>
      <c r="I38" s="8" t="s">
        <v>1953</v>
      </c>
      <c r="J38" s="2" t="s">
        <v>1883</v>
      </c>
      <c r="K38" s="2" t="s">
        <v>2033</v>
      </c>
    </row>
    <row r="39" ht="14.25" customHeight="1">
      <c r="A39" s="7">
        <v>101.0</v>
      </c>
      <c r="B39" s="8" t="s">
        <v>2034</v>
      </c>
      <c r="C39" s="8">
        <v>4.0</v>
      </c>
      <c r="D39" s="7">
        <v>4.0</v>
      </c>
      <c r="E39" s="7">
        <v>8.0</v>
      </c>
      <c r="F39" s="8" t="s">
        <v>2032</v>
      </c>
      <c r="G39" s="8" t="s">
        <v>1886</v>
      </c>
      <c r="H39" s="8" t="s">
        <v>2020</v>
      </c>
      <c r="I39" s="8" t="s">
        <v>2021</v>
      </c>
      <c r="J39" s="2" t="s">
        <v>1883</v>
      </c>
      <c r="K39" s="2" t="s">
        <v>2034</v>
      </c>
    </row>
    <row r="40" ht="14.25" customHeight="1">
      <c r="A40" s="7">
        <v>28.0</v>
      </c>
      <c r="B40" s="8" t="s">
        <v>2035</v>
      </c>
      <c r="C40" s="8">
        <v>250.0</v>
      </c>
      <c r="D40" s="7">
        <v>15.0</v>
      </c>
      <c r="E40" s="7">
        <v>50.0</v>
      </c>
      <c r="F40" s="8" t="s">
        <v>2036</v>
      </c>
      <c r="G40" s="9" t="s">
        <v>1909</v>
      </c>
      <c r="H40" s="8" t="s">
        <v>2028</v>
      </c>
      <c r="I40" s="8" t="s">
        <v>2029</v>
      </c>
      <c r="J40" s="2" t="s">
        <v>1883</v>
      </c>
      <c r="K40" s="2" t="s">
        <v>2037</v>
      </c>
    </row>
    <row r="41" ht="14.25" customHeight="1">
      <c r="A41" s="7">
        <v>94.0</v>
      </c>
      <c r="B41" s="8" t="s">
        <v>2038</v>
      </c>
      <c r="C41" s="8">
        <v>5000.0</v>
      </c>
      <c r="D41" s="7">
        <v>3.0</v>
      </c>
      <c r="E41" s="7">
        <v>8.0</v>
      </c>
      <c r="F41" s="9" t="s">
        <v>2039</v>
      </c>
      <c r="G41" s="8" t="s">
        <v>1886</v>
      </c>
      <c r="H41" s="8" t="s">
        <v>2028</v>
      </c>
      <c r="I41" s="8" t="s">
        <v>2029</v>
      </c>
      <c r="J41" s="2" t="s">
        <v>1883</v>
      </c>
      <c r="K41" s="2" t="s">
        <v>2040</v>
      </c>
    </row>
    <row r="42" ht="14.25" customHeight="1">
      <c r="A42" s="7">
        <v>67.0</v>
      </c>
      <c r="B42" s="8" t="s">
        <v>2041</v>
      </c>
      <c r="C42" s="8">
        <v>3.0</v>
      </c>
      <c r="D42" s="7">
        <v>0.5</v>
      </c>
      <c r="E42" s="7">
        <v>2.0</v>
      </c>
      <c r="F42" s="8" t="s">
        <v>2042</v>
      </c>
      <c r="G42" s="8" t="s">
        <v>1886</v>
      </c>
      <c r="H42" s="8" t="s">
        <v>1939</v>
      </c>
      <c r="I42" s="8" t="s">
        <v>1940</v>
      </c>
      <c r="J42" s="2" t="s">
        <v>1912</v>
      </c>
      <c r="K42" s="2" t="s">
        <v>2043</v>
      </c>
    </row>
    <row r="43" ht="14.25" customHeight="1">
      <c r="A43" s="7">
        <v>91.0</v>
      </c>
      <c r="B43" s="8" t="s">
        <v>2044</v>
      </c>
      <c r="C43" s="8">
        <v>5.0</v>
      </c>
      <c r="D43" s="7">
        <v>1.0</v>
      </c>
      <c r="E43" s="7">
        <v>3.0</v>
      </c>
      <c r="F43" s="9" t="s">
        <v>2045</v>
      </c>
      <c r="G43" s="8" t="s">
        <v>1886</v>
      </c>
      <c r="H43" s="8" t="s">
        <v>1916</v>
      </c>
      <c r="I43" s="8" t="s">
        <v>1917</v>
      </c>
      <c r="J43" s="2" t="s">
        <v>1912</v>
      </c>
      <c r="K43" s="2" t="s">
        <v>2046</v>
      </c>
    </row>
    <row r="44" ht="14.25" customHeight="1">
      <c r="A44" s="7">
        <v>57.0</v>
      </c>
      <c r="B44" s="8" t="s">
        <v>2047</v>
      </c>
      <c r="C44" s="8">
        <v>1.0</v>
      </c>
      <c r="D44" s="7">
        <v>15.0</v>
      </c>
      <c r="E44" s="7">
        <v>30.0</v>
      </c>
      <c r="F44" s="9" t="s">
        <v>2048</v>
      </c>
      <c r="G44" s="9" t="s">
        <v>1909</v>
      </c>
      <c r="H44" s="8" t="s">
        <v>2049</v>
      </c>
      <c r="I44" s="8" t="s">
        <v>2050</v>
      </c>
      <c r="J44" s="2" t="s">
        <v>1912</v>
      </c>
      <c r="K44" s="2" t="s">
        <v>2047</v>
      </c>
    </row>
    <row r="45" ht="14.25" customHeight="1">
      <c r="A45" s="7">
        <v>95.0</v>
      </c>
      <c r="B45" s="8" t="s">
        <v>2051</v>
      </c>
      <c r="C45" s="8">
        <v>1.0</v>
      </c>
      <c r="D45" s="7">
        <v>4.0</v>
      </c>
      <c r="E45" s="7">
        <v>10.0</v>
      </c>
      <c r="F45" s="8" t="s">
        <v>2052</v>
      </c>
      <c r="G45" s="9" t="s">
        <v>1909</v>
      </c>
      <c r="H45" s="8" t="s">
        <v>1993</v>
      </c>
      <c r="I45" s="9" t="s">
        <v>1994</v>
      </c>
      <c r="J45" s="2" t="s">
        <v>1912</v>
      </c>
      <c r="K45" s="2" t="s">
        <v>2053</v>
      </c>
    </row>
    <row r="46" ht="14.25" customHeight="1">
      <c r="A46" s="7">
        <v>87.0</v>
      </c>
      <c r="B46" s="8" t="s">
        <v>2054</v>
      </c>
      <c r="C46" s="8">
        <v>1.0</v>
      </c>
      <c r="D46" s="7">
        <v>8.0</v>
      </c>
      <c r="E46" s="7">
        <v>20.0</v>
      </c>
      <c r="F46" s="9" t="s">
        <v>2055</v>
      </c>
      <c r="G46" s="9" t="s">
        <v>1909</v>
      </c>
      <c r="H46" s="8" t="s">
        <v>1916</v>
      </c>
      <c r="I46" s="8" t="s">
        <v>1917</v>
      </c>
      <c r="J46" s="2" t="s">
        <v>1912</v>
      </c>
      <c r="K46" s="2" t="s">
        <v>2056</v>
      </c>
    </row>
    <row r="47" ht="14.25" customHeight="1">
      <c r="A47" s="7">
        <v>16.0</v>
      </c>
      <c r="B47" s="8" t="s">
        <v>2057</v>
      </c>
      <c r="C47" s="8">
        <v>25.0</v>
      </c>
      <c r="D47" s="7">
        <v>5.5</v>
      </c>
      <c r="E47" s="7">
        <v>10.5</v>
      </c>
      <c r="F47" s="8" t="s">
        <v>2058</v>
      </c>
      <c r="G47" s="9" t="s">
        <v>1909</v>
      </c>
      <c r="H47" s="8" t="s">
        <v>1962</v>
      </c>
      <c r="I47" s="8" t="s">
        <v>1963</v>
      </c>
      <c r="J47" s="2" t="s">
        <v>1912</v>
      </c>
      <c r="K47" s="2" t="s">
        <v>2059</v>
      </c>
    </row>
    <row r="48" ht="14.25" customHeight="1">
      <c r="A48" s="7">
        <v>96.0</v>
      </c>
      <c r="B48" s="8" t="s">
        <v>2060</v>
      </c>
      <c r="C48" s="8">
        <v>1.0</v>
      </c>
      <c r="D48" s="7">
        <v>5.0</v>
      </c>
      <c r="E48" s="7">
        <v>15.0</v>
      </c>
      <c r="F48" s="8" t="s">
        <v>2061</v>
      </c>
      <c r="G48" s="8" t="s">
        <v>1880</v>
      </c>
      <c r="H48" s="8" t="s">
        <v>2062</v>
      </c>
      <c r="I48" s="8" t="s">
        <v>2060</v>
      </c>
      <c r="J48" s="2" t="s">
        <v>1912</v>
      </c>
      <c r="K48" s="2" t="s">
        <v>2060</v>
      </c>
    </row>
    <row r="49" ht="14.25" customHeight="1">
      <c r="A49" s="7">
        <v>60.0</v>
      </c>
      <c r="B49" s="8" t="s">
        <v>2063</v>
      </c>
      <c r="C49" s="8">
        <v>1.0</v>
      </c>
      <c r="D49" s="7">
        <v>5.0</v>
      </c>
      <c r="E49" s="7">
        <v>12.0</v>
      </c>
      <c r="F49" s="8" t="s">
        <v>2064</v>
      </c>
      <c r="G49" s="9" t="s">
        <v>1909</v>
      </c>
      <c r="H49" s="8" t="s">
        <v>1916</v>
      </c>
      <c r="I49" s="8" t="s">
        <v>1917</v>
      </c>
      <c r="J49" s="2" t="s">
        <v>1912</v>
      </c>
      <c r="K49" s="2" t="s">
        <v>2065</v>
      </c>
    </row>
    <row r="50" ht="14.25" customHeight="1">
      <c r="A50" s="7">
        <v>54.0</v>
      </c>
      <c r="B50" s="8" t="s">
        <v>2066</v>
      </c>
      <c r="C50" s="8">
        <v>1.0</v>
      </c>
      <c r="D50" s="7">
        <v>10.0</v>
      </c>
      <c r="E50" s="7">
        <v>25.0</v>
      </c>
      <c r="F50" s="9" t="s">
        <v>2067</v>
      </c>
      <c r="G50" s="8" t="s">
        <v>1886</v>
      </c>
      <c r="H50" s="8" t="s">
        <v>1939</v>
      </c>
      <c r="I50" s="8" t="s">
        <v>1940</v>
      </c>
      <c r="J50" s="2" t="s">
        <v>1912</v>
      </c>
      <c r="K50" s="2" t="s">
        <v>2068</v>
      </c>
    </row>
    <row r="51" ht="14.25" customHeight="1">
      <c r="A51" s="7">
        <v>9.0</v>
      </c>
      <c r="B51" s="8" t="s">
        <v>2069</v>
      </c>
      <c r="C51" s="8">
        <v>4.0</v>
      </c>
      <c r="D51" s="7">
        <v>3.5</v>
      </c>
      <c r="E51" s="7">
        <v>5.5</v>
      </c>
      <c r="F51" s="8" t="s">
        <v>2070</v>
      </c>
      <c r="G51" s="9" t="s">
        <v>1909</v>
      </c>
      <c r="H51" s="8" t="s">
        <v>2071</v>
      </c>
      <c r="I51" s="8" t="s">
        <v>2072</v>
      </c>
      <c r="J51" s="2" t="s">
        <v>1912</v>
      </c>
      <c r="K51" s="2" t="s">
        <v>2073</v>
      </c>
    </row>
    <row r="52" ht="14.25" customHeight="1">
      <c r="A52" s="7">
        <v>62.0</v>
      </c>
      <c r="B52" s="8" t="s">
        <v>2074</v>
      </c>
      <c r="C52" s="8">
        <v>2.0</v>
      </c>
      <c r="D52" s="7">
        <v>3.0</v>
      </c>
      <c r="E52" s="7">
        <v>7.0</v>
      </c>
      <c r="F52" s="8" t="s">
        <v>2075</v>
      </c>
      <c r="G52" s="9" t="s">
        <v>1909</v>
      </c>
      <c r="H52" s="8" t="s">
        <v>1962</v>
      </c>
      <c r="I52" s="8" t="s">
        <v>1963</v>
      </c>
      <c r="J52" s="2" t="s">
        <v>1912</v>
      </c>
      <c r="K52" s="2" t="s">
        <v>2074</v>
      </c>
    </row>
    <row r="53" ht="14.25" customHeight="1">
      <c r="A53" s="7">
        <v>50.0</v>
      </c>
      <c r="B53" s="8" t="s">
        <v>2076</v>
      </c>
      <c r="C53" s="8">
        <v>16.0</v>
      </c>
      <c r="D53" s="7">
        <v>5.0</v>
      </c>
      <c r="E53" s="7">
        <v>15.0</v>
      </c>
      <c r="F53" s="8" t="s">
        <v>2077</v>
      </c>
      <c r="G53" s="9" t="s">
        <v>1909</v>
      </c>
      <c r="H53" s="8" t="s">
        <v>1972</v>
      </c>
      <c r="I53" s="8" t="s">
        <v>1973</v>
      </c>
      <c r="J53" s="2" t="s">
        <v>1912</v>
      </c>
      <c r="K53" s="2" t="s">
        <v>2078</v>
      </c>
    </row>
    <row r="54" ht="14.25" customHeight="1">
      <c r="A54" s="7">
        <v>64.0</v>
      </c>
      <c r="B54" s="8" t="s">
        <v>2079</v>
      </c>
      <c r="C54" s="8">
        <v>1.0</v>
      </c>
      <c r="D54" s="7">
        <v>1.5</v>
      </c>
      <c r="E54" s="7">
        <v>5.0</v>
      </c>
      <c r="F54" s="8" t="s">
        <v>2080</v>
      </c>
      <c r="G54" s="9" t="s">
        <v>1909</v>
      </c>
      <c r="H54" s="8" t="s">
        <v>2001</v>
      </c>
      <c r="I54" s="8" t="s">
        <v>2002</v>
      </c>
      <c r="J54" s="2" t="s">
        <v>1912</v>
      </c>
      <c r="K54" s="2" t="s">
        <v>2081</v>
      </c>
    </row>
    <row r="55" ht="14.25" customHeight="1">
      <c r="A55" s="7">
        <v>84.0</v>
      </c>
      <c r="B55" s="8" t="s">
        <v>2082</v>
      </c>
      <c r="C55" s="8">
        <v>1.0</v>
      </c>
      <c r="D55" s="7">
        <v>0.5</v>
      </c>
      <c r="E55" s="7">
        <v>1.5</v>
      </c>
      <c r="F55" s="9" t="s">
        <v>2083</v>
      </c>
      <c r="G55" s="9" t="s">
        <v>1909</v>
      </c>
      <c r="H55" s="8" t="s">
        <v>1962</v>
      </c>
      <c r="I55" s="8" t="s">
        <v>1963</v>
      </c>
      <c r="J55" s="2" t="s">
        <v>1912</v>
      </c>
      <c r="K55" s="2" t="s">
        <v>2084</v>
      </c>
    </row>
    <row r="56" ht="14.25" customHeight="1">
      <c r="A56" s="7">
        <v>90.0</v>
      </c>
      <c r="B56" s="8" t="s">
        <v>2085</v>
      </c>
      <c r="C56" s="8">
        <v>10.0</v>
      </c>
      <c r="D56" s="7">
        <v>10.0</v>
      </c>
      <c r="E56" s="7">
        <v>25.0</v>
      </c>
      <c r="F56" s="8" t="s">
        <v>2086</v>
      </c>
      <c r="G56" s="9" t="s">
        <v>1909</v>
      </c>
      <c r="H56" s="8" t="s">
        <v>1962</v>
      </c>
      <c r="I56" s="8" t="s">
        <v>1963</v>
      </c>
      <c r="J56" s="2" t="s">
        <v>1912</v>
      </c>
      <c r="K56" s="2" t="s">
        <v>2085</v>
      </c>
    </row>
    <row r="57" ht="14.25" customHeight="1">
      <c r="A57" s="7">
        <v>24.0</v>
      </c>
      <c r="B57" s="8" t="s">
        <v>2087</v>
      </c>
      <c r="C57" s="8">
        <v>1.0</v>
      </c>
      <c r="D57" s="7">
        <v>30.0</v>
      </c>
      <c r="E57" s="7">
        <v>65.0</v>
      </c>
      <c r="F57" s="8" t="s">
        <v>2088</v>
      </c>
      <c r="G57" s="9" t="s">
        <v>1909</v>
      </c>
      <c r="H57" s="8" t="s">
        <v>2089</v>
      </c>
      <c r="I57" s="8" t="s">
        <v>2090</v>
      </c>
      <c r="J57" s="2" t="s">
        <v>1912</v>
      </c>
      <c r="K57" s="2" t="s">
        <v>2065</v>
      </c>
    </row>
    <row r="58" ht="14.25" customHeight="1">
      <c r="A58" s="7">
        <v>32.0</v>
      </c>
      <c r="B58" s="8" t="s">
        <v>2091</v>
      </c>
      <c r="C58" s="8">
        <v>1.0</v>
      </c>
      <c r="D58" s="7">
        <v>10.0</v>
      </c>
      <c r="E58" s="7">
        <v>35.0</v>
      </c>
      <c r="F58" s="8" t="s">
        <v>2092</v>
      </c>
      <c r="G58" s="9" t="s">
        <v>1909</v>
      </c>
      <c r="H58" s="8" t="s">
        <v>2093</v>
      </c>
      <c r="I58" s="8" t="s">
        <v>2094</v>
      </c>
      <c r="J58" s="2" t="s">
        <v>1883</v>
      </c>
      <c r="K58" s="2" t="s">
        <v>2095</v>
      </c>
    </row>
    <row r="59" ht="14.25" customHeight="1">
      <c r="A59" s="7">
        <v>59.0</v>
      </c>
      <c r="B59" s="8" t="s">
        <v>2096</v>
      </c>
      <c r="C59" s="8">
        <v>1.0</v>
      </c>
      <c r="D59" s="7">
        <v>40.0</v>
      </c>
      <c r="E59" s="7">
        <v>70.0</v>
      </c>
      <c r="F59" s="8" t="s">
        <v>2097</v>
      </c>
      <c r="G59" s="9" t="s">
        <v>1909</v>
      </c>
      <c r="H59" s="8" t="s">
        <v>2098</v>
      </c>
      <c r="I59" s="8" t="s">
        <v>2099</v>
      </c>
      <c r="J59" s="2" t="s">
        <v>1883</v>
      </c>
      <c r="K59" s="2" t="s">
        <v>2096</v>
      </c>
    </row>
    <row r="60" ht="14.25" customHeight="1">
      <c r="A60" s="7">
        <v>97.0</v>
      </c>
      <c r="B60" s="8" t="s">
        <v>2100</v>
      </c>
      <c r="C60" s="8">
        <v>25.0</v>
      </c>
      <c r="D60" s="7">
        <v>8.0</v>
      </c>
      <c r="E60" s="7">
        <v>20.0</v>
      </c>
      <c r="F60" s="8" t="s">
        <v>2101</v>
      </c>
      <c r="G60" s="8" t="s">
        <v>1886</v>
      </c>
      <c r="H60" s="8" t="s">
        <v>2028</v>
      </c>
      <c r="I60" s="8" t="s">
        <v>2029</v>
      </c>
      <c r="J60" s="2" t="s">
        <v>1883</v>
      </c>
      <c r="K60" s="2" t="s">
        <v>2102</v>
      </c>
    </row>
    <row r="61" ht="14.25" customHeight="1">
      <c r="A61" s="7">
        <v>55.0</v>
      </c>
      <c r="B61" s="8" t="s">
        <v>2103</v>
      </c>
      <c r="C61" s="8">
        <v>1.0</v>
      </c>
      <c r="D61" s="7">
        <v>2.0</v>
      </c>
      <c r="E61" s="7">
        <v>5.0</v>
      </c>
      <c r="F61" s="8" t="s">
        <v>2104</v>
      </c>
      <c r="G61" s="9" t="s">
        <v>1909</v>
      </c>
      <c r="H61" s="8" t="s">
        <v>1972</v>
      </c>
      <c r="I61" s="8" t="s">
        <v>1973</v>
      </c>
      <c r="J61" s="2" t="s">
        <v>1912</v>
      </c>
      <c r="K61" s="2" t="s">
        <v>2105</v>
      </c>
    </row>
    <row r="62" ht="14.25" customHeight="1">
      <c r="A62" s="7">
        <v>58.0</v>
      </c>
      <c r="B62" s="8" t="s">
        <v>2106</v>
      </c>
      <c r="C62" s="8">
        <v>1.0</v>
      </c>
      <c r="D62" s="7">
        <v>3.0</v>
      </c>
      <c r="E62" s="7">
        <v>10.0</v>
      </c>
      <c r="F62" s="8" t="s">
        <v>2107</v>
      </c>
      <c r="G62" s="8" t="s">
        <v>1880</v>
      </c>
      <c r="H62" s="8" t="s">
        <v>2108</v>
      </c>
      <c r="I62" s="8" t="s">
        <v>2109</v>
      </c>
      <c r="J62" s="2" t="s">
        <v>1912</v>
      </c>
      <c r="K62" s="2" t="s">
        <v>2109</v>
      </c>
    </row>
    <row r="63" ht="14.25" customHeight="1">
      <c r="A63" s="7">
        <v>48.0</v>
      </c>
      <c r="B63" s="8" t="s">
        <v>2110</v>
      </c>
      <c r="C63" s="8">
        <v>50.0</v>
      </c>
      <c r="D63" s="7">
        <v>4.0</v>
      </c>
      <c r="E63" s="7">
        <v>8.0</v>
      </c>
      <c r="F63" s="8" t="s">
        <v>2111</v>
      </c>
      <c r="G63" s="9" t="s">
        <v>1909</v>
      </c>
      <c r="H63" s="8" t="s">
        <v>1962</v>
      </c>
      <c r="I63" s="8" t="s">
        <v>1963</v>
      </c>
      <c r="J63" s="2" t="s">
        <v>1912</v>
      </c>
      <c r="K63" s="2" t="s">
        <v>2112</v>
      </c>
    </row>
    <row r="64" ht="14.25" customHeight="1">
      <c r="A64" s="7">
        <v>46.0</v>
      </c>
      <c r="B64" s="8" t="s">
        <v>2113</v>
      </c>
      <c r="C64" s="8">
        <v>1.0</v>
      </c>
      <c r="D64" s="7">
        <v>20.0</v>
      </c>
      <c r="E64" s="7">
        <v>50.0</v>
      </c>
      <c r="F64" s="8" t="s">
        <v>2114</v>
      </c>
      <c r="G64" s="8" t="s">
        <v>1886</v>
      </c>
      <c r="H64" s="8" t="s">
        <v>2115</v>
      </c>
      <c r="I64" s="8" t="s">
        <v>2116</v>
      </c>
      <c r="J64" s="2" t="s">
        <v>1912</v>
      </c>
      <c r="K64" s="2" t="s">
        <v>2116</v>
      </c>
    </row>
    <row r="65" ht="14.25" customHeight="1">
      <c r="A65" s="7">
        <v>35.0</v>
      </c>
      <c r="B65" s="8" t="s">
        <v>2117</v>
      </c>
      <c r="C65" s="8">
        <v>80.0</v>
      </c>
      <c r="D65" s="7">
        <v>5.0</v>
      </c>
      <c r="E65" s="7">
        <v>12.0</v>
      </c>
      <c r="F65" s="8" t="s">
        <v>2118</v>
      </c>
      <c r="G65" s="9" t="s">
        <v>1909</v>
      </c>
      <c r="H65" s="8" t="s">
        <v>1962</v>
      </c>
      <c r="I65" s="8" t="s">
        <v>1963</v>
      </c>
      <c r="J65" s="2" t="s">
        <v>1912</v>
      </c>
      <c r="K65" s="2" t="s">
        <v>2119</v>
      </c>
    </row>
    <row r="66" ht="14.25" customHeight="1">
      <c r="A66" s="7">
        <v>17.0</v>
      </c>
      <c r="B66" s="8" t="s">
        <v>2120</v>
      </c>
      <c r="C66" s="8">
        <v>1.0</v>
      </c>
      <c r="D66" s="7">
        <v>4.0</v>
      </c>
      <c r="E66" s="7">
        <v>7.0</v>
      </c>
      <c r="F66" s="8" t="s">
        <v>2121</v>
      </c>
      <c r="G66" s="9" t="s">
        <v>1909</v>
      </c>
      <c r="H66" s="8" t="s">
        <v>2122</v>
      </c>
      <c r="I66" s="8" t="s">
        <v>2123</v>
      </c>
      <c r="J66" s="2" t="s">
        <v>1912</v>
      </c>
      <c r="K66" s="2" t="s">
        <v>2124</v>
      </c>
    </row>
    <row r="67" ht="14.25" customHeight="1">
      <c r="A67" s="7">
        <v>23.0</v>
      </c>
      <c r="B67" s="8" t="s">
        <v>2125</v>
      </c>
      <c r="C67" s="8">
        <v>1.0</v>
      </c>
      <c r="D67" s="7">
        <v>4.0</v>
      </c>
      <c r="E67" s="7">
        <v>15.0</v>
      </c>
      <c r="F67" s="8" t="s">
        <v>2126</v>
      </c>
      <c r="G67" s="8" t="s">
        <v>1886</v>
      </c>
      <c r="H67" s="8" t="s">
        <v>2020</v>
      </c>
      <c r="I67" s="8" t="s">
        <v>2021</v>
      </c>
      <c r="J67" s="2" t="s">
        <v>1912</v>
      </c>
      <c r="K67" s="2" t="s">
        <v>2127</v>
      </c>
    </row>
    <row r="68" ht="14.25" customHeight="1">
      <c r="A68" s="7">
        <v>22.0</v>
      </c>
      <c r="B68" s="8" t="s">
        <v>2128</v>
      </c>
      <c r="C68" s="8">
        <v>1.0</v>
      </c>
      <c r="D68" s="7">
        <v>0.75</v>
      </c>
      <c r="E68" s="7">
        <v>1.5</v>
      </c>
      <c r="F68" s="8" t="s">
        <v>2129</v>
      </c>
      <c r="G68" s="9" t="s">
        <v>1909</v>
      </c>
      <c r="H68" s="8" t="s">
        <v>1952</v>
      </c>
      <c r="I68" s="8" t="s">
        <v>1953</v>
      </c>
      <c r="J68" s="2" t="s">
        <v>1912</v>
      </c>
      <c r="K68" s="2" t="s">
        <v>2130</v>
      </c>
    </row>
    <row r="69" ht="14.25" customHeight="1">
      <c r="A69" s="7">
        <v>8.0</v>
      </c>
      <c r="B69" s="8" t="s">
        <v>2131</v>
      </c>
      <c r="C69" s="8">
        <v>100.0</v>
      </c>
      <c r="D69" s="7">
        <v>6.5</v>
      </c>
      <c r="E69" s="7">
        <v>18.0</v>
      </c>
      <c r="F69" s="8" t="s">
        <v>2132</v>
      </c>
      <c r="G69" s="8" t="s">
        <v>1886</v>
      </c>
      <c r="H69" s="8" t="s">
        <v>2028</v>
      </c>
      <c r="I69" s="8" t="s">
        <v>2029</v>
      </c>
      <c r="J69" s="2" t="s">
        <v>1912</v>
      </c>
      <c r="K69" s="2" t="s">
        <v>2133</v>
      </c>
    </row>
    <row r="70" ht="14.25" customHeight="1">
      <c r="A70" s="7">
        <v>6.0</v>
      </c>
      <c r="B70" s="8" t="s">
        <v>2134</v>
      </c>
      <c r="C70" s="8">
        <v>1.0</v>
      </c>
      <c r="D70" s="7">
        <v>5.0</v>
      </c>
      <c r="E70" s="7">
        <v>25.0</v>
      </c>
      <c r="F70" s="8" t="s">
        <v>2135</v>
      </c>
      <c r="G70" s="8" t="s">
        <v>1880</v>
      </c>
      <c r="H70" s="8" t="s">
        <v>2136</v>
      </c>
      <c r="I70" s="8" t="s">
        <v>2134</v>
      </c>
      <c r="J70" s="2" t="s">
        <v>1883</v>
      </c>
      <c r="K70" s="2" t="s">
        <v>2134</v>
      </c>
    </row>
    <row r="71" ht="14.25" customHeight="1">
      <c r="A71" s="7">
        <v>52.0</v>
      </c>
      <c r="B71" s="8" t="s">
        <v>2137</v>
      </c>
      <c r="C71" s="8">
        <v>1.0</v>
      </c>
      <c r="D71" s="7">
        <v>8.0</v>
      </c>
      <c r="E71" s="7">
        <v>22.0</v>
      </c>
      <c r="F71" s="8" t="s">
        <v>2138</v>
      </c>
      <c r="G71" s="8" t="s">
        <v>1880</v>
      </c>
      <c r="H71" s="8" t="s">
        <v>2139</v>
      </c>
      <c r="I71" s="8" t="s">
        <v>2140</v>
      </c>
      <c r="J71" s="2" t="s">
        <v>1883</v>
      </c>
      <c r="K71" s="2" t="s">
        <v>2140</v>
      </c>
    </row>
    <row r="72" ht="14.25" customHeight="1">
      <c r="A72" s="7">
        <v>29.0</v>
      </c>
      <c r="B72" s="8" t="s">
        <v>2141</v>
      </c>
      <c r="C72" s="8">
        <v>1.0</v>
      </c>
      <c r="D72" s="7">
        <v>10.0</v>
      </c>
      <c r="E72" s="7">
        <v>25.0</v>
      </c>
      <c r="F72" s="8" t="s">
        <v>2142</v>
      </c>
      <c r="G72" s="8" t="s">
        <v>1880</v>
      </c>
      <c r="H72" s="8" t="s">
        <v>2143</v>
      </c>
      <c r="I72" s="8" t="s">
        <v>2144</v>
      </c>
      <c r="J72" s="2" t="s">
        <v>1912</v>
      </c>
      <c r="K72" s="2" t="s">
        <v>2144</v>
      </c>
    </row>
    <row r="73" ht="14.25" customHeight="1">
      <c r="A73" s="7">
        <v>33.0</v>
      </c>
      <c r="B73" s="8" t="s">
        <v>2145</v>
      </c>
      <c r="C73" s="8">
        <v>25.0</v>
      </c>
      <c r="D73" s="7">
        <v>3.0</v>
      </c>
      <c r="E73" s="7">
        <v>8.0</v>
      </c>
      <c r="F73" s="8" t="s">
        <v>2146</v>
      </c>
      <c r="G73" s="8" t="s">
        <v>1886</v>
      </c>
      <c r="H73" s="8" t="s">
        <v>2020</v>
      </c>
      <c r="I73" s="8" t="s">
        <v>2021</v>
      </c>
      <c r="J73" s="2" t="s">
        <v>1912</v>
      </c>
      <c r="K73" s="2" t="s">
        <v>2147</v>
      </c>
    </row>
    <row r="74" ht="14.25" customHeight="1">
      <c r="A74" s="7">
        <v>38.0</v>
      </c>
      <c r="B74" s="8" t="s">
        <v>2148</v>
      </c>
      <c r="C74" s="8">
        <v>1.0</v>
      </c>
      <c r="D74" s="7">
        <v>4.0</v>
      </c>
      <c r="E74" s="7">
        <v>9.0</v>
      </c>
      <c r="F74" s="8" t="s">
        <v>2149</v>
      </c>
      <c r="G74" s="9" t="s">
        <v>1909</v>
      </c>
      <c r="H74" s="8" t="s">
        <v>1962</v>
      </c>
      <c r="I74" s="8" t="s">
        <v>1963</v>
      </c>
      <c r="J74" s="2" t="s">
        <v>1912</v>
      </c>
      <c r="K74" s="2" t="s">
        <v>2150</v>
      </c>
    </row>
    <row r="75" ht="14.25" customHeight="1">
      <c r="A75" s="7">
        <v>51.0</v>
      </c>
      <c r="B75" s="8" t="s">
        <v>2151</v>
      </c>
      <c r="C75" s="8">
        <v>1.0</v>
      </c>
      <c r="D75" s="7">
        <v>10.0</v>
      </c>
      <c r="E75" s="7">
        <v>30.0</v>
      </c>
      <c r="F75" s="8" t="s">
        <v>2152</v>
      </c>
      <c r="G75" s="8" t="s">
        <v>1880</v>
      </c>
      <c r="H75" s="8" t="s">
        <v>2153</v>
      </c>
      <c r="I75" s="8" t="s">
        <v>2154</v>
      </c>
      <c r="J75" s="2" t="s">
        <v>1912</v>
      </c>
      <c r="K75" s="2" t="s">
        <v>2154</v>
      </c>
    </row>
    <row r="76" ht="14.25" customHeight="1">
      <c r="A76" s="7">
        <v>78.0</v>
      </c>
      <c r="B76" s="8" t="s">
        <v>2155</v>
      </c>
      <c r="C76" s="8">
        <v>1.0</v>
      </c>
      <c r="D76" s="7">
        <v>0.5</v>
      </c>
      <c r="E76" s="7">
        <v>1.5</v>
      </c>
      <c r="F76" s="9" t="s">
        <v>2156</v>
      </c>
      <c r="G76" s="8" t="s">
        <v>1886</v>
      </c>
      <c r="H76" s="8" t="s">
        <v>2028</v>
      </c>
      <c r="I76" s="8" t="s">
        <v>2029</v>
      </c>
      <c r="J76" s="2" t="s">
        <v>1912</v>
      </c>
      <c r="K76" s="2" t="s">
        <v>2157</v>
      </c>
    </row>
    <row r="77" ht="14.25" customHeight="1">
      <c r="A77" s="7">
        <v>42.0</v>
      </c>
      <c r="B77" s="8" t="s">
        <v>2158</v>
      </c>
      <c r="C77" s="8">
        <v>1.0</v>
      </c>
      <c r="D77" s="7">
        <v>12.0</v>
      </c>
      <c r="E77" s="7">
        <v>30.0</v>
      </c>
      <c r="F77" s="8" t="s">
        <v>2159</v>
      </c>
      <c r="G77" s="8" t="s">
        <v>1880</v>
      </c>
      <c r="H77" s="8" t="s">
        <v>2160</v>
      </c>
      <c r="I77" s="8" t="s">
        <v>2161</v>
      </c>
      <c r="J77" s="2" t="s">
        <v>1912</v>
      </c>
      <c r="K77" s="2" t="s">
        <v>2161</v>
      </c>
    </row>
    <row r="78" ht="14.25" customHeight="1">
      <c r="A78" s="7">
        <v>72.0</v>
      </c>
      <c r="B78" s="8" t="s">
        <v>2162</v>
      </c>
      <c r="C78" s="8">
        <v>1.0</v>
      </c>
      <c r="D78" s="7">
        <v>3.5</v>
      </c>
      <c r="E78" s="7">
        <v>8.0</v>
      </c>
      <c r="F78" s="8" t="s">
        <v>2163</v>
      </c>
      <c r="G78" s="9" t="s">
        <v>1909</v>
      </c>
      <c r="H78" s="8" t="s">
        <v>1962</v>
      </c>
      <c r="I78" s="8" t="s">
        <v>1963</v>
      </c>
      <c r="J78" s="2" t="s">
        <v>1912</v>
      </c>
      <c r="K78" s="2" t="s">
        <v>2164</v>
      </c>
    </row>
    <row r="79" ht="14.25" customHeight="1">
      <c r="A79" s="7">
        <v>89.0</v>
      </c>
      <c r="B79" s="8" t="s">
        <v>2165</v>
      </c>
      <c r="C79" s="8">
        <v>24.0</v>
      </c>
      <c r="D79" s="7">
        <v>2.0</v>
      </c>
      <c r="E79" s="7">
        <v>7.0</v>
      </c>
      <c r="F79" s="8" t="s">
        <v>2166</v>
      </c>
      <c r="G79" s="8" t="s">
        <v>1886</v>
      </c>
      <c r="H79" s="8" t="s">
        <v>2167</v>
      </c>
      <c r="I79" s="8" t="s">
        <v>2168</v>
      </c>
      <c r="J79" s="2" t="s">
        <v>1912</v>
      </c>
      <c r="K79" s="2" t="s">
        <v>2169</v>
      </c>
    </row>
    <row r="80" ht="14.25" customHeight="1">
      <c r="A80" s="7">
        <v>4.0</v>
      </c>
      <c r="B80" s="8" t="s">
        <v>2170</v>
      </c>
      <c r="C80" s="8">
        <v>1.0</v>
      </c>
      <c r="D80" s="7">
        <v>8.0</v>
      </c>
      <c r="E80" s="7">
        <v>15.0</v>
      </c>
      <c r="F80" s="8" t="s">
        <v>2171</v>
      </c>
      <c r="G80" s="8" t="s">
        <v>1886</v>
      </c>
      <c r="H80" s="8" t="s">
        <v>1988</v>
      </c>
      <c r="I80" s="8" t="s">
        <v>1989</v>
      </c>
      <c r="J80" s="2" t="s">
        <v>1912</v>
      </c>
      <c r="K80" s="2" t="s">
        <v>2172</v>
      </c>
    </row>
    <row r="81" ht="14.25" customHeight="1">
      <c r="A81" s="7">
        <v>40.0</v>
      </c>
      <c r="B81" s="8" t="s">
        <v>2173</v>
      </c>
      <c r="C81" s="8">
        <v>1.0</v>
      </c>
      <c r="D81" s="7">
        <v>1.5</v>
      </c>
      <c r="E81" s="7">
        <v>4.0</v>
      </c>
      <c r="F81" s="8" t="s">
        <v>2174</v>
      </c>
      <c r="G81" s="9" t="s">
        <v>1909</v>
      </c>
      <c r="H81" s="8" t="s">
        <v>1972</v>
      </c>
      <c r="I81" s="8" t="s">
        <v>1973</v>
      </c>
      <c r="J81" s="2" t="s">
        <v>1912</v>
      </c>
      <c r="K81" s="2" t="s">
        <v>2175</v>
      </c>
    </row>
    <row r="82" ht="14.25" customHeight="1">
      <c r="A82" s="7">
        <v>21.0</v>
      </c>
      <c r="B82" s="8" t="s">
        <v>2176</v>
      </c>
      <c r="C82" s="8">
        <v>1.0</v>
      </c>
      <c r="D82" s="7">
        <v>0.4</v>
      </c>
      <c r="E82" s="7">
        <v>1.25</v>
      </c>
      <c r="F82" s="8" t="s">
        <v>2177</v>
      </c>
      <c r="G82" s="8" t="s">
        <v>1880</v>
      </c>
      <c r="H82" s="8" t="s">
        <v>2178</v>
      </c>
      <c r="I82" s="8" t="s">
        <v>2176</v>
      </c>
      <c r="J82" s="2" t="s">
        <v>1912</v>
      </c>
      <c r="K82" s="2" t="s">
        <v>2176</v>
      </c>
    </row>
    <row r="83" ht="14.25" customHeight="1">
      <c r="A83" s="7">
        <v>56.0</v>
      </c>
      <c r="B83" s="8" t="s">
        <v>2179</v>
      </c>
      <c r="C83" s="8">
        <v>10.0</v>
      </c>
      <c r="D83" s="7">
        <v>5.0</v>
      </c>
      <c r="E83" s="7">
        <v>12.0</v>
      </c>
      <c r="F83" s="8" t="s">
        <v>2180</v>
      </c>
      <c r="G83" s="9" t="s">
        <v>1909</v>
      </c>
      <c r="H83" s="8" t="s">
        <v>1962</v>
      </c>
      <c r="I83" s="8" t="s">
        <v>1963</v>
      </c>
      <c r="J83" s="2" t="s">
        <v>1912</v>
      </c>
      <c r="K83" s="2" t="s">
        <v>2181</v>
      </c>
    </row>
    <row r="84" ht="14.25" customHeight="1">
      <c r="A84" s="7">
        <v>11.0</v>
      </c>
      <c r="B84" s="8" t="s">
        <v>2182</v>
      </c>
      <c r="C84" s="8">
        <v>1000.0</v>
      </c>
      <c r="D84" s="7">
        <v>3.5</v>
      </c>
      <c r="E84" s="7">
        <v>8.0</v>
      </c>
      <c r="F84" s="8" t="s">
        <v>2183</v>
      </c>
      <c r="G84" s="8" t="s">
        <v>1886</v>
      </c>
      <c r="H84" s="8" t="s">
        <v>2028</v>
      </c>
      <c r="I84" s="8" t="s">
        <v>2029</v>
      </c>
      <c r="J84" s="2" t="s">
        <v>1912</v>
      </c>
      <c r="K84" s="2" t="s">
        <v>2184</v>
      </c>
    </row>
    <row r="85" ht="14.25" customHeight="1">
      <c r="A85" s="7">
        <v>70.0</v>
      </c>
      <c r="B85" s="8" t="s">
        <v>2185</v>
      </c>
      <c r="C85" s="8">
        <v>1.0</v>
      </c>
      <c r="D85" s="7">
        <v>3.0</v>
      </c>
      <c r="E85" s="7">
        <v>7.0</v>
      </c>
      <c r="F85" s="9" t="s">
        <v>2186</v>
      </c>
      <c r="G85" s="9" t="s">
        <v>1909</v>
      </c>
      <c r="H85" s="8" t="s">
        <v>1972</v>
      </c>
      <c r="I85" s="8" t="s">
        <v>1973</v>
      </c>
      <c r="J85" s="2" t="s">
        <v>1912</v>
      </c>
      <c r="K85" s="2" t="s">
        <v>2187</v>
      </c>
    </row>
    <row r="86" ht="14.25" customHeight="1">
      <c r="A86" s="7">
        <v>102.0</v>
      </c>
      <c r="B86" s="8" t="s">
        <v>2188</v>
      </c>
      <c r="C86" s="8">
        <v>1.0</v>
      </c>
      <c r="D86" s="7">
        <v>12.0</v>
      </c>
      <c r="E86" s="7">
        <v>36.0</v>
      </c>
      <c r="F86" s="9" t="s">
        <v>2189</v>
      </c>
      <c r="G86" s="8" t="s">
        <v>1886</v>
      </c>
      <c r="H86" s="8" t="s">
        <v>2190</v>
      </c>
      <c r="I86" s="8" t="s">
        <v>2191</v>
      </c>
      <c r="J86" s="2" t="s">
        <v>1912</v>
      </c>
      <c r="K86" s="2" t="s">
        <v>2190</v>
      </c>
    </row>
    <row r="87" ht="14.25" customHeight="1">
      <c r="A87" s="7">
        <v>75.0</v>
      </c>
      <c r="B87" s="8" t="s">
        <v>2192</v>
      </c>
      <c r="C87" s="8">
        <v>1.0</v>
      </c>
      <c r="D87" s="7">
        <v>5.0</v>
      </c>
      <c r="E87" s="7">
        <v>15.0</v>
      </c>
      <c r="F87" s="8" t="s">
        <v>2193</v>
      </c>
      <c r="G87" s="9" t="s">
        <v>1909</v>
      </c>
      <c r="H87" s="8" t="s">
        <v>1962</v>
      </c>
      <c r="I87" s="8" t="s">
        <v>1963</v>
      </c>
      <c r="J87" s="2" t="s">
        <v>1912</v>
      </c>
      <c r="K87" s="2" t="s">
        <v>2194</v>
      </c>
    </row>
    <row r="88" ht="14.25" customHeight="1">
      <c r="A88" s="7">
        <v>88.0</v>
      </c>
      <c r="B88" s="8" t="s">
        <v>2195</v>
      </c>
      <c r="C88" s="8">
        <v>1.0</v>
      </c>
      <c r="D88" s="7">
        <v>5.0</v>
      </c>
      <c r="E88" s="7">
        <v>15.0</v>
      </c>
      <c r="F88" s="8" t="s">
        <v>2196</v>
      </c>
      <c r="G88" s="8" t="s">
        <v>1880</v>
      </c>
      <c r="H88" s="8" t="s">
        <v>2197</v>
      </c>
      <c r="I88" s="8" t="s">
        <v>2195</v>
      </c>
      <c r="J88" s="2" t="s">
        <v>1912</v>
      </c>
      <c r="K88" s="2" t="s">
        <v>2195</v>
      </c>
    </row>
    <row r="89" ht="14.25" customHeight="1">
      <c r="A89" s="7">
        <v>98.0</v>
      </c>
      <c r="B89" s="8" t="s">
        <v>2198</v>
      </c>
      <c r="C89" s="8">
        <v>1.0</v>
      </c>
      <c r="D89" s="7">
        <v>4.0</v>
      </c>
      <c r="E89" s="7">
        <v>10.0</v>
      </c>
      <c r="F89" s="8" t="s">
        <v>2199</v>
      </c>
      <c r="G89" s="8" t="s">
        <v>1880</v>
      </c>
      <c r="H89" s="8" t="s">
        <v>2200</v>
      </c>
      <c r="I89" s="8" t="s">
        <v>2201</v>
      </c>
      <c r="J89" s="2" t="s">
        <v>1912</v>
      </c>
      <c r="K89" s="2" t="s">
        <v>2201</v>
      </c>
    </row>
    <row r="90" ht="14.25" customHeight="1">
      <c r="A90" s="7">
        <v>20.0</v>
      </c>
      <c r="B90" s="8" t="s">
        <v>2202</v>
      </c>
      <c r="C90" s="8">
        <v>1.0</v>
      </c>
      <c r="D90" s="7">
        <v>1.5</v>
      </c>
      <c r="E90" s="7">
        <v>4.5</v>
      </c>
      <c r="F90" s="8" t="s">
        <v>2203</v>
      </c>
      <c r="G90" s="8" t="s">
        <v>1886</v>
      </c>
      <c r="H90" s="8" t="s">
        <v>1939</v>
      </c>
      <c r="I90" s="8" t="s">
        <v>1940</v>
      </c>
      <c r="J90" s="2" t="s">
        <v>1912</v>
      </c>
      <c r="K90" s="2" t="s">
        <v>2172</v>
      </c>
    </row>
    <row r="91" ht="14.25" customHeight="1">
      <c r="A91" s="7">
        <v>82.0</v>
      </c>
      <c r="B91" s="8" t="s">
        <v>2204</v>
      </c>
      <c r="C91" s="8">
        <v>6.0</v>
      </c>
      <c r="D91" s="7">
        <v>1.5</v>
      </c>
      <c r="E91" s="7">
        <v>4.0</v>
      </c>
      <c r="F91" s="8" t="s">
        <v>2205</v>
      </c>
      <c r="G91" s="8" t="s">
        <v>1886</v>
      </c>
      <c r="H91" s="8" t="s">
        <v>2001</v>
      </c>
      <c r="I91" s="8" t="s">
        <v>2002</v>
      </c>
      <c r="J91" s="2" t="s">
        <v>1912</v>
      </c>
      <c r="K91" s="2" t="s">
        <v>2206</v>
      </c>
    </row>
    <row r="92" ht="14.25" customHeight="1">
      <c r="A92" s="7">
        <v>63.0</v>
      </c>
      <c r="B92" s="8" t="s">
        <v>2207</v>
      </c>
      <c r="C92" s="8">
        <v>50.0</v>
      </c>
      <c r="D92" s="7">
        <v>5.0</v>
      </c>
      <c r="E92" s="7">
        <v>15.0</v>
      </c>
      <c r="F92" s="8" t="s">
        <v>2208</v>
      </c>
      <c r="G92" s="8" t="s">
        <v>1886</v>
      </c>
      <c r="H92" s="8" t="s">
        <v>1904</v>
      </c>
      <c r="I92" s="8" t="s">
        <v>1905</v>
      </c>
      <c r="J92" s="2" t="s">
        <v>1912</v>
      </c>
      <c r="K92" s="2" t="s">
        <v>2207</v>
      </c>
    </row>
    <row r="93" ht="14.25" customHeight="1">
      <c r="A93" s="7">
        <v>14.0</v>
      </c>
      <c r="B93" s="8" t="s">
        <v>2209</v>
      </c>
      <c r="C93" s="8">
        <v>1.0</v>
      </c>
      <c r="D93" s="7">
        <v>4.0</v>
      </c>
      <c r="E93" s="7">
        <v>12.0</v>
      </c>
      <c r="F93" s="8" t="s">
        <v>2210</v>
      </c>
      <c r="G93" s="8" t="s">
        <v>1886</v>
      </c>
      <c r="H93" s="8" t="s">
        <v>1887</v>
      </c>
      <c r="I93" s="8" t="s">
        <v>1888</v>
      </c>
      <c r="J93" s="2" t="s">
        <v>1912</v>
      </c>
      <c r="K93" s="2" t="s">
        <v>1889</v>
      </c>
    </row>
    <row r="94" ht="14.25" customHeight="1">
      <c r="A94" s="7">
        <v>1.0</v>
      </c>
      <c r="B94" s="8" t="s">
        <v>2211</v>
      </c>
      <c r="C94" s="8">
        <v>1.0</v>
      </c>
      <c r="D94" s="7">
        <v>0.12</v>
      </c>
      <c r="E94" s="7">
        <v>0.95</v>
      </c>
      <c r="F94" s="8" t="s">
        <v>2212</v>
      </c>
      <c r="G94" s="8" t="s">
        <v>1880</v>
      </c>
      <c r="H94" s="8" t="s">
        <v>2213</v>
      </c>
      <c r="I94" s="8" t="s">
        <v>2211</v>
      </c>
      <c r="J94" s="2" t="s">
        <v>1912</v>
      </c>
      <c r="K94" s="2" t="s">
        <v>2211</v>
      </c>
    </row>
    <row r="95" ht="14.25" customHeight="1">
      <c r="A95" s="7">
        <v>43.0</v>
      </c>
      <c r="B95" s="8" t="s">
        <v>2214</v>
      </c>
      <c r="C95" s="8">
        <v>100.0</v>
      </c>
      <c r="D95" s="7">
        <v>10.0</v>
      </c>
      <c r="E95" s="7">
        <v>25.0</v>
      </c>
      <c r="F95" s="8" t="s">
        <v>2215</v>
      </c>
      <c r="G95" s="8" t="s">
        <v>1886</v>
      </c>
      <c r="H95" s="8" t="s">
        <v>1887</v>
      </c>
      <c r="I95" s="8" t="s">
        <v>1888</v>
      </c>
      <c r="J95" s="2" t="s">
        <v>1912</v>
      </c>
      <c r="K95" s="2" t="s">
        <v>2216</v>
      </c>
    </row>
    <row r="96" ht="14.25" customHeight="1">
      <c r="A96" s="7">
        <v>10.0</v>
      </c>
      <c r="B96" s="8" t="s">
        <v>2217</v>
      </c>
      <c r="C96" s="8">
        <v>1.0</v>
      </c>
      <c r="D96" s="7">
        <v>2.0</v>
      </c>
      <c r="E96" s="7">
        <v>7.5</v>
      </c>
      <c r="F96" s="8" t="s">
        <v>2218</v>
      </c>
      <c r="G96" s="8" t="s">
        <v>1886</v>
      </c>
      <c r="H96" s="8" t="s">
        <v>2219</v>
      </c>
      <c r="I96" s="8" t="s">
        <v>2220</v>
      </c>
      <c r="J96" s="2" t="s">
        <v>1912</v>
      </c>
      <c r="K96" s="2" t="s">
        <v>2221</v>
      </c>
    </row>
    <row r="97" ht="14.25" customHeight="1">
      <c r="A97" s="7">
        <v>99.0</v>
      </c>
      <c r="B97" s="8" t="s">
        <v>2222</v>
      </c>
      <c r="C97" s="8">
        <v>50.0</v>
      </c>
      <c r="D97" s="7">
        <v>3.0</v>
      </c>
      <c r="E97" s="7">
        <v>8.0</v>
      </c>
      <c r="F97" s="8" t="s">
        <v>2223</v>
      </c>
      <c r="G97" s="8" t="s">
        <v>1886</v>
      </c>
      <c r="H97" s="8" t="s">
        <v>2028</v>
      </c>
      <c r="I97" s="8" t="s">
        <v>2029</v>
      </c>
      <c r="J97" s="2" t="s">
        <v>1912</v>
      </c>
      <c r="K97" s="2" t="s">
        <v>2224</v>
      </c>
    </row>
    <row r="98" ht="14.25" customHeight="1">
      <c r="A98" s="7">
        <v>2.0</v>
      </c>
      <c r="B98" s="8" t="s">
        <v>2225</v>
      </c>
      <c r="C98" s="8">
        <v>1.0</v>
      </c>
      <c r="D98" s="7">
        <v>0.5</v>
      </c>
      <c r="E98" s="7">
        <v>1.5</v>
      </c>
      <c r="F98" s="8" t="s">
        <v>2226</v>
      </c>
      <c r="G98" s="8" t="s">
        <v>1880</v>
      </c>
      <c r="H98" s="8" t="s">
        <v>2227</v>
      </c>
      <c r="I98" s="8" t="s">
        <v>2225</v>
      </c>
      <c r="J98" s="2" t="s">
        <v>1912</v>
      </c>
      <c r="K98" s="2" t="s">
        <v>2225</v>
      </c>
    </row>
    <row r="99" ht="14.25" customHeight="1">
      <c r="A99" s="7">
        <v>25.0</v>
      </c>
      <c r="B99" s="8" t="s">
        <v>2228</v>
      </c>
      <c r="C99" s="8">
        <v>1.0</v>
      </c>
      <c r="D99" s="7">
        <v>3.5</v>
      </c>
      <c r="E99" s="7">
        <v>9.0</v>
      </c>
      <c r="F99" s="8" t="s">
        <v>2229</v>
      </c>
      <c r="G99" s="9" t="s">
        <v>1909</v>
      </c>
      <c r="H99" s="8" t="s">
        <v>2001</v>
      </c>
      <c r="I99" s="8" t="s">
        <v>2002</v>
      </c>
      <c r="J99" s="2" t="s">
        <v>1912</v>
      </c>
      <c r="K99" s="2" t="s">
        <v>2230</v>
      </c>
    </row>
    <row r="100" ht="14.25" customHeight="1">
      <c r="A100" s="7">
        <v>27.0</v>
      </c>
      <c r="B100" s="8" t="s">
        <v>2231</v>
      </c>
      <c r="C100" s="8">
        <v>1.0</v>
      </c>
      <c r="D100" s="7">
        <v>2.0</v>
      </c>
      <c r="E100" s="7">
        <v>10.0</v>
      </c>
      <c r="F100" s="8" t="s">
        <v>2229</v>
      </c>
      <c r="G100" s="8" t="s">
        <v>1880</v>
      </c>
      <c r="H100" s="8" t="s">
        <v>2232</v>
      </c>
      <c r="I100" s="8" t="s">
        <v>2233</v>
      </c>
      <c r="J100" s="2" t="s">
        <v>1912</v>
      </c>
      <c r="K100" s="2" t="s">
        <v>2233</v>
      </c>
    </row>
    <row r="101" ht="14.25" customHeight="1">
      <c r="A101" s="7">
        <v>79.0</v>
      </c>
      <c r="B101" s="8" t="s">
        <v>2234</v>
      </c>
      <c r="C101" s="8">
        <v>6.0</v>
      </c>
      <c r="D101" s="7">
        <v>15.0</v>
      </c>
      <c r="E101" s="7">
        <v>35.0</v>
      </c>
      <c r="F101" s="9" t="s">
        <v>2235</v>
      </c>
      <c r="G101" s="8" t="s">
        <v>1880</v>
      </c>
      <c r="H101" s="8" t="s">
        <v>2236</v>
      </c>
      <c r="I101" s="8" t="s">
        <v>2237</v>
      </c>
      <c r="J101" s="2" t="s">
        <v>1912</v>
      </c>
      <c r="K101" s="2" t="s">
        <v>2237</v>
      </c>
    </row>
    <row r="102" ht="14.25" customHeight="1">
      <c r="A102" s="7">
        <v>71.0</v>
      </c>
      <c r="B102" s="8" t="s">
        <v>2238</v>
      </c>
      <c r="C102" s="8">
        <v>24.0</v>
      </c>
      <c r="D102" s="7">
        <v>10.0</v>
      </c>
      <c r="E102" s="7">
        <v>18.0</v>
      </c>
      <c r="F102" s="9" t="s">
        <v>2239</v>
      </c>
      <c r="G102" s="8" t="s">
        <v>1886</v>
      </c>
      <c r="H102" s="8" t="s">
        <v>2240</v>
      </c>
      <c r="I102" s="8" t="s">
        <v>2241</v>
      </c>
      <c r="J102" s="2" t="s">
        <v>1912</v>
      </c>
      <c r="K102" s="2" t="s">
        <v>2242</v>
      </c>
    </row>
    <row r="103" ht="14.25" customHeight="1">
      <c r="A103" s="7">
        <v>76.0</v>
      </c>
      <c r="B103" s="10" t="s">
        <v>2243</v>
      </c>
      <c r="C103" s="10">
        <v>12.0</v>
      </c>
      <c r="D103" s="11">
        <v>1.0</v>
      </c>
      <c r="E103" s="11">
        <v>3.0</v>
      </c>
      <c r="F103" s="8" t="s">
        <v>2244</v>
      </c>
      <c r="G103" s="8" t="s">
        <v>1886</v>
      </c>
      <c r="H103" s="8" t="s">
        <v>2020</v>
      </c>
      <c r="I103" s="8" t="s">
        <v>2021</v>
      </c>
      <c r="J103" s="2" t="s">
        <v>1912</v>
      </c>
      <c r="K103" s="2" t="s">
        <v>2245</v>
      </c>
    </row>
    <row r="104" ht="14.25" customHeight="1">
      <c r="A104" s="7">
        <v>49.0</v>
      </c>
      <c r="B104" s="10" t="s">
        <v>2246</v>
      </c>
      <c r="C104" s="10">
        <v>1.0</v>
      </c>
      <c r="D104" s="11">
        <v>4.0</v>
      </c>
      <c r="E104" s="11">
        <v>7.0</v>
      </c>
      <c r="F104" s="8" t="s">
        <v>2247</v>
      </c>
      <c r="G104" s="8" t="s">
        <v>1886</v>
      </c>
      <c r="H104" s="8" t="s">
        <v>2248</v>
      </c>
      <c r="I104" s="8" t="s">
        <v>2249</v>
      </c>
      <c r="J104" s="2" t="s">
        <v>1912</v>
      </c>
      <c r="K104" s="2" t="s">
        <v>2047</v>
      </c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3.13"/>
    <col customWidth="1" min="6" max="26" width="8.63"/>
  </cols>
  <sheetData>
    <row r="1" ht="14.25" customHeight="1">
      <c r="A1" s="1" t="s">
        <v>2250</v>
      </c>
      <c r="B1" s="1" t="s">
        <v>2251</v>
      </c>
      <c r="C1" s="1" t="s">
        <v>2252</v>
      </c>
      <c r="D1" s="1" t="s">
        <v>2253</v>
      </c>
      <c r="E1" s="1" t="s">
        <v>2254</v>
      </c>
    </row>
    <row r="2" ht="14.25" customHeight="1">
      <c r="A2" s="2" t="s">
        <v>2255</v>
      </c>
      <c r="B2" s="2" t="s">
        <v>2256</v>
      </c>
      <c r="C2" s="2" t="s">
        <v>2257</v>
      </c>
      <c r="D2" s="2" t="s">
        <v>2258</v>
      </c>
      <c r="E2" s="2" t="s">
        <v>2259</v>
      </c>
      <c r="H2" s="4" t="s">
        <v>2260</v>
      </c>
    </row>
    <row r="3" ht="14.25" customHeight="1">
      <c r="A3" s="2" t="s">
        <v>2261</v>
      </c>
      <c r="B3" s="2" t="s">
        <v>2262</v>
      </c>
      <c r="C3" s="2" t="s">
        <v>2263</v>
      </c>
      <c r="D3" s="2" t="s">
        <v>2264</v>
      </c>
      <c r="E3" s="2" t="s">
        <v>2259</v>
      </c>
      <c r="H3" s="4" t="s">
        <v>2265</v>
      </c>
    </row>
    <row r="4" ht="14.25" customHeight="1">
      <c r="A4" s="2" t="s">
        <v>2266</v>
      </c>
      <c r="B4" s="2" t="s">
        <v>2267</v>
      </c>
      <c r="C4" s="2" t="s">
        <v>2268</v>
      </c>
      <c r="D4" s="2" t="s">
        <v>2269</v>
      </c>
      <c r="E4" s="2" t="s">
        <v>2270</v>
      </c>
    </row>
    <row r="5" ht="14.25" customHeight="1">
      <c r="A5" s="2" t="s">
        <v>2271</v>
      </c>
      <c r="B5" s="2" t="s">
        <v>2272</v>
      </c>
      <c r="C5" s="2" t="s">
        <v>2273</v>
      </c>
      <c r="D5" s="2" t="s">
        <v>2274</v>
      </c>
      <c r="E5" s="2" t="s">
        <v>2275</v>
      </c>
    </row>
    <row r="6" ht="14.25" customHeight="1">
      <c r="A6" s="2" t="s">
        <v>2276</v>
      </c>
      <c r="B6" s="2" t="s">
        <v>2277</v>
      </c>
      <c r="C6" s="2" t="s">
        <v>2278</v>
      </c>
      <c r="D6" s="2" t="s">
        <v>2279</v>
      </c>
      <c r="E6" s="2" t="s">
        <v>2280</v>
      </c>
    </row>
    <row r="7" ht="14.25" customHeight="1">
      <c r="A7" s="2" t="s">
        <v>2281</v>
      </c>
      <c r="B7" s="2" t="s">
        <v>2282</v>
      </c>
      <c r="C7" s="2" t="s">
        <v>2283</v>
      </c>
      <c r="D7" s="2" t="s">
        <v>2284</v>
      </c>
      <c r="E7" s="2" t="s">
        <v>2285</v>
      </c>
    </row>
    <row r="8" ht="14.25" customHeight="1">
      <c r="A8" s="2" t="s">
        <v>2286</v>
      </c>
      <c r="B8" s="2" t="s">
        <v>2287</v>
      </c>
      <c r="C8" s="2" t="s">
        <v>2288</v>
      </c>
      <c r="D8" s="2" t="s">
        <v>2289</v>
      </c>
      <c r="E8" s="2" t="s">
        <v>2290</v>
      </c>
    </row>
    <row r="9" ht="14.25" customHeight="1">
      <c r="A9" s="2" t="s">
        <v>2291</v>
      </c>
      <c r="B9" s="2" t="s">
        <v>2292</v>
      </c>
      <c r="C9" s="2" t="s">
        <v>2293</v>
      </c>
      <c r="D9" s="2" t="s">
        <v>2294</v>
      </c>
      <c r="E9" s="2" t="s">
        <v>2295</v>
      </c>
    </row>
    <row r="10" ht="14.25" customHeight="1">
      <c r="A10" s="2" t="s">
        <v>2296</v>
      </c>
      <c r="B10" s="2" t="s">
        <v>2297</v>
      </c>
      <c r="C10" s="2" t="s">
        <v>2298</v>
      </c>
      <c r="D10" s="2" t="s">
        <v>2299</v>
      </c>
      <c r="E10" s="2" t="s">
        <v>2300</v>
      </c>
    </row>
    <row r="11" ht="14.25" customHeight="1">
      <c r="A11" s="2" t="s">
        <v>2301</v>
      </c>
      <c r="B11" s="2" t="s">
        <v>2302</v>
      </c>
      <c r="C11" s="2" t="s">
        <v>2303</v>
      </c>
      <c r="D11" s="2" t="s">
        <v>2304</v>
      </c>
      <c r="E11" s="2" t="s">
        <v>2305</v>
      </c>
    </row>
    <row r="12" ht="14.25" customHeight="1">
      <c r="A12" s="2" t="s">
        <v>2306</v>
      </c>
      <c r="B12" s="2" t="s">
        <v>2307</v>
      </c>
      <c r="C12" s="2" t="s">
        <v>2308</v>
      </c>
      <c r="D12" s="2" t="s">
        <v>2309</v>
      </c>
      <c r="E12" s="2" t="s">
        <v>2310</v>
      </c>
    </row>
    <row r="13" ht="14.25" customHeight="1">
      <c r="A13" s="2" t="s">
        <v>2311</v>
      </c>
      <c r="B13" s="2" t="s">
        <v>2312</v>
      </c>
      <c r="C13" s="2" t="s">
        <v>2313</v>
      </c>
      <c r="D13" s="2" t="s">
        <v>2314</v>
      </c>
      <c r="E13" s="2" t="s">
        <v>2315</v>
      </c>
    </row>
    <row r="14" ht="14.25" customHeight="1">
      <c r="A14" s="2" t="s">
        <v>2316</v>
      </c>
      <c r="B14" s="2" t="s">
        <v>2317</v>
      </c>
      <c r="C14" s="2" t="s">
        <v>2318</v>
      </c>
      <c r="D14" s="2" t="s">
        <v>2319</v>
      </c>
      <c r="E14" s="2" t="s">
        <v>2320</v>
      </c>
    </row>
    <row r="15" ht="14.25" customHeight="1">
      <c r="A15" s="2" t="s">
        <v>2321</v>
      </c>
      <c r="B15" s="2" t="s">
        <v>2322</v>
      </c>
      <c r="C15" s="2" t="s">
        <v>2307</v>
      </c>
      <c r="D15" s="2" t="s">
        <v>2323</v>
      </c>
      <c r="E15" s="2" t="s">
        <v>2324</v>
      </c>
    </row>
    <row r="16" ht="14.25" customHeight="1">
      <c r="A16" s="2" t="s">
        <v>2325</v>
      </c>
      <c r="B16" s="2" t="s">
        <v>2326</v>
      </c>
      <c r="C16" s="2" t="s">
        <v>2327</v>
      </c>
      <c r="D16" s="2" t="s">
        <v>2328</v>
      </c>
      <c r="E16" s="2" t="s">
        <v>2329</v>
      </c>
    </row>
    <row r="17" ht="14.25" customHeight="1">
      <c r="A17" s="2" t="s">
        <v>2330</v>
      </c>
      <c r="B17" s="2" t="s">
        <v>2331</v>
      </c>
      <c r="C17" s="2" t="s">
        <v>2332</v>
      </c>
      <c r="D17" s="2" t="s">
        <v>2333</v>
      </c>
      <c r="E17" s="2" t="s">
        <v>2334</v>
      </c>
    </row>
    <row r="18" ht="14.25" customHeight="1">
      <c r="A18" s="2" t="s">
        <v>2335</v>
      </c>
      <c r="B18" s="2" t="s">
        <v>2331</v>
      </c>
      <c r="C18" s="2" t="s">
        <v>2279</v>
      </c>
      <c r="D18" s="2" t="s">
        <v>2336</v>
      </c>
      <c r="E18" s="2" t="s">
        <v>2337</v>
      </c>
    </row>
    <row r="19" ht="14.25" customHeight="1">
      <c r="A19" s="2" t="s">
        <v>2338</v>
      </c>
      <c r="B19" s="2" t="s">
        <v>2339</v>
      </c>
      <c r="C19" s="2" t="s">
        <v>2340</v>
      </c>
      <c r="D19" s="2" t="s">
        <v>2269</v>
      </c>
      <c r="E19" s="2" t="s">
        <v>2341</v>
      </c>
    </row>
    <row r="20" ht="14.25" customHeight="1">
      <c r="A20" s="2" t="s">
        <v>2342</v>
      </c>
      <c r="B20" s="2" t="s">
        <v>2343</v>
      </c>
      <c r="C20" s="2" t="s">
        <v>2267</v>
      </c>
      <c r="D20" s="2" t="s">
        <v>2344</v>
      </c>
      <c r="E20" s="2" t="s">
        <v>2345</v>
      </c>
    </row>
    <row r="21" ht="14.25" customHeight="1">
      <c r="A21" s="2" t="s">
        <v>2346</v>
      </c>
      <c r="B21" s="2" t="s">
        <v>2269</v>
      </c>
      <c r="C21" s="2" t="s">
        <v>2339</v>
      </c>
      <c r="D21" s="2" t="s">
        <v>2347</v>
      </c>
      <c r="E21" s="2" t="s">
        <v>2348</v>
      </c>
    </row>
    <row r="22" ht="14.25" customHeight="1">
      <c r="A22" s="2" t="s">
        <v>2349</v>
      </c>
      <c r="B22" s="2" t="s">
        <v>2350</v>
      </c>
      <c r="C22" s="2" t="s">
        <v>2351</v>
      </c>
      <c r="D22" s="2" t="s">
        <v>2352</v>
      </c>
      <c r="E22" s="2" t="s">
        <v>2353</v>
      </c>
    </row>
    <row r="23" ht="14.25" customHeight="1">
      <c r="A23" s="2" t="s">
        <v>2354</v>
      </c>
      <c r="B23" s="2" t="s">
        <v>2355</v>
      </c>
      <c r="C23" s="2" t="s">
        <v>2356</v>
      </c>
      <c r="D23" s="2" t="s">
        <v>2357</v>
      </c>
      <c r="E23" s="2" t="s">
        <v>2358</v>
      </c>
    </row>
    <row r="24" ht="14.25" customHeight="1">
      <c r="A24" s="2" t="s">
        <v>2359</v>
      </c>
      <c r="B24" s="2" t="s">
        <v>2034</v>
      </c>
      <c r="C24" s="2" t="s">
        <v>2360</v>
      </c>
      <c r="D24" s="2" t="s">
        <v>2361</v>
      </c>
      <c r="E24" s="2" t="s">
        <v>2362</v>
      </c>
    </row>
    <row r="25" ht="14.25" customHeight="1">
      <c r="A25" s="2" t="s">
        <v>2363</v>
      </c>
      <c r="B25" s="2" t="s">
        <v>2322</v>
      </c>
      <c r="C25" s="2" t="s">
        <v>2277</v>
      </c>
      <c r="D25" s="2" t="s">
        <v>2364</v>
      </c>
      <c r="E25" s="2" t="s">
        <v>2365</v>
      </c>
    </row>
    <row r="26" ht="14.25" customHeight="1">
      <c r="A26" s="2" t="s">
        <v>2366</v>
      </c>
      <c r="B26" s="2" t="s">
        <v>2279</v>
      </c>
      <c r="C26" s="2" t="s">
        <v>2367</v>
      </c>
      <c r="D26" s="2" t="s">
        <v>2368</v>
      </c>
      <c r="E26" s="2" t="s">
        <v>2369</v>
      </c>
    </row>
    <row r="27" ht="14.25" customHeight="1">
      <c r="A27" s="2" t="s">
        <v>2370</v>
      </c>
      <c r="B27" s="2" t="s">
        <v>2257</v>
      </c>
      <c r="C27" s="2" t="s">
        <v>2371</v>
      </c>
      <c r="D27" s="2" t="s">
        <v>2372</v>
      </c>
      <c r="E27" s="2" t="s">
        <v>2373</v>
      </c>
    </row>
    <row r="28" ht="14.25" customHeight="1">
      <c r="A28" s="2" t="s">
        <v>2374</v>
      </c>
      <c r="B28" s="2" t="s">
        <v>2375</v>
      </c>
      <c r="C28" s="2" t="s">
        <v>2376</v>
      </c>
      <c r="D28" s="2" t="s">
        <v>2377</v>
      </c>
      <c r="E28" s="2" t="s">
        <v>2378</v>
      </c>
    </row>
    <row r="29" ht="14.25" customHeight="1">
      <c r="A29" s="2" t="s">
        <v>2379</v>
      </c>
      <c r="B29" s="2" t="s">
        <v>2319</v>
      </c>
      <c r="C29" s="2" t="s">
        <v>1945</v>
      </c>
      <c r="D29" s="2" t="s">
        <v>2380</v>
      </c>
      <c r="E29" s="2" t="s">
        <v>2381</v>
      </c>
    </row>
    <row r="30" ht="14.25" customHeight="1">
      <c r="A30" s="2" t="s">
        <v>2382</v>
      </c>
      <c r="B30" s="2" t="s">
        <v>2029</v>
      </c>
      <c r="C30" s="2" t="s">
        <v>1963</v>
      </c>
      <c r="D30" s="2" t="s">
        <v>2383</v>
      </c>
      <c r="E30" s="2" t="s">
        <v>2384</v>
      </c>
    </row>
    <row r="31" ht="14.25" customHeight="1">
      <c r="A31" s="2" t="s">
        <v>2385</v>
      </c>
      <c r="B31" s="2" t="s">
        <v>2386</v>
      </c>
      <c r="C31" s="2" t="s">
        <v>2387</v>
      </c>
      <c r="D31" s="2" t="s">
        <v>2388</v>
      </c>
      <c r="E31" s="2" t="s">
        <v>2389</v>
      </c>
    </row>
    <row r="32" ht="14.25" customHeight="1">
      <c r="A32" s="2" t="s">
        <v>2390</v>
      </c>
      <c r="B32" s="2" t="s">
        <v>2391</v>
      </c>
      <c r="C32" s="2" t="s">
        <v>2392</v>
      </c>
      <c r="D32" s="2" t="s">
        <v>2065</v>
      </c>
      <c r="E32" s="2" t="s">
        <v>2393</v>
      </c>
    </row>
    <row r="33" ht="14.25" customHeight="1">
      <c r="A33" s="2" t="s">
        <v>2394</v>
      </c>
      <c r="B33" s="2" t="s">
        <v>2297</v>
      </c>
      <c r="C33" s="2" t="s">
        <v>2372</v>
      </c>
      <c r="D33" s="2" t="s">
        <v>2395</v>
      </c>
      <c r="E33" s="2" t="s">
        <v>2396</v>
      </c>
    </row>
    <row r="34" ht="14.25" customHeight="1">
      <c r="A34" s="2" t="s">
        <v>2397</v>
      </c>
      <c r="B34" s="2" t="s">
        <v>2372</v>
      </c>
      <c r="C34" s="2" t="s">
        <v>2398</v>
      </c>
      <c r="D34" s="2" t="s">
        <v>1989</v>
      </c>
      <c r="E34" s="2" t="s">
        <v>2399</v>
      </c>
    </row>
    <row r="35" ht="14.25" customHeight="1">
      <c r="A35" s="2" t="s">
        <v>2400</v>
      </c>
      <c r="B35" s="2" t="s">
        <v>2401</v>
      </c>
      <c r="C35" s="2" t="s">
        <v>2292</v>
      </c>
      <c r="D35" s="2" t="s">
        <v>2352</v>
      </c>
      <c r="E35" s="2" t="s">
        <v>2402</v>
      </c>
    </row>
    <row r="36" ht="14.25" customHeight="1">
      <c r="A36" s="2" t="s">
        <v>2403</v>
      </c>
      <c r="B36" s="2" t="s">
        <v>2404</v>
      </c>
      <c r="C36" s="2" t="s">
        <v>2405</v>
      </c>
      <c r="D36" s="2" t="s">
        <v>2388</v>
      </c>
      <c r="E36" s="2" t="s">
        <v>2406</v>
      </c>
    </row>
    <row r="37" ht="14.25" customHeight="1">
      <c r="A37" s="2" t="s">
        <v>2407</v>
      </c>
      <c r="B37" s="2" t="s">
        <v>2408</v>
      </c>
      <c r="C37" s="2" t="s">
        <v>2409</v>
      </c>
      <c r="D37" s="2" t="s">
        <v>2410</v>
      </c>
      <c r="E37" s="2" t="s">
        <v>2411</v>
      </c>
    </row>
    <row r="38" ht="14.25" customHeight="1">
      <c r="A38" s="2" t="s">
        <v>2412</v>
      </c>
      <c r="B38" s="2" t="s">
        <v>2413</v>
      </c>
      <c r="C38" s="2" t="s">
        <v>2414</v>
      </c>
      <c r="D38" s="2" t="s">
        <v>2415</v>
      </c>
      <c r="E38" s="2" t="s">
        <v>2416</v>
      </c>
    </row>
    <row r="39" ht="14.25" customHeight="1">
      <c r="A39" s="2" t="s">
        <v>2417</v>
      </c>
      <c r="B39" s="2" t="s">
        <v>2418</v>
      </c>
      <c r="C39" s="2" t="s">
        <v>2419</v>
      </c>
      <c r="D39" s="2" t="s">
        <v>2420</v>
      </c>
      <c r="E39" s="2" t="s">
        <v>2421</v>
      </c>
    </row>
    <row r="40" ht="14.25" customHeight="1">
      <c r="A40" s="2" t="s">
        <v>2422</v>
      </c>
      <c r="B40" s="2" t="s">
        <v>2423</v>
      </c>
      <c r="C40" s="2" t="s">
        <v>2377</v>
      </c>
      <c r="D40" s="2" t="s">
        <v>2424</v>
      </c>
      <c r="E40" s="2" t="s">
        <v>2425</v>
      </c>
    </row>
    <row r="41" ht="14.25" customHeight="1">
      <c r="A41" s="2" t="s">
        <v>2426</v>
      </c>
      <c r="B41" s="2" t="s">
        <v>2299</v>
      </c>
      <c r="C41" s="2" t="s">
        <v>2427</v>
      </c>
      <c r="D41" s="2" t="s">
        <v>2428</v>
      </c>
      <c r="E41" s="2" t="s">
        <v>2429</v>
      </c>
    </row>
    <row r="42" ht="14.25" customHeight="1">
      <c r="A42" s="2" t="s">
        <v>2430</v>
      </c>
      <c r="B42" s="2" t="s">
        <v>2431</v>
      </c>
      <c r="C42" s="2" t="s">
        <v>2351</v>
      </c>
      <c r="D42" s="2" t="s">
        <v>2432</v>
      </c>
      <c r="E42" s="2" t="s">
        <v>2433</v>
      </c>
    </row>
    <row r="43" ht="14.25" customHeight="1">
      <c r="A43" s="2" t="s">
        <v>2434</v>
      </c>
      <c r="B43" s="2" t="s">
        <v>2277</v>
      </c>
      <c r="C43" s="2" t="s">
        <v>2435</v>
      </c>
      <c r="D43" s="2" t="s">
        <v>2431</v>
      </c>
      <c r="E43" s="2" t="s">
        <v>2436</v>
      </c>
    </row>
    <row r="44" ht="14.25" customHeight="1">
      <c r="A44" s="2" t="s">
        <v>2437</v>
      </c>
      <c r="B44" s="2" t="s">
        <v>2438</v>
      </c>
      <c r="C44" s="2" t="s">
        <v>2439</v>
      </c>
      <c r="D44" s="2" t="s">
        <v>2440</v>
      </c>
      <c r="E44" s="2" t="s">
        <v>2441</v>
      </c>
    </row>
    <row r="45" ht="14.25" customHeight="1">
      <c r="A45" s="2" t="s">
        <v>2442</v>
      </c>
      <c r="B45" s="2" t="s">
        <v>2343</v>
      </c>
      <c r="C45" s="2" t="s">
        <v>2443</v>
      </c>
      <c r="D45" s="2" t="s">
        <v>2444</v>
      </c>
      <c r="E45" s="2" t="s">
        <v>2445</v>
      </c>
    </row>
    <row r="46" ht="14.25" customHeight="1">
      <c r="A46" s="2" t="s">
        <v>2446</v>
      </c>
      <c r="B46" s="2" t="s">
        <v>2257</v>
      </c>
      <c r="C46" s="2" t="s">
        <v>2322</v>
      </c>
      <c r="D46" s="2" t="s">
        <v>2447</v>
      </c>
      <c r="E46" s="2" t="s">
        <v>2448</v>
      </c>
    </row>
    <row r="47" ht="14.25" customHeight="1">
      <c r="A47" s="2" t="s">
        <v>2449</v>
      </c>
      <c r="B47" s="2" t="s">
        <v>2450</v>
      </c>
      <c r="C47" s="2" t="s">
        <v>2451</v>
      </c>
      <c r="D47" s="2" t="s">
        <v>2452</v>
      </c>
      <c r="E47" s="2" t="s">
        <v>2453</v>
      </c>
    </row>
    <row r="48" ht="14.25" customHeight="1">
      <c r="A48" s="2" t="s">
        <v>2454</v>
      </c>
      <c r="B48" s="2" t="s">
        <v>2455</v>
      </c>
      <c r="C48" s="2" t="s">
        <v>2456</v>
      </c>
      <c r="D48" s="2" t="s">
        <v>2424</v>
      </c>
      <c r="E48" s="2" t="s">
        <v>2457</v>
      </c>
    </row>
    <row r="49" ht="14.25" customHeight="1">
      <c r="A49" s="2" t="s">
        <v>2458</v>
      </c>
      <c r="B49" s="2" t="s">
        <v>2459</v>
      </c>
      <c r="C49" s="2" t="s">
        <v>2460</v>
      </c>
      <c r="D49" s="2" t="s">
        <v>2309</v>
      </c>
      <c r="E49" s="2" t="s">
        <v>2461</v>
      </c>
    </row>
    <row r="50" ht="14.25" customHeight="1">
      <c r="A50" s="2" t="s">
        <v>2462</v>
      </c>
      <c r="B50" s="2" t="s">
        <v>2277</v>
      </c>
      <c r="C50" s="2" t="s">
        <v>2279</v>
      </c>
      <c r="D50" s="2" t="s">
        <v>2463</v>
      </c>
      <c r="E50" s="2" t="s">
        <v>2464</v>
      </c>
    </row>
    <row r="51" ht="14.25" customHeight="1">
      <c r="A51" s="2" t="s">
        <v>2465</v>
      </c>
      <c r="B51" s="2" t="s">
        <v>2466</v>
      </c>
      <c r="C51" s="2" t="s">
        <v>2467</v>
      </c>
      <c r="D51" s="2" t="s">
        <v>2440</v>
      </c>
      <c r="E51" s="2" t="s">
        <v>2468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38"/>
    <col customWidth="1" min="3" max="3" width="28.63"/>
    <col customWidth="1" min="4" max="4" width="10.88"/>
    <col customWidth="1" min="5" max="5" width="15.38"/>
    <col customWidth="1" min="6" max="6" width="12.63"/>
    <col customWidth="1" min="7" max="7" width="12.5"/>
  </cols>
  <sheetData>
    <row r="1" ht="14.25" customHeight="1">
      <c r="A1" s="1" t="s">
        <v>17</v>
      </c>
      <c r="B1" s="1" t="s">
        <v>2469</v>
      </c>
      <c r="C1" s="1" t="s">
        <v>2470</v>
      </c>
      <c r="D1" s="1" t="s">
        <v>2471</v>
      </c>
      <c r="E1" s="1" t="s">
        <v>2472</v>
      </c>
      <c r="F1" s="1" t="s">
        <v>2473</v>
      </c>
      <c r="G1" s="1" t="s">
        <v>2474</v>
      </c>
    </row>
    <row r="2" ht="14.25" customHeight="1">
      <c r="A2" s="2">
        <v>1.0</v>
      </c>
      <c r="B2" s="2" t="s">
        <v>2475</v>
      </c>
      <c r="C2" s="2" t="s">
        <v>2476</v>
      </c>
      <c r="D2" s="2">
        <v>143.0</v>
      </c>
      <c r="E2" s="2">
        <v>1.0</v>
      </c>
      <c r="F2" s="2">
        <v>80.0</v>
      </c>
      <c r="G2" s="2">
        <v>786200.0</v>
      </c>
    </row>
    <row r="3" ht="14.25" customHeight="1">
      <c r="A3" s="2">
        <v>2.0</v>
      </c>
      <c r="B3" s="2" t="s">
        <v>2477</v>
      </c>
      <c r="C3" s="2" t="s">
        <v>2478</v>
      </c>
      <c r="D3" s="2">
        <v>152.0</v>
      </c>
      <c r="E3" s="2">
        <v>1.0</v>
      </c>
      <c r="F3" s="2">
        <v>111.53</v>
      </c>
      <c r="G3" s="2">
        <v>736300.0</v>
      </c>
    </row>
    <row r="4" ht="14.25" customHeight="1">
      <c r="A4" s="2">
        <v>3.0</v>
      </c>
      <c r="B4" s="2" t="s">
        <v>2479</v>
      </c>
      <c r="C4" s="2" t="s">
        <v>2480</v>
      </c>
      <c r="D4" s="2">
        <v>182.0</v>
      </c>
      <c r="E4" s="2">
        <v>1.0</v>
      </c>
      <c r="F4" s="2">
        <v>250.0</v>
      </c>
      <c r="G4" s="2">
        <v>699800.0</v>
      </c>
    </row>
    <row r="5" ht="14.25" customHeight="1">
      <c r="A5" s="2">
        <v>4.0</v>
      </c>
      <c r="B5" s="2" t="s">
        <v>2475</v>
      </c>
      <c r="C5" s="2" t="s">
        <v>2481</v>
      </c>
      <c r="D5" s="2">
        <v>143.0</v>
      </c>
      <c r="E5" s="2">
        <v>1.0</v>
      </c>
      <c r="F5" s="2">
        <v>100.0</v>
      </c>
      <c r="G5" s="2">
        <v>669000.0</v>
      </c>
    </row>
    <row r="6" ht="14.25" customHeight="1">
      <c r="A6" s="2">
        <v>5.0</v>
      </c>
      <c r="B6" s="2" t="s">
        <v>2477</v>
      </c>
      <c r="C6" s="2" t="s">
        <v>2482</v>
      </c>
      <c r="D6" s="2">
        <v>152.0</v>
      </c>
      <c r="E6" s="2">
        <v>1.0</v>
      </c>
      <c r="F6" s="2">
        <v>100.0</v>
      </c>
      <c r="G6" s="2">
        <v>641200.0</v>
      </c>
    </row>
    <row r="7" ht="14.25" customHeight="1">
      <c r="A7" s="2">
        <v>6.0</v>
      </c>
      <c r="B7" s="2" t="s">
        <v>2477</v>
      </c>
      <c r="C7" s="2" t="s">
        <v>2483</v>
      </c>
      <c r="D7" s="2">
        <v>152.0</v>
      </c>
      <c r="E7" s="2">
        <v>1.0</v>
      </c>
      <c r="F7" s="2">
        <v>120.0</v>
      </c>
      <c r="G7" s="2">
        <v>628800.0</v>
      </c>
    </row>
    <row r="8" ht="14.25" customHeight="1">
      <c r="A8" s="2">
        <v>7.0</v>
      </c>
      <c r="B8" s="2" t="s">
        <v>2479</v>
      </c>
      <c r="C8" s="2" t="s">
        <v>2484</v>
      </c>
      <c r="D8" s="2">
        <v>182.0</v>
      </c>
      <c r="E8" s="2">
        <v>1.0</v>
      </c>
      <c r="F8" s="2">
        <v>125.0</v>
      </c>
      <c r="G8" s="2">
        <v>599900.0</v>
      </c>
    </row>
    <row r="9" ht="14.25" customHeight="1">
      <c r="A9" s="2">
        <v>8.0</v>
      </c>
      <c r="B9" s="2" t="s">
        <v>2479</v>
      </c>
      <c r="C9" s="2" t="s">
        <v>2485</v>
      </c>
      <c r="D9" s="2">
        <v>182.0</v>
      </c>
      <c r="E9" s="2">
        <v>1.0</v>
      </c>
      <c r="F9" s="2">
        <v>100.0</v>
      </c>
      <c r="G9" s="2">
        <v>552600.0</v>
      </c>
    </row>
    <row r="10" ht="14.25" customHeight="1">
      <c r="A10" s="2">
        <v>9.0</v>
      </c>
      <c r="B10" s="2" t="s">
        <v>2477</v>
      </c>
      <c r="C10" s="2" t="s">
        <v>2486</v>
      </c>
      <c r="D10" s="2">
        <v>152.0</v>
      </c>
      <c r="E10" s="2">
        <v>1.0</v>
      </c>
      <c r="F10" s="2">
        <v>120.0</v>
      </c>
      <c r="G10" s="2">
        <v>545000.0</v>
      </c>
    </row>
    <row r="11" ht="14.25" customHeight="1">
      <c r="A11" s="2">
        <v>10.0</v>
      </c>
      <c r="B11" s="2" t="s">
        <v>2479</v>
      </c>
      <c r="C11" s="2" t="s">
        <v>2487</v>
      </c>
      <c r="D11" s="2">
        <v>182.0</v>
      </c>
      <c r="E11" s="2">
        <v>1.0</v>
      </c>
      <c r="F11" s="2">
        <v>100.0</v>
      </c>
      <c r="G11" s="2">
        <v>530400.0</v>
      </c>
    </row>
    <row r="12" ht="14.25" customHeight="1">
      <c r="A12" s="2">
        <v>11.0</v>
      </c>
      <c r="B12" s="2" t="s">
        <v>2488</v>
      </c>
      <c r="C12" s="2" t="s">
        <v>2489</v>
      </c>
      <c r="D12" s="2">
        <v>333.0</v>
      </c>
      <c r="E12" s="2">
        <v>1.0</v>
      </c>
      <c r="F12" s="2">
        <v>80.0</v>
      </c>
      <c r="G12" s="2">
        <v>527900.0</v>
      </c>
    </row>
    <row r="13" ht="14.25" customHeight="1">
      <c r="A13" s="2">
        <v>12.0</v>
      </c>
      <c r="B13" s="2" t="s">
        <v>2479</v>
      </c>
      <c r="C13" s="2" t="s">
        <v>2490</v>
      </c>
      <c r="D13" s="2">
        <v>182.0</v>
      </c>
      <c r="E13" s="2">
        <v>1.0</v>
      </c>
      <c r="F13" s="2">
        <v>120.0</v>
      </c>
      <c r="G13" s="2">
        <v>490000.0</v>
      </c>
    </row>
    <row r="14" ht="14.25" customHeight="1">
      <c r="A14" s="2">
        <v>13.0</v>
      </c>
      <c r="B14" s="2" t="s">
        <v>2491</v>
      </c>
      <c r="C14" s="2" t="s">
        <v>2492</v>
      </c>
      <c r="D14" s="2">
        <v>116.0</v>
      </c>
      <c r="E14" s="2">
        <v>1.0</v>
      </c>
      <c r="F14" s="2">
        <v>150.0</v>
      </c>
      <c r="G14" s="2">
        <v>481300.0</v>
      </c>
    </row>
    <row r="15" ht="14.25" customHeight="1">
      <c r="A15" s="2">
        <v>14.0</v>
      </c>
      <c r="B15" s="2" t="s">
        <v>2488</v>
      </c>
      <c r="C15" s="2" t="s">
        <v>2493</v>
      </c>
      <c r="D15" s="2">
        <v>333.0</v>
      </c>
      <c r="E15" s="2">
        <v>1.0</v>
      </c>
      <c r="F15" s="2">
        <v>75.0</v>
      </c>
      <c r="G15" s="2">
        <v>477100.0</v>
      </c>
    </row>
    <row r="16" ht="14.25" customHeight="1">
      <c r="A16" s="2">
        <v>15.0</v>
      </c>
      <c r="B16" s="2" t="s">
        <v>2477</v>
      </c>
      <c r="C16" s="2" t="s">
        <v>2494</v>
      </c>
      <c r="D16" s="2">
        <v>152.0</v>
      </c>
      <c r="E16" s="2">
        <v>1.0</v>
      </c>
      <c r="F16" s="2">
        <v>120.0</v>
      </c>
      <c r="G16" s="2">
        <v>465600.0</v>
      </c>
    </row>
    <row r="17" ht="14.25" customHeight="1">
      <c r="A17" s="2">
        <v>16.0</v>
      </c>
      <c r="B17" s="2" t="s">
        <v>2475</v>
      </c>
      <c r="C17" s="2" t="s">
        <v>2495</v>
      </c>
      <c r="D17" s="2">
        <v>143.0</v>
      </c>
      <c r="E17" s="2">
        <v>1.0</v>
      </c>
      <c r="F17" s="2">
        <v>60.0</v>
      </c>
      <c r="G17" s="2">
        <v>464700.0</v>
      </c>
    </row>
    <row r="18" ht="14.25" customHeight="1">
      <c r="A18" s="2">
        <v>17.0</v>
      </c>
      <c r="B18" s="2" t="s">
        <v>2477</v>
      </c>
      <c r="C18" s="2" t="s">
        <v>2496</v>
      </c>
      <c r="D18" s="2">
        <v>152.0</v>
      </c>
      <c r="E18" s="2">
        <v>1.0</v>
      </c>
      <c r="F18" s="2">
        <v>165.0</v>
      </c>
      <c r="G18" s="2">
        <v>462100.0</v>
      </c>
    </row>
    <row r="19" ht="14.25" customHeight="1">
      <c r="A19" s="2">
        <v>18.0</v>
      </c>
      <c r="B19" s="2" t="s">
        <v>2497</v>
      </c>
      <c r="C19" s="2" t="s">
        <v>2498</v>
      </c>
      <c r="D19" s="2">
        <v>151.0</v>
      </c>
      <c r="E19" s="2">
        <v>1.0</v>
      </c>
      <c r="F19" s="2">
        <v>66.0</v>
      </c>
      <c r="G19" s="2">
        <v>460700.0</v>
      </c>
    </row>
    <row r="20" ht="14.25" customHeight="1">
      <c r="A20" s="2">
        <v>19.0</v>
      </c>
      <c r="B20" s="2" t="s">
        <v>2488</v>
      </c>
      <c r="C20" s="2" t="s">
        <v>2499</v>
      </c>
      <c r="D20" s="2">
        <v>333.0</v>
      </c>
      <c r="E20" s="2">
        <v>1.0</v>
      </c>
      <c r="F20" s="2">
        <v>80.0</v>
      </c>
      <c r="G20" s="2">
        <v>459900.0</v>
      </c>
    </row>
    <row r="21" ht="14.25" customHeight="1">
      <c r="A21" s="2">
        <v>20.0</v>
      </c>
      <c r="B21" s="2" t="s">
        <v>2488</v>
      </c>
      <c r="C21" s="2" t="s">
        <v>2500</v>
      </c>
      <c r="D21" s="2">
        <v>333.0</v>
      </c>
      <c r="E21" s="2">
        <v>1.0</v>
      </c>
      <c r="F21" s="2">
        <v>200.0</v>
      </c>
      <c r="G21" s="2">
        <v>447800.0</v>
      </c>
    </row>
    <row r="22" ht="14.25" customHeight="1">
      <c r="A22" s="2">
        <v>21.0</v>
      </c>
      <c r="B22" s="2" t="s">
        <v>2501</v>
      </c>
      <c r="C22" s="2" t="s">
        <v>2502</v>
      </c>
      <c r="D22" s="2">
        <v>199.0</v>
      </c>
      <c r="E22" s="2">
        <v>1.0</v>
      </c>
      <c r="F22" s="2">
        <v>105.0</v>
      </c>
      <c r="G22" s="2">
        <v>443800.0</v>
      </c>
    </row>
    <row r="23" ht="14.25" customHeight="1">
      <c r="A23" s="2">
        <v>22.0</v>
      </c>
      <c r="B23" s="2" t="s">
        <v>2503</v>
      </c>
      <c r="C23" s="2" t="s">
        <v>2504</v>
      </c>
      <c r="D23" s="2">
        <v>105.0</v>
      </c>
      <c r="E23" s="2">
        <v>1.0</v>
      </c>
      <c r="F23" s="2">
        <v>272.7</v>
      </c>
      <c r="G23" s="2">
        <v>443600.0</v>
      </c>
    </row>
    <row r="24" ht="14.25" customHeight="1">
      <c r="A24" s="2">
        <v>23.0</v>
      </c>
      <c r="B24" s="2" t="s">
        <v>2505</v>
      </c>
      <c r="C24" s="2" t="s">
        <v>2506</v>
      </c>
      <c r="D24" s="2">
        <v>429.0</v>
      </c>
      <c r="E24" s="2">
        <v>1.0</v>
      </c>
      <c r="F24" s="2">
        <v>150.0</v>
      </c>
      <c r="G24" s="2">
        <v>441000.0</v>
      </c>
    </row>
    <row r="25" ht="14.25" customHeight="1">
      <c r="A25" s="2">
        <v>24.0</v>
      </c>
      <c r="B25" s="2" t="s">
        <v>2507</v>
      </c>
      <c r="C25" s="2" t="s">
        <v>2508</v>
      </c>
      <c r="D25" s="2">
        <v>205.0</v>
      </c>
      <c r="E25" s="2">
        <v>1.0</v>
      </c>
      <c r="F25" s="2">
        <v>150.0</v>
      </c>
      <c r="G25" s="2">
        <v>437000.0</v>
      </c>
    </row>
    <row r="26" ht="14.25" customHeight="1">
      <c r="A26" s="2">
        <v>25.0</v>
      </c>
      <c r="B26" s="2" t="s">
        <v>2479</v>
      </c>
      <c r="C26" s="2" t="s">
        <v>2509</v>
      </c>
      <c r="D26" s="2">
        <v>182.0</v>
      </c>
      <c r="E26" s="2">
        <v>1.0</v>
      </c>
      <c r="F26" s="2">
        <v>50.0</v>
      </c>
      <c r="G26" s="2">
        <v>433000.0</v>
      </c>
    </row>
    <row r="27" ht="14.25" customHeight="1">
      <c r="A27" s="2">
        <v>26.0</v>
      </c>
      <c r="B27" s="2" t="s">
        <v>2477</v>
      </c>
      <c r="C27" s="2" t="s">
        <v>2510</v>
      </c>
      <c r="D27" s="2">
        <v>152.0</v>
      </c>
      <c r="E27" s="2">
        <v>1.0</v>
      </c>
      <c r="F27" s="2">
        <v>165.0</v>
      </c>
      <c r="G27" s="2">
        <v>429100.0</v>
      </c>
    </row>
    <row r="28" ht="14.25" customHeight="1">
      <c r="A28" s="2">
        <v>27.0</v>
      </c>
      <c r="B28" s="2" t="s">
        <v>2501</v>
      </c>
      <c r="C28" s="2" t="s">
        <v>2511</v>
      </c>
      <c r="D28" s="2">
        <v>199.0</v>
      </c>
      <c r="E28" s="2">
        <v>1.0</v>
      </c>
      <c r="F28" s="2">
        <v>99.0</v>
      </c>
      <c r="G28" s="2">
        <v>428300.0</v>
      </c>
    </row>
    <row r="29" ht="14.25" customHeight="1">
      <c r="A29" s="2">
        <v>28.0</v>
      </c>
      <c r="B29" s="2" t="s">
        <v>2512</v>
      </c>
      <c r="C29" s="2" t="s">
        <v>2513</v>
      </c>
      <c r="D29" s="2">
        <v>153.0</v>
      </c>
      <c r="E29" s="2">
        <v>1.0</v>
      </c>
      <c r="F29" s="2">
        <v>75.0</v>
      </c>
      <c r="G29" s="2">
        <v>428100.0</v>
      </c>
    </row>
    <row r="30" ht="14.25" customHeight="1">
      <c r="A30" s="2">
        <v>29.0</v>
      </c>
      <c r="B30" s="2" t="s">
        <v>2477</v>
      </c>
      <c r="C30" s="2" t="s">
        <v>2514</v>
      </c>
      <c r="D30" s="2">
        <v>152.0</v>
      </c>
      <c r="E30" s="2">
        <v>1.0</v>
      </c>
      <c r="F30" s="2">
        <v>90.0</v>
      </c>
      <c r="G30" s="2">
        <v>427800.0</v>
      </c>
    </row>
    <row r="31" ht="14.25" customHeight="1">
      <c r="A31" s="2">
        <v>30.0</v>
      </c>
      <c r="B31" s="2" t="s">
        <v>2501</v>
      </c>
      <c r="C31" s="2" t="s">
        <v>2515</v>
      </c>
      <c r="D31" s="2">
        <v>199.0</v>
      </c>
      <c r="E31" s="2">
        <v>1.0</v>
      </c>
      <c r="F31" s="2">
        <v>250.0</v>
      </c>
      <c r="G31" s="2">
        <v>426400.0</v>
      </c>
    </row>
    <row r="32" ht="14.25" customHeight="1">
      <c r="A32" s="2">
        <v>31.0</v>
      </c>
      <c r="B32" s="2" t="s">
        <v>2497</v>
      </c>
      <c r="C32" s="2" t="s">
        <v>2516</v>
      </c>
      <c r="D32" s="2">
        <v>151.0</v>
      </c>
      <c r="E32" s="2">
        <v>1.0</v>
      </c>
      <c r="F32" s="2">
        <v>80.0</v>
      </c>
      <c r="G32" s="2">
        <v>424600.0</v>
      </c>
    </row>
    <row r="33" ht="14.25" customHeight="1">
      <c r="A33" s="2">
        <v>32.0</v>
      </c>
      <c r="B33" s="2" t="s">
        <v>2491</v>
      </c>
      <c r="C33" s="2" t="s">
        <v>2517</v>
      </c>
      <c r="D33" s="2">
        <v>116.0</v>
      </c>
      <c r="E33" s="2">
        <v>1.0</v>
      </c>
      <c r="F33" s="2">
        <v>150.0</v>
      </c>
      <c r="G33" s="2">
        <v>422100.0</v>
      </c>
    </row>
    <row r="34" ht="14.25" customHeight="1">
      <c r="A34" s="2">
        <v>33.0</v>
      </c>
      <c r="B34" s="2" t="s">
        <v>2518</v>
      </c>
      <c r="C34" s="2" t="s">
        <v>2519</v>
      </c>
      <c r="D34" s="2">
        <v>161.0</v>
      </c>
      <c r="E34" s="2">
        <v>1.0</v>
      </c>
      <c r="F34" s="2">
        <v>100.0</v>
      </c>
      <c r="G34" s="2">
        <v>421900.0</v>
      </c>
    </row>
    <row r="35" ht="14.25" customHeight="1">
      <c r="A35" s="2">
        <v>34.0</v>
      </c>
      <c r="B35" s="2" t="s">
        <v>2491</v>
      </c>
      <c r="C35" s="2" t="s">
        <v>2520</v>
      </c>
      <c r="D35" s="2">
        <v>116.0</v>
      </c>
      <c r="E35" s="2">
        <v>1.0</v>
      </c>
      <c r="F35" s="2">
        <v>150.0</v>
      </c>
      <c r="G35" s="2">
        <v>419200.0</v>
      </c>
    </row>
    <row r="36" ht="14.25" customHeight="1">
      <c r="A36" s="2">
        <v>35.0</v>
      </c>
      <c r="B36" s="2" t="s">
        <v>2497</v>
      </c>
      <c r="C36" s="2" t="s">
        <v>2521</v>
      </c>
      <c r="D36" s="2">
        <v>151.0</v>
      </c>
      <c r="E36" s="2">
        <v>1.0</v>
      </c>
      <c r="F36" s="2">
        <v>80.0</v>
      </c>
      <c r="G36" s="2">
        <v>415700.0</v>
      </c>
    </row>
    <row r="37" ht="14.25" customHeight="1">
      <c r="A37" s="2">
        <v>36.0</v>
      </c>
      <c r="B37" s="2" t="s">
        <v>2491</v>
      </c>
      <c r="C37" s="2" t="s">
        <v>2522</v>
      </c>
      <c r="D37" s="2">
        <v>116.0</v>
      </c>
      <c r="E37" s="2">
        <v>1.0</v>
      </c>
      <c r="F37" s="2">
        <v>150.0</v>
      </c>
      <c r="G37" s="2">
        <v>414900.0</v>
      </c>
    </row>
    <row r="38" ht="14.25" customHeight="1">
      <c r="A38" s="2">
        <v>37.0</v>
      </c>
      <c r="B38" s="2" t="s">
        <v>2475</v>
      </c>
      <c r="C38" s="2" t="s">
        <v>2523</v>
      </c>
      <c r="D38" s="2">
        <v>143.0</v>
      </c>
      <c r="E38" s="2">
        <v>1.0</v>
      </c>
      <c r="F38" s="2">
        <v>160.0</v>
      </c>
      <c r="G38" s="2">
        <v>414600.0</v>
      </c>
    </row>
    <row r="39" ht="14.25" customHeight="1">
      <c r="A39" s="2">
        <v>38.0</v>
      </c>
      <c r="B39" s="2" t="s">
        <v>2524</v>
      </c>
      <c r="C39" s="2" t="s">
        <v>2525</v>
      </c>
      <c r="D39" s="2">
        <v>331.0</v>
      </c>
      <c r="E39" s="2">
        <v>1.0</v>
      </c>
      <c r="F39" s="2">
        <v>150.0</v>
      </c>
      <c r="G39" s="2">
        <v>414500.0</v>
      </c>
    </row>
    <row r="40" ht="14.25" customHeight="1">
      <c r="A40" s="2">
        <v>39.0</v>
      </c>
      <c r="B40" s="2" t="s">
        <v>2488</v>
      </c>
      <c r="C40" s="2" t="s">
        <v>2526</v>
      </c>
      <c r="D40" s="2">
        <v>333.0</v>
      </c>
      <c r="E40" s="2">
        <v>1.0</v>
      </c>
      <c r="F40" s="2">
        <v>80.0</v>
      </c>
      <c r="G40" s="2">
        <v>413700.0</v>
      </c>
    </row>
    <row r="41" ht="14.25" customHeight="1">
      <c r="A41" s="2">
        <v>40.0</v>
      </c>
      <c r="B41" s="2" t="s">
        <v>2501</v>
      </c>
      <c r="C41" s="2" t="s">
        <v>2527</v>
      </c>
      <c r="D41" s="2">
        <v>199.0</v>
      </c>
      <c r="E41" s="2">
        <v>1.0</v>
      </c>
      <c r="F41" s="2">
        <v>100.0</v>
      </c>
      <c r="G41" s="2">
        <v>413100.0</v>
      </c>
    </row>
    <row r="42" ht="14.25" customHeight="1">
      <c r="A42" s="2">
        <v>41.0</v>
      </c>
      <c r="B42" s="2" t="s">
        <v>2501</v>
      </c>
      <c r="C42" s="2" t="s">
        <v>2528</v>
      </c>
      <c r="D42" s="2">
        <v>199.0</v>
      </c>
      <c r="E42" s="2">
        <v>1.0</v>
      </c>
      <c r="F42" s="2">
        <v>75.0</v>
      </c>
      <c r="G42" s="2">
        <v>411900.0</v>
      </c>
    </row>
    <row r="43" ht="14.25" customHeight="1">
      <c r="A43" s="2">
        <v>42.0</v>
      </c>
      <c r="B43" s="2" t="s">
        <v>2488</v>
      </c>
      <c r="C43" s="2" t="s">
        <v>2529</v>
      </c>
      <c r="D43" s="2">
        <v>333.0</v>
      </c>
      <c r="E43" s="2">
        <v>1.0</v>
      </c>
      <c r="F43" s="2">
        <v>80.0</v>
      </c>
      <c r="G43" s="2">
        <v>409000.0</v>
      </c>
    </row>
    <row r="44" ht="14.25" customHeight="1">
      <c r="A44" s="2">
        <v>43.0</v>
      </c>
      <c r="B44" s="2" t="s">
        <v>2475</v>
      </c>
      <c r="C44" s="2" t="s">
        <v>2530</v>
      </c>
      <c r="D44" s="2">
        <v>143.0</v>
      </c>
      <c r="E44" s="2">
        <v>1.0</v>
      </c>
      <c r="F44" s="2">
        <v>60.0</v>
      </c>
      <c r="G44" s="2">
        <v>406400.0</v>
      </c>
    </row>
    <row r="45" ht="14.25" customHeight="1">
      <c r="A45" s="2">
        <v>44.0</v>
      </c>
      <c r="B45" s="2" t="s">
        <v>2475</v>
      </c>
      <c r="C45" s="2" t="s">
        <v>2531</v>
      </c>
      <c r="D45" s="2">
        <v>143.0</v>
      </c>
      <c r="E45" s="2">
        <v>1.0</v>
      </c>
      <c r="F45" s="2">
        <v>75.0</v>
      </c>
      <c r="G45" s="2">
        <v>404900.0</v>
      </c>
    </row>
    <row r="46" ht="14.25" customHeight="1">
      <c r="A46" s="2">
        <v>45.0</v>
      </c>
      <c r="B46" s="2" t="s">
        <v>2477</v>
      </c>
      <c r="C46" s="2" t="s">
        <v>2532</v>
      </c>
      <c r="D46" s="2">
        <v>152.0</v>
      </c>
      <c r="E46" s="2">
        <v>1.0</v>
      </c>
      <c r="F46" s="2">
        <v>120.0</v>
      </c>
      <c r="G46" s="2">
        <v>404000.0</v>
      </c>
    </row>
    <row r="47" ht="14.25" customHeight="1">
      <c r="A47" s="2">
        <v>46.0</v>
      </c>
      <c r="B47" s="2" t="s">
        <v>2488</v>
      </c>
      <c r="C47" s="2" t="s">
        <v>2533</v>
      </c>
      <c r="D47" s="2">
        <v>333.0</v>
      </c>
      <c r="E47" s="2">
        <v>1.0</v>
      </c>
      <c r="F47" s="2">
        <v>80.0</v>
      </c>
      <c r="G47" s="2">
        <v>400800.0</v>
      </c>
    </row>
    <row r="48" ht="14.25" customHeight="1">
      <c r="A48" s="2">
        <v>47.0</v>
      </c>
      <c r="B48" s="2" t="s">
        <v>2534</v>
      </c>
      <c r="C48" s="2" t="s">
        <v>2535</v>
      </c>
      <c r="D48" s="2">
        <v>188.0</v>
      </c>
      <c r="E48" s="2">
        <v>1.0</v>
      </c>
      <c r="F48" s="2">
        <v>66.0</v>
      </c>
      <c r="G48" s="2">
        <v>400200.0</v>
      </c>
    </row>
    <row r="49" ht="14.25" customHeight="1">
      <c r="A49" s="2">
        <v>48.0</v>
      </c>
      <c r="B49" s="2" t="s">
        <v>2491</v>
      </c>
      <c r="C49" s="2" t="s">
        <v>2536</v>
      </c>
      <c r="D49" s="2">
        <v>116.0</v>
      </c>
      <c r="E49" s="2">
        <v>1.0</v>
      </c>
      <c r="F49" s="2">
        <v>150.0</v>
      </c>
      <c r="G49" s="2">
        <v>398500.0</v>
      </c>
    </row>
    <row r="50" ht="14.25" customHeight="1">
      <c r="A50" s="2">
        <v>49.0</v>
      </c>
      <c r="B50" s="2" t="s">
        <v>2488</v>
      </c>
      <c r="C50" s="2" t="s">
        <v>2537</v>
      </c>
      <c r="D50" s="2">
        <v>333.0</v>
      </c>
      <c r="E50" s="2">
        <v>1.0</v>
      </c>
      <c r="F50" s="2">
        <v>110.0</v>
      </c>
      <c r="G50" s="2">
        <v>397900.0</v>
      </c>
    </row>
    <row r="51" ht="14.25" customHeight="1">
      <c r="A51" s="2">
        <v>50.0</v>
      </c>
      <c r="B51" s="2" t="s">
        <v>2534</v>
      </c>
      <c r="C51" s="2" t="s">
        <v>2538</v>
      </c>
      <c r="D51" s="2">
        <v>188.0</v>
      </c>
      <c r="E51" s="2">
        <v>1.0</v>
      </c>
      <c r="F51" s="2">
        <v>200.0</v>
      </c>
      <c r="G51" s="2">
        <v>397400.0</v>
      </c>
    </row>
    <row r="52" ht="14.25" customHeight="1">
      <c r="A52" s="2">
        <v>51.0</v>
      </c>
      <c r="B52" s="2" t="s">
        <v>2475</v>
      </c>
      <c r="C52" s="2" t="s">
        <v>2539</v>
      </c>
      <c r="D52" s="2">
        <v>143.0</v>
      </c>
      <c r="E52" s="2">
        <v>1.0</v>
      </c>
      <c r="F52" s="2">
        <v>60.0</v>
      </c>
      <c r="G52" s="2">
        <v>396600.0</v>
      </c>
    </row>
    <row r="53" ht="14.25" customHeight="1">
      <c r="A53" s="2">
        <v>52.0</v>
      </c>
      <c r="B53" s="2" t="s">
        <v>2501</v>
      </c>
      <c r="C53" s="2" t="s">
        <v>2540</v>
      </c>
      <c r="D53" s="2">
        <v>199.0</v>
      </c>
      <c r="E53" s="2">
        <v>1.0</v>
      </c>
      <c r="F53" s="2">
        <v>120.0</v>
      </c>
      <c r="G53" s="2">
        <v>395200.0</v>
      </c>
    </row>
    <row r="54" ht="14.25" customHeight="1">
      <c r="A54" s="2">
        <v>53.0</v>
      </c>
      <c r="B54" s="2" t="s">
        <v>2541</v>
      </c>
      <c r="C54" s="2" t="s">
        <v>2542</v>
      </c>
      <c r="D54" s="2">
        <v>195.0</v>
      </c>
      <c r="E54" s="2">
        <v>1.0</v>
      </c>
      <c r="F54" s="2">
        <v>75.0</v>
      </c>
      <c r="G54" s="2">
        <v>394400.0</v>
      </c>
    </row>
    <row r="55" ht="14.25" customHeight="1">
      <c r="A55" s="2">
        <v>54.0</v>
      </c>
      <c r="B55" s="2" t="s">
        <v>2503</v>
      </c>
      <c r="C55" s="2" t="s">
        <v>2543</v>
      </c>
      <c r="D55" s="2">
        <v>105.0</v>
      </c>
      <c r="E55" s="2">
        <v>1.0</v>
      </c>
      <c r="F55" s="2">
        <v>86.14</v>
      </c>
      <c r="G55" s="2">
        <v>390600.0</v>
      </c>
    </row>
    <row r="56" ht="14.25" customHeight="1">
      <c r="A56" s="2">
        <v>55.0</v>
      </c>
      <c r="B56" s="2" t="s">
        <v>2503</v>
      </c>
      <c r="C56" s="2" t="s">
        <v>2544</v>
      </c>
      <c r="D56" s="2">
        <v>105.0</v>
      </c>
      <c r="E56" s="2">
        <v>1.0</v>
      </c>
      <c r="F56" s="2">
        <v>86.0</v>
      </c>
      <c r="G56" s="2">
        <v>390200.0</v>
      </c>
    </row>
    <row r="57" ht="14.25" customHeight="1">
      <c r="A57" s="2">
        <v>56.0</v>
      </c>
      <c r="B57" s="2" t="s">
        <v>2477</v>
      </c>
      <c r="C57" s="2" t="s">
        <v>2545</v>
      </c>
      <c r="D57" s="2">
        <v>152.0</v>
      </c>
      <c r="E57" s="2">
        <v>1.0</v>
      </c>
      <c r="F57" s="2">
        <v>90.0</v>
      </c>
      <c r="G57" s="2">
        <v>387500.0</v>
      </c>
    </row>
    <row r="58" ht="14.25" customHeight="1">
      <c r="A58" s="2">
        <v>57.0</v>
      </c>
      <c r="B58" s="2" t="s">
        <v>2488</v>
      </c>
      <c r="C58" s="2" t="s">
        <v>2546</v>
      </c>
      <c r="D58" s="2">
        <v>333.0</v>
      </c>
      <c r="E58" s="2">
        <v>1.0</v>
      </c>
      <c r="F58" s="2">
        <v>80.0</v>
      </c>
      <c r="G58" s="2">
        <v>385200.0</v>
      </c>
    </row>
    <row r="59" ht="14.25" customHeight="1">
      <c r="A59" s="2">
        <v>58.0</v>
      </c>
      <c r="B59" s="2" t="s">
        <v>2503</v>
      </c>
      <c r="C59" s="2" t="s">
        <v>2547</v>
      </c>
      <c r="D59" s="2">
        <v>105.0</v>
      </c>
      <c r="E59" s="2">
        <v>1.0</v>
      </c>
      <c r="F59" s="2">
        <v>99.8</v>
      </c>
      <c r="G59" s="2">
        <v>384900.0</v>
      </c>
    </row>
    <row r="60" ht="14.25" customHeight="1">
      <c r="A60" s="2">
        <v>59.0</v>
      </c>
      <c r="B60" s="2" t="s">
        <v>2491</v>
      </c>
      <c r="C60" s="2" t="s">
        <v>2548</v>
      </c>
      <c r="D60" s="2">
        <v>116.0</v>
      </c>
      <c r="E60" s="2">
        <v>1.0</v>
      </c>
      <c r="F60" s="2">
        <v>100.0</v>
      </c>
      <c r="G60" s="2">
        <v>384900.0</v>
      </c>
    </row>
    <row r="61" ht="14.25" customHeight="1">
      <c r="A61" s="2">
        <v>60.0</v>
      </c>
      <c r="B61" s="2" t="s">
        <v>2549</v>
      </c>
      <c r="C61" s="2" t="s">
        <v>2550</v>
      </c>
      <c r="D61" s="2">
        <v>115.0</v>
      </c>
      <c r="E61" s="2">
        <v>1.0</v>
      </c>
      <c r="F61" s="2">
        <v>50.0</v>
      </c>
      <c r="G61" s="2">
        <v>382700.0</v>
      </c>
    </row>
    <row r="62" ht="14.25" customHeight="1">
      <c r="A62" s="2">
        <v>61.0</v>
      </c>
      <c r="B62" s="2" t="s">
        <v>2491</v>
      </c>
      <c r="C62" s="2" t="s">
        <v>2551</v>
      </c>
      <c r="D62" s="2">
        <v>116.0</v>
      </c>
      <c r="E62" s="2">
        <v>1.0</v>
      </c>
      <c r="F62" s="2">
        <v>150.0</v>
      </c>
      <c r="G62" s="2">
        <v>382300.0</v>
      </c>
    </row>
    <row r="63" ht="14.25" customHeight="1">
      <c r="A63" s="2">
        <v>62.0</v>
      </c>
      <c r="B63" s="2" t="s">
        <v>2491</v>
      </c>
      <c r="C63" s="2" t="s">
        <v>2552</v>
      </c>
      <c r="D63" s="2">
        <v>116.0</v>
      </c>
      <c r="E63" s="2">
        <v>1.0</v>
      </c>
      <c r="F63" s="2">
        <v>165.0</v>
      </c>
      <c r="G63" s="2">
        <v>380300.0</v>
      </c>
    </row>
    <row r="64" ht="14.25" customHeight="1">
      <c r="A64" s="2">
        <v>63.0</v>
      </c>
      <c r="B64" s="2" t="s">
        <v>2553</v>
      </c>
      <c r="C64" s="2" t="s">
        <v>2554</v>
      </c>
      <c r="D64" s="2">
        <v>187.0</v>
      </c>
      <c r="E64" s="2">
        <v>1.0</v>
      </c>
      <c r="F64" s="2">
        <v>100.0</v>
      </c>
      <c r="G64" s="2">
        <v>380300.0</v>
      </c>
    </row>
    <row r="65" ht="14.25" customHeight="1">
      <c r="A65" s="2">
        <v>64.0</v>
      </c>
      <c r="B65" s="2" t="s">
        <v>2491</v>
      </c>
      <c r="C65" s="2" t="s">
        <v>2555</v>
      </c>
      <c r="D65" s="2">
        <v>116.0</v>
      </c>
      <c r="E65" s="2">
        <v>1.0</v>
      </c>
      <c r="F65" s="2">
        <v>150.0</v>
      </c>
      <c r="G65" s="2">
        <v>379900.0</v>
      </c>
    </row>
    <row r="66" ht="14.25" customHeight="1">
      <c r="A66" s="2">
        <v>65.0</v>
      </c>
      <c r="B66" s="2" t="s">
        <v>2488</v>
      </c>
      <c r="C66" s="2" t="s">
        <v>2556</v>
      </c>
      <c r="D66" s="2">
        <v>333.0</v>
      </c>
      <c r="E66" s="2">
        <v>1.0</v>
      </c>
      <c r="F66" s="2">
        <v>100.0</v>
      </c>
      <c r="G66" s="2">
        <v>377200.0</v>
      </c>
    </row>
    <row r="67" ht="14.25" customHeight="1">
      <c r="A67" s="2">
        <v>66.0</v>
      </c>
      <c r="B67" s="2" t="s">
        <v>2501</v>
      </c>
      <c r="C67" s="2" t="s">
        <v>2557</v>
      </c>
      <c r="D67" s="2">
        <v>199.0</v>
      </c>
      <c r="E67" s="2">
        <v>1.0</v>
      </c>
      <c r="F67" s="2">
        <v>100.0</v>
      </c>
      <c r="G67" s="2">
        <v>375900.0</v>
      </c>
    </row>
    <row r="68" ht="14.25" customHeight="1">
      <c r="A68" s="2">
        <v>67.0</v>
      </c>
      <c r="B68" s="2" t="s">
        <v>2558</v>
      </c>
      <c r="C68" s="2" t="s">
        <v>2559</v>
      </c>
      <c r="D68" s="2">
        <v>357.0</v>
      </c>
      <c r="E68" s="2">
        <v>1.0</v>
      </c>
      <c r="F68" s="2">
        <v>100.0</v>
      </c>
      <c r="G68" s="2">
        <v>374200.0</v>
      </c>
    </row>
    <row r="69" ht="14.25" customHeight="1">
      <c r="A69" s="2">
        <v>68.0</v>
      </c>
      <c r="B69" s="2" t="s">
        <v>2477</v>
      </c>
      <c r="C69" s="2" t="s">
        <v>2560</v>
      </c>
      <c r="D69" s="2">
        <v>152.0</v>
      </c>
      <c r="E69" s="2">
        <v>1.0</v>
      </c>
      <c r="F69" s="2">
        <v>120.0</v>
      </c>
      <c r="G69" s="2">
        <v>373400.0</v>
      </c>
    </row>
    <row r="70" ht="14.25" customHeight="1">
      <c r="A70" s="2">
        <v>69.0</v>
      </c>
      <c r="B70" s="2" t="s">
        <v>2561</v>
      </c>
      <c r="C70" s="2" t="s">
        <v>2562</v>
      </c>
      <c r="D70" s="2">
        <v>162.0</v>
      </c>
      <c r="E70" s="2">
        <v>1.0</v>
      </c>
      <c r="F70" s="2">
        <v>90.0</v>
      </c>
      <c r="G70" s="2">
        <v>372700.0</v>
      </c>
    </row>
    <row r="71" ht="14.25" customHeight="1">
      <c r="A71" s="2">
        <v>70.0</v>
      </c>
      <c r="B71" s="2" t="s">
        <v>2549</v>
      </c>
      <c r="C71" s="2" t="s">
        <v>2563</v>
      </c>
      <c r="D71" s="2">
        <v>115.0</v>
      </c>
      <c r="E71" s="2">
        <v>1.0</v>
      </c>
      <c r="F71" s="2">
        <v>75.0</v>
      </c>
      <c r="G71" s="2">
        <v>372500.0</v>
      </c>
    </row>
    <row r="72" ht="14.25" customHeight="1">
      <c r="A72" s="2">
        <v>71.0</v>
      </c>
      <c r="B72" s="2" t="s">
        <v>2491</v>
      </c>
      <c r="C72" s="2" t="s">
        <v>2564</v>
      </c>
      <c r="D72" s="2">
        <v>116.0</v>
      </c>
      <c r="E72" s="2">
        <v>1.0</v>
      </c>
      <c r="F72" s="2">
        <v>150.0</v>
      </c>
      <c r="G72" s="2">
        <v>372500.0</v>
      </c>
    </row>
    <row r="73" ht="14.25" customHeight="1">
      <c r="A73" s="2">
        <v>72.0</v>
      </c>
      <c r="B73" s="2" t="s">
        <v>2477</v>
      </c>
      <c r="C73" s="2" t="s">
        <v>2565</v>
      </c>
      <c r="D73" s="2">
        <v>152.0</v>
      </c>
      <c r="E73" s="2">
        <v>1.0</v>
      </c>
      <c r="F73" s="2">
        <v>118.0</v>
      </c>
      <c r="G73" s="2">
        <v>372200.0</v>
      </c>
    </row>
    <row r="74" ht="14.25" customHeight="1">
      <c r="A74" s="2">
        <v>73.0</v>
      </c>
      <c r="B74" s="2" t="s">
        <v>2553</v>
      </c>
      <c r="C74" s="2" t="s">
        <v>2566</v>
      </c>
      <c r="D74" s="2">
        <v>187.0</v>
      </c>
      <c r="E74" s="2">
        <v>1.0</v>
      </c>
      <c r="F74" s="2">
        <v>200.0</v>
      </c>
      <c r="G74" s="2">
        <v>371200.0</v>
      </c>
    </row>
    <row r="75" ht="14.25" customHeight="1">
      <c r="A75" s="2">
        <v>74.0</v>
      </c>
      <c r="B75" s="2" t="s">
        <v>2491</v>
      </c>
      <c r="C75" s="2" t="s">
        <v>2567</v>
      </c>
      <c r="D75" s="2">
        <v>116.0</v>
      </c>
      <c r="E75" s="2">
        <v>1.0</v>
      </c>
      <c r="F75" s="2">
        <v>150.0</v>
      </c>
      <c r="G75" s="2">
        <v>370900.0</v>
      </c>
    </row>
    <row r="76" ht="14.25" customHeight="1">
      <c r="A76" s="2">
        <v>75.0</v>
      </c>
      <c r="B76" s="2" t="s">
        <v>2512</v>
      </c>
      <c r="C76" s="2" t="s">
        <v>2568</v>
      </c>
      <c r="D76" s="2">
        <v>153.0</v>
      </c>
      <c r="E76" s="2">
        <v>1.0</v>
      </c>
      <c r="F76" s="2">
        <v>100.0</v>
      </c>
      <c r="G76" s="2">
        <v>369900.0</v>
      </c>
    </row>
    <row r="77" ht="14.25" customHeight="1">
      <c r="A77" s="2">
        <v>76.0</v>
      </c>
      <c r="B77" s="2" t="s">
        <v>2477</v>
      </c>
      <c r="C77" s="2" t="s">
        <v>2569</v>
      </c>
      <c r="D77" s="2">
        <v>152.0</v>
      </c>
      <c r="E77" s="2">
        <v>1.0</v>
      </c>
      <c r="F77" s="2">
        <v>111.53</v>
      </c>
      <c r="G77" s="2">
        <v>368200.0</v>
      </c>
    </row>
    <row r="78" ht="14.25" customHeight="1">
      <c r="A78" s="2">
        <v>77.0</v>
      </c>
      <c r="B78" s="2" t="s">
        <v>2503</v>
      </c>
      <c r="C78" s="2" t="s">
        <v>2570</v>
      </c>
      <c r="D78" s="2">
        <v>105.0</v>
      </c>
      <c r="E78" s="2">
        <v>1.0</v>
      </c>
      <c r="F78" s="2">
        <v>120.0</v>
      </c>
      <c r="G78" s="2">
        <v>366500.0</v>
      </c>
    </row>
    <row r="79" ht="14.25" customHeight="1">
      <c r="A79" s="2">
        <v>78.0</v>
      </c>
      <c r="B79" s="2" t="s">
        <v>2571</v>
      </c>
      <c r="C79" s="2" t="s">
        <v>2572</v>
      </c>
      <c r="D79" s="2">
        <v>185.0</v>
      </c>
      <c r="E79" s="2">
        <v>1.0</v>
      </c>
      <c r="F79" s="2">
        <v>200.0</v>
      </c>
      <c r="G79" s="2">
        <v>363600.0</v>
      </c>
    </row>
    <row r="80" ht="14.25" customHeight="1">
      <c r="A80" s="2">
        <v>79.0</v>
      </c>
      <c r="B80" s="2" t="s">
        <v>2503</v>
      </c>
      <c r="C80" s="2" t="s">
        <v>2573</v>
      </c>
      <c r="D80" s="2">
        <v>105.0</v>
      </c>
      <c r="E80" s="2">
        <v>1.0</v>
      </c>
      <c r="F80" s="2">
        <v>165.0</v>
      </c>
      <c r="G80" s="2">
        <v>363400.0</v>
      </c>
    </row>
    <row r="81" ht="14.25" customHeight="1">
      <c r="A81" s="2">
        <v>80.0</v>
      </c>
      <c r="B81" s="2" t="s">
        <v>2558</v>
      </c>
      <c r="C81" s="2" t="s">
        <v>2574</v>
      </c>
      <c r="D81" s="2">
        <v>357.0</v>
      </c>
      <c r="E81" s="2">
        <v>1.0</v>
      </c>
      <c r="F81" s="2">
        <v>85.0</v>
      </c>
      <c r="G81" s="2">
        <v>361300.0</v>
      </c>
    </row>
    <row r="82" ht="14.25" customHeight="1">
      <c r="A82" s="2">
        <v>81.0</v>
      </c>
      <c r="B82" s="2" t="s">
        <v>2488</v>
      </c>
      <c r="C82" s="2" t="s">
        <v>2575</v>
      </c>
      <c r="D82" s="2">
        <v>333.0</v>
      </c>
      <c r="E82" s="2">
        <v>1.0</v>
      </c>
      <c r="F82" s="2">
        <v>70.0</v>
      </c>
      <c r="G82" s="2">
        <v>361100.0</v>
      </c>
    </row>
    <row r="83" ht="14.25" customHeight="1">
      <c r="A83" s="2">
        <v>82.0</v>
      </c>
      <c r="B83" s="2" t="s">
        <v>2576</v>
      </c>
      <c r="C83" s="2" t="s">
        <v>2577</v>
      </c>
      <c r="D83" s="2">
        <v>197.0</v>
      </c>
      <c r="E83" s="2">
        <v>1.0</v>
      </c>
      <c r="F83" s="2">
        <v>150.0</v>
      </c>
      <c r="G83" s="2">
        <v>359800.0</v>
      </c>
    </row>
    <row r="84" ht="14.25" customHeight="1">
      <c r="A84" s="2">
        <v>83.0</v>
      </c>
      <c r="B84" s="2" t="s">
        <v>2558</v>
      </c>
      <c r="C84" s="2" t="s">
        <v>2578</v>
      </c>
      <c r="D84" s="2">
        <v>357.0</v>
      </c>
      <c r="E84" s="2">
        <v>1.0</v>
      </c>
      <c r="F84" s="2">
        <v>107.0</v>
      </c>
      <c r="G84" s="2">
        <v>358500.0</v>
      </c>
    </row>
    <row r="85" ht="14.25" customHeight="1">
      <c r="A85" s="2">
        <v>84.0</v>
      </c>
      <c r="B85" s="2" t="s">
        <v>2501</v>
      </c>
      <c r="C85" s="2" t="s">
        <v>2579</v>
      </c>
      <c r="D85" s="2">
        <v>199.0</v>
      </c>
      <c r="E85" s="2">
        <v>1.0</v>
      </c>
      <c r="F85" s="2">
        <v>112.5</v>
      </c>
      <c r="G85" s="2">
        <v>357600.0</v>
      </c>
    </row>
    <row r="86" ht="14.25" customHeight="1">
      <c r="A86" s="2">
        <v>85.0</v>
      </c>
      <c r="B86" s="2" t="s">
        <v>2491</v>
      </c>
      <c r="C86" s="2" t="s">
        <v>2580</v>
      </c>
      <c r="D86" s="2">
        <v>116.0</v>
      </c>
      <c r="E86" s="2">
        <v>1.0</v>
      </c>
      <c r="F86" s="2">
        <v>100.0</v>
      </c>
      <c r="G86" s="2">
        <v>356800.0</v>
      </c>
    </row>
    <row r="87" ht="14.25" customHeight="1">
      <c r="A87" s="2">
        <v>86.0</v>
      </c>
      <c r="B87" s="2" t="s">
        <v>2477</v>
      </c>
      <c r="C87" s="2" t="s">
        <v>2581</v>
      </c>
      <c r="D87" s="2">
        <v>152.0</v>
      </c>
      <c r="E87" s="2">
        <v>1.0</v>
      </c>
      <c r="F87" s="2">
        <v>120.0</v>
      </c>
      <c r="G87" s="2">
        <v>356100.0</v>
      </c>
    </row>
    <row r="88" ht="14.25" customHeight="1">
      <c r="A88" s="2">
        <v>87.0</v>
      </c>
      <c r="B88" s="2" t="s">
        <v>2582</v>
      </c>
      <c r="C88" s="2" t="s">
        <v>2583</v>
      </c>
      <c r="D88" s="2">
        <v>183.0</v>
      </c>
      <c r="E88" s="2">
        <v>1.0</v>
      </c>
      <c r="F88" s="2">
        <v>100.0</v>
      </c>
      <c r="G88" s="2">
        <v>354800.0</v>
      </c>
    </row>
    <row r="89" ht="14.25" customHeight="1">
      <c r="A89" s="2">
        <v>88.0</v>
      </c>
      <c r="B89" s="2" t="s">
        <v>2491</v>
      </c>
      <c r="C89" s="2" t="s">
        <v>2584</v>
      </c>
      <c r="D89" s="2">
        <v>116.0</v>
      </c>
      <c r="E89" s="2">
        <v>1.0</v>
      </c>
      <c r="F89" s="2">
        <v>150.0</v>
      </c>
      <c r="G89" s="2">
        <v>353400.0</v>
      </c>
    </row>
    <row r="90" ht="14.25" customHeight="1">
      <c r="A90" s="2">
        <v>89.0</v>
      </c>
      <c r="B90" s="2" t="s">
        <v>2561</v>
      </c>
      <c r="C90" s="2" t="s">
        <v>2585</v>
      </c>
      <c r="D90" s="2">
        <v>162.0</v>
      </c>
      <c r="E90" s="2">
        <v>1.0</v>
      </c>
      <c r="F90" s="2">
        <v>50.0</v>
      </c>
      <c r="G90" s="2">
        <v>353000.0</v>
      </c>
    </row>
    <row r="91" ht="14.25" customHeight="1">
      <c r="A91" s="2">
        <v>90.0</v>
      </c>
      <c r="B91" s="2" t="s">
        <v>2497</v>
      </c>
      <c r="C91" s="2" t="s">
        <v>2586</v>
      </c>
      <c r="D91" s="2">
        <v>151.0</v>
      </c>
      <c r="E91" s="2">
        <v>1.0</v>
      </c>
      <c r="F91" s="2">
        <v>50.0</v>
      </c>
      <c r="G91" s="2">
        <v>352300.0</v>
      </c>
    </row>
    <row r="92" ht="14.25" customHeight="1">
      <c r="A92" s="2">
        <v>91.0</v>
      </c>
      <c r="B92" s="2" t="s">
        <v>2558</v>
      </c>
      <c r="C92" s="2" t="s">
        <v>2587</v>
      </c>
      <c r="D92" s="2">
        <v>357.0</v>
      </c>
      <c r="E92" s="2">
        <v>1.0</v>
      </c>
      <c r="F92" s="2">
        <v>85.0</v>
      </c>
      <c r="G92" s="2">
        <v>352200.0</v>
      </c>
    </row>
    <row r="93" ht="14.25" customHeight="1">
      <c r="A93" s="2">
        <v>92.0</v>
      </c>
      <c r="B93" s="2" t="s">
        <v>2477</v>
      </c>
      <c r="C93" s="2" t="s">
        <v>2588</v>
      </c>
      <c r="D93" s="2">
        <v>152.0</v>
      </c>
      <c r="E93" s="2">
        <v>1.0</v>
      </c>
      <c r="F93" s="2">
        <v>90.0</v>
      </c>
      <c r="G93" s="2">
        <v>352000.0</v>
      </c>
    </row>
    <row r="94" ht="14.25" customHeight="1">
      <c r="A94" s="2">
        <v>93.0</v>
      </c>
      <c r="B94" s="2" t="s">
        <v>2503</v>
      </c>
      <c r="C94" s="2" t="s">
        <v>2589</v>
      </c>
      <c r="D94" s="2">
        <v>105.0</v>
      </c>
      <c r="E94" s="2">
        <v>1.0</v>
      </c>
      <c r="F94" s="2">
        <v>118.0</v>
      </c>
      <c r="G94" s="2">
        <v>351600.0</v>
      </c>
    </row>
    <row r="95" ht="14.25" customHeight="1">
      <c r="A95" s="2">
        <v>94.0</v>
      </c>
      <c r="B95" s="2" t="s">
        <v>2561</v>
      </c>
      <c r="C95" s="2" t="s">
        <v>2590</v>
      </c>
      <c r="D95" s="2">
        <v>162.0</v>
      </c>
      <c r="E95" s="2">
        <v>1.0</v>
      </c>
      <c r="F95" s="2">
        <v>100.0</v>
      </c>
      <c r="G95" s="2">
        <v>350800.0</v>
      </c>
    </row>
    <row r="96" ht="14.25" customHeight="1">
      <c r="A96" s="2">
        <v>95.0</v>
      </c>
      <c r="B96" s="2" t="s">
        <v>2479</v>
      </c>
      <c r="C96" s="2" t="s">
        <v>2591</v>
      </c>
      <c r="D96" s="2">
        <v>182.0</v>
      </c>
      <c r="E96" s="2">
        <v>1.0</v>
      </c>
      <c r="F96" s="2">
        <v>50.0</v>
      </c>
      <c r="G96" s="2">
        <v>350800.0</v>
      </c>
    </row>
    <row r="97" ht="14.25" customHeight="1">
      <c r="A97" s="2">
        <v>96.0</v>
      </c>
      <c r="B97" s="2" t="s">
        <v>2491</v>
      </c>
      <c r="C97" s="2" t="s">
        <v>2592</v>
      </c>
      <c r="D97" s="2">
        <v>116.0</v>
      </c>
      <c r="E97" s="2">
        <v>1.0</v>
      </c>
      <c r="F97" s="2">
        <v>150.0</v>
      </c>
      <c r="G97" s="2">
        <v>350600.0</v>
      </c>
    </row>
    <row r="98" ht="14.25" customHeight="1">
      <c r="A98" s="2">
        <v>97.0</v>
      </c>
      <c r="B98" s="2" t="s">
        <v>2561</v>
      </c>
      <c r="C98" s="2" t="s">
        <v>2593</v>
      </c>
      <c r="D98" s="2">
        <v>162.0</v>
      </c>
      <c r="E98" s="2">
        <v>1.0</v>
      </c>
      <c r="F98" s="2">
        <v>100.0</v>
      </c>
      <c r="G98" s="2">
        <v>350100.0</v>
      </c>
    </row>
    <row r="99" ht="14.25" customHeight="1">
      <c r="A99" s="2">
        <v>98.0</v>
      </c>
      <c r="B99" s="2" t="s">
        <v>2594</v>
      </c>
      <c r="C99" s="2" t="s">
        <v>2595</v>
      </c>
      <c r="D99" s="2">
        <v>184.0</v>
      </c>
      <c r="E99" s="2">
        <v>1.0</v>
      </c>
      <c r="F99" s="2">
        <v>80.0</v>
      </c>
      <c r="G99" s="2">
        <v>349800.0</v>
      </c>
    </row>
    <row r="100" ht="14.25" customHeight="1">
      <c r="A100" s="2">
        <v>99.0</v>
      </c>
      <c r="B100" s="2" t="s">
        <v>2503</v>
      </c>
      <c r="C100" s="2" t="s">
        <v>2596</v>
      </c>
      <c r="D100" s="2">
        <v>105.0</v>
      </c>
      <c r="E100" s="2">
        <v>1.0</v>
      </c>
      <c r="F100" s="2">
        <v>75.0</v>
      </c>
      <c r="G100" s="2">
        <v>349000.0</v>
      </c>
    </row>
    <row r="101" ht="14.25" customHeight="1">
      <c r="A101" s="2">
        <v>100.0</v>
      </c>
      <c r="B101" s="2" t="s">
        <v>2582</v>
      </c>
      <c r="C101" s="2" t="s">
        <v>2597</v>
      </c>
      <c r="D101" s="2">
        <v>183.0</v>
      </c>
      <c r="E101" s="2">
        <v>1.0</v>
      </c>
      <c r="F101" s="2">
        <v>110.0</v>
      </c>
      <c r="G101" s="2">
        <v>347900.0</v>
      </c>
    </row>
    <row r="102" ht="14.25" customHeight="1">
      <c r="A102" s="2">
        <v>101.0</v>
      </c>
      <c r="B102" s="2" t="s">
        <v>2553</v>
      </c>
      <c r="C102" s="2" t="s">
        <v>2598</v>
      </c>
      <c r="D102" s="2">
        <v>187.0</v>
      </c>
      <c r="E102" s="2">
        <v>1.0</v>
      </c>
      <c r="F102" s="2">
        <v>66.0</v>
      </c>
      <c r="G102" s="2">
        <v>347400.0</v>
      </c>
    </row>
    <row r="103" ht="14.25" customHeight="1">
      <c r="A103" s="2">
        <v>102.0</v>
      </c>
      <c r="B103" s="2" t="s">
        <v>2491</v>
      </c>
      <c r="C103" s="2" t="s">
        <v>2599</v>
      </c>
      <c r="D103" s="2">
        <v>116.0</v>
      </c>
      <c r="E103" s="2">
        <v>1.0</v>
      </c>
      <c r="F103" s="2">
        <v>150.0</v>
      </c>
      <c r="G103" s="2">
        <v>347100.0</v>
      </c>
    </row>
    <row r="104" ht="14.25" customHeight="1">
      <c r="A104" s="2">
        <v>103.0</v>
      </c>
      <c r="B104" s="2" t="s">
        <v>2475</v>
      </c>
      <c r="C104" s="2" t="s">
        <v>2600</v>
      </c>
      <c r="D104" s="2">
        <v>143.0</v>
      </c>
      <c r="E104" s="2">
        <v>1.0</v>
      </c>
      <c r="F104" s="2">
        <v>100.0</v>
      </c>
      <c r="G104" s="2">
        <v>346800.0</v>
      </c>
    </row>
    <row r="105" ht="14.25" customHeight="1">
      <c r="A105" s="2">
        <v>104.0</v>
      </c>
      <c r="B105" s="2" t="s">
        <v>2488</v>
      </c>
      <c r="C105" s="2" t="s">
        <v>2601</v>
      </c>
      <c r="D105" s="2">
        <v>333.0</v>
      </c>
      <c r="E105" s="2">
        <v>1.0</v>
      </c>
      <c r="F105" s="2">
        <v>85.0</v>
      </c>
      <c r="G105" s="2">
        <v>346600.0</v>
      </c>
    </row>
    <row r="106" ht="14.25" customHeight="1">
      <c r="A106" s="2">
        <v>105.0</v>
      </c>
      <c r="B106" s="2" t="s">
        <v>2558</v>
      </c>
      <c r="C106" s="2" t="s">
        <v>2602</v>
      </c>
      <c r="D106" s="2">
        <v>357.0</v>
      </c>
      <c r="E106" s="2">
        <v>1.0</v>
      </c>
      <c r="F106" s="2">
        <v>99.0</v>
      </c>
      <c r="G106" s="2">
        <v>345800.0</v>
      </c>
    </row>
    <row r="107" ht="14.25" customHeight="1">
      <c r="A107" s="2">
        <v>106.0</v>
      </c>
      <c r="B107" s="2" t="s">
        <v>2503</v>
      </c>
      <c r="C107" s="2" t="s">
        <v>2603</v>
      </c>
      <c r="D107" s="2">
        <v>105.0</v>
      </c>
      <c r="E107" s="2">
        <v>1.0</v>
      </c>
      <c r="F107" s="2">
        <v>100.0</v>
      </c>
      <c r="G107" s="2">
        <v>342500.0</v>
      </c>
    </row>
    <row r="108" ht="14.25" customHeight="1">
      <c r="A108" s="2">
        <v>107.0</v>
      </c>
      <c r="B108" s="2" t="s">
        <v>2604</v>
      </c>
      <c r="C108" s="2" t="s">
        <v>2605</v>
      </c>
      <c r="D108" s="2">
        <v>200.0</v>
      </c>
      <c r="E108" s="2">
        <v>1.0</v>
      </c>
      <c r="F108" s="2">
        <v>150.0</v>
      </c>
      <c r="G108" s="2">
        <v>342400.0</v>
      </c>
    </row>
    <row r="109" ht="14.25" customHeight="1">
      <c r="A109" s="2">
        <v>108.0</v>
      </c>
      <c r="B109" s="2" t="s">
        <v>2477</v>
      </c>
      <c r="C109" s="2" t="s">
        <v>2606</v>
      </c>
      <c r="D109" s="2">
        <v>152.0</v>
      </c>
      <c r="E109" s="2">
        <v>1.0</v>
      </c>
      <c r="F109" s="2">
        <v>90.0</v>
      </c>
      <c r="G109" s="2">
        <v>342200.0</v>
      </c>
    </row>
    <row r="110" ht="14.25" customHeight="1">
      <c r="A110" s="2">
        <v>109.0</v>
      </c>
      <c r="B110" s="2" t="s">
        <v>2479</v>
      </c>
      <c r="C110" s="2" t="s">
        <v>2607</v>
      </c>
      <c r="D110" s="2">
        <v>182.0</v>
      </c>
      <c r="E110" s="2">
        <v>1.0</v>
      </c>
      <c r="F110" s="2">
        <v>120.0</v>
      </c>
      <c r="G110" s="2">
        <v>341400.0</v>
      </c>
    </row>
    <row r="111" ht="14.25" customHeight="1">
      <c r="A111" s="2">
        <v>110.0</v>
      </c>
      <c r="B111" s="2" t="s">
        <v>2553</v>
      </c>
      <c r="C111" s="2" t="s">
        <v>2608</v>
      </c>
      <c r="D111" s="2">
        <v>187.0</v>
      </c>
      <c r="E111" s="2">
        <v>1.0</v>
      </c>
      <c r="F111" s="2">
        <v>100.0</v>
      </c>
      <c r="G111" s="2">
        <v>341300.0</v>
      </c>
    </row>
    <row r="112" ht="14.25" customHeight="1">
      <c r="A112" s="2">
        <v>111.0</v>
      </c>
      <c r="B112" s="2" t="s">
        <v>2576</v>
      </c>
      <c r="C112" s="2" t="s">
        <v>2609</v>
      </c>
      <c r="D112" s="2">
        <v>197.0</v>
      </c>
      <c r="E112" s="2">
        <v>1.0</v>
      </c>
      <c r="F112" s="2">
        <v>179.0</v>
      </c>
      <c r="G112" s="2">
        <v>341300.0</v>
      </c>
    </row>
    <row r="113" ht="14.25" customHeight="1">
      <c r="A113" s="2">
        <v>112.0</v>
      </c>
      <c r="B113" s="2" t="s">
        <v>2497</v>
      </c>
      <c r="C113" s="2" t="s">
        <v>2610</v>
      </c>
      <c r="D113" s="2">
        <v>151.0</v>
      </c>
      <c r="E113" s="2">
        <v>1.0</v>
      </c>
      <c r="F113" s="2">
        <v>70.0</v>
      </c>
      <c r="G113" s="2">
        <v>341000.0</v>
      </c>
    </row>
    <row r="114" ht="14.25" customHeight="1">
      <c r="A114" s="2">
        <v>113.0</v>
      </c>
      <c r="B114" s="2" t="s">
        <v>2488</v>
      </c>
      <c r="C114" s="2" t="s">
        <v>2611</v>
      </c>
      <c r="D114" s="2">
        <v>333.0</v>
      </c>
      <c r="E114" s="2">
        <v>1.0</v>
      </c>
      <c r="F114" s="2">
        <v>85.0</v>
      </c>
      <c r="G114" s="2">
        <v>340900.0</v>
      </c>
    </row>
    <row r="115" ht="14.25" customHeight="1">
      <c r="A115" s="2">
        <v>114.0</v>
      </c>
      <c r="B115" s="2" t="s">
        <v>2594</v>
      </c>
      <c r="C115" s="2" t="s">
        <v>2612</v>
      </c>
      <c r="D115" s="2">
        <v>184.0</v>
      </c>
      <c r="E115" s="2">
        <v>1.0</v>
      </c>
      <c r="F115" s="2">
        <v>90.0</v>
      </c>
      <c r="G115" s="2">
        <v>339900.0</v>
      </c>
    </row>
    <row r="116" ht="14.25" customHeight="1">
      <c r="A116" s="2">
        <v>115.0</v>
      </c>
      <c r="B116" s="2" t="s">
        <v>2491</v>
      </c>
      <c r="C116" s="2" t="s">
        <v>2613</v>
      </c>
      <c r="D116" s="2">
        <v>116.0</v>
      </c>
      <c r="E116" s="2">
        <v>1.0</v>
      </c>
      <c r="F116" s="2">
        <v>125.0</v>
      </c>
      <c r="G116" s="2">
        <v>339700.0</v>
      </c>
    </row>
    <row r="117" ht="14.25" customHeight="1">
      <c r="A117" s="2">
        <v>116.0</v>
      </c>
      <c r="B117" s="2" t="s">
        <v>2475</v>
      </c>
      <c r="C117" s="2" t="s">
        <v>2614</v>
      </c>
      <c r="D117" s="2">
        <v>143.0</v>
      </c>
      <c r="E117" s="2">
        <v>1.0</v>
      </c>
      <c r="F117" s="2">
        <v>50.0</v>
      </c>
      <c r="G117" s="2">
        <v>338500.0</v>
      </c>
    </row>
    <row r="118" ht="14.25" customHeight="1">
      <c r="A118" s="2">
        <v>117.0</v>
      </c>
      <c r="B118" s="2" t="s">
        <v>2503</v>
      </c>
      <c r="C118" s="2" t="s">
        <v>2615</v>
      </c>
      <c r="D118" s="2">
        <v>105.0</v>
      </c>
      <c r="E118" s="2">
        <v>1.0</v>
      </c>
      <c r="F118" s="2">
        <v>100.0</v>
      </c>
      <c r="G118" s="2">
        <v>336800.0</v>
      </c>
    </row>
    <row r="119" ht="14.25" customHeight="1">
      <c r="A119" s="2">
        <v>118.0</v>
      </c>
      <c r="B119" s="2" t="s">
        <v>2512</v>
      </c>
      <c r="C119" s="2" t="s">
        <v>2616</v>
      </c>
      <c r="D119" s="2">
        <v>153.0</v>
      </c>
      <c r="E119" s="2">
        <v>1.0</v>
      </c>
      <c r="F119" s="2">
        <v>100.0</v>
      </c>
      <c r="G119" s="2">
        <v>336200.0</v>
      </c>
    </row>
    <row r="120" ht="14.25" customHeight="1">
      <c r="A120" s="2">
        <v>119.0</v>
      </c>
      <c r="B120" s="2" t="s">
        <v>2497</v>
      </c>
      <c r="C120" s="2" t="s">
        <v>2617</v>
      </c>
      <c r="D120" s="2">
        <v>151.0</v>
      </c>
      <c r="E120" s="2">
        <v>1.0</v>
      </c>
      <c r="F120" s="2">
        <v>132.0</v>
      </c>
      <c r="G120" s="2">
        <v>335200.0</v>
      </c>
    </row>
    <row r="121" ht="14.25" customHeight="1">
      <c r="A121" s="2">
        <v>120.0</v>
      </c>
      <c r="B121" s="2" t="s">
        <v>2477</v>
      </c>
      <c r="C121" s="2" t="s">
        <v>2618</v>
      </c>
      <c r="D121" s="2">
        <v>152.0</v>
      </c>
      <c r="E121" s="2">
        <v>1.0</v>
      </c>
      <c r="F121" s="2">
        <v>533.0</v>
      </c>
      <c r="G121" s="2">
        <v>334800.0</v>
      </c>
    </row>
    <row r="122" ht="14.25" customHeight="1">
      <c r="A122" s="2">
        <v>121.0</v>
      </c>
      <c r="B122" s="2" t="s">
        <v>2507</v>
      </c>
      <c r="C122" s="2" t="s">
        <v>2619</v>
      </c>
      <c r="D122" s="2">
        <v>205.0</v>
      </c>
      <c r="E122" s="2">
        <v>1.0</v>
      </c>
      <c r="F122" s="2">
        <v>80.0</v>
      </c>
      <c r="G122" s="2">
        <v>334800.0</v>
      </c>
    </row>
    <row r="123" ht="14.25" customHeight="1">
      <c r="A123" s="2">
        <v>122.0</v>
      </c>
      <c r="B123" s="2" t="s">
        <v>2501</v>
      </c>
      <c r="C123" s="2" t="s">
        <v>2620</v>
      </c>
      <c r="D123" s="2">
        <v>199.0</v>
      </c>
      <c r="E123" s="2">
        <v>1.0</v>
      </c>
      <c r="F123" s="2">
        <v>250.0</v>
      </c>
      <c r="G123" s="2">
        <v>334500.0</v>
      </c>
    </row>
    <row r="124" ht="14.25" customHeight="1">
      <c r="A124" s="2">
        <v>123.0</v>
      </c>
      <c r="B124" s="2" t="s">
        <v>2621</v>
      </c>
      <c r="C124" s="2" t="s">
        <v>2622</v>
      </c>
      <c r="D124" s="2">
        <v>403.0</v>
      </c>
      <c r="E124" s="2">
        <v>1.0</v>
      </c>
      <c r="F124" s="2">
        <v>132.0</v>
      </c>
      <c r="G124" s="2">
        <v>334300.0</v>
      </c>
    </row>
    <row r="125" ht="14.25" customHeight="1">
      <c r="A125" s="2">
        <v>124.0</v>
      </c>
      <c r="B125" s="2" t="s">
        <v>2512</v>
      </c>
      <c r="C125" s="2" t="s">
        <v>2623</v>
      </c>
      <c r="D125" s="2">
        <v>153.0</v>
      </c>
      <c r="E125" s="2">
        <v>1.0</v>
      </c>
      <c r="F125" s="2">
        <v>100.0</v>
      </c>
      <c r="G125" s="2">
        <v>333700.0</v>
      </c>
    </row>
    <row r="126" ht="14.25" customHeight="1">
      <c r="A126" s="2">
        <v>125.0</v>
      </c>
      <c r="B126" s="2" t="s">
        <v>2621</v>
      </c>
      <c r="C126" s="2" t="s">
        <v>2624</v>
      </c>
      <c r="D126" s="2">
        <v>403.0</v>
      </c>
      <c r="E126" s="2">
        <v>1.0</v>
      </c>
      <c r="F126" s="2">
        <v>250.0</v>
      </c>
      <c r="G126" s="2">
        <v>333300.0</v>
      </c>
    </row>
    <row r="127" ht="14.25" customHeight="1">
      <c r="A127" s="2">
        <v>126.0</v>
      </c>
      <c r="B127" s="2" t="s">
        <v>2503</v>
      </c>
      <c r="C127" s="2" t="s">
        <v>2625</v>
      </c>
      <c r="D127" s="2">
        <v>105.0</v>
      </c>
      <c r="E127" s="2">
        <v>1.0</v>
      </c>
      <c r="F127" s="2">
        <v>75.0</v>
      </c>
      <c r="G127" s="2">
        <v>332900.0</v>
      </c>
    </row>
    <row r="128" ht="14.25" customHeight="1">
      <c r="A128" s="2">
        <v>127.0</v>
      </c>
      <c r="B128" s="2" t="s">
        <v>2491</v>
      </c>
      <c r="C128" s="2" t="s">
        <v>2626</v>
      </c>
      <c r="D128" s="2">
        <v>116.0</v>
      </c>
      <c r="E128" s="2">
        <v>1.0</v>
      </c>
      <c r="F128" s="2">
        <v>200.0</v>
      </c>
      <c r="G128" s="2">
        <v>332400.0</v>
      </c>
    </row>
    <row r="129" ht="14.25" customHeight="1">
      <c r="A129" s="2">
        <v>128.0</v>
      </c>
      <c r="B129" s="2" t="s">
        <v>2477</v>
      </c>
      <c r="C129" s="2" t="s">
        <v>2627</v>
      </c>
      <c r="D129" s="2">
        <v>152.0</v>
      </c>
      <c r="E129" s="2">
        <v>1.0</v>
      </c>
      <c r="F129" s="2">
        <v>130.0</v>
      </c>
      <c r="G129" s="2">
        <v>332300.0</v>
      </c>
    </row>
    <row r="130" ht="14.25" customHeight="1">
      <c r="A130" s="2">
        <v>129.0</v>
      </c>
      <c r="B130" s="2" t="s">
        <v>2594</v>
      </c>
      <c r="C130" s="2" t="s">
        <v>2628</v>
      </c>
      <c r="D130" s="2">
        <v>184.0</v>
      </c>
      <c r="E130" s="2">
        <v>1.0</v>
      </c>
      <c r="F130" s="2">
        <v>105.0</v>
      </c>
      <c r="G130" s="2">
        <v>331500.0</v>
      </c>
    </row>
    <row r="131" ht="14.25" customHeight="1">
      <c r="A131" s="2">
        <v>130.0</v>
      </c>
      <c r="B131" s="2" t="s">
        <v>2561</v>
      </c>
      <c r="C131" s="2" t="s">
        <v>2629</v>
      </c>
      <c r="D131" s="2">
        <v>162.0</v>
      </c>
      <c r="E131" s="2">
        <v>1.0</v>
      </c>
      <c r="F131" s="2">
        <v>90.0</v>
      </c>
      <c r="G131" s="2">
        <v>330800.0</v>
      </c>
    </row>
    <row r="132" ht="14.25" customHeight="1">
      <c r="A132" s="2">
        <v>131.0</v>
      </c>
      <c r="B132" s="2" t="s">
        <v>2488</v>
      </c>
      <c r="C132" s="2" t="s">
        <v>2630</v>
      </c>
      <c r="D132" s="2">
        <v>333.0</v>
      </c>
      <c r="E132" s="2">
        <v>1.0</v>
      </c>
      <c r="F132" s="2">
        <v>70.0</v>
      </c>
      <c r="G132" s="2">
        <v>330800.0</v>
      </c>
    </row>
    <row r="133" ht="14.25" customHeight="1">
      <c r="A133" s="2">
        <v>132.0</v>
      </c>
      <c r="B133" s="2" t="s">
        <v>2558</v>
      </c>
      <c r="C133" s="2" t="s">
        <v>2631</v>
      </c>
      <c r="D133" s="2">
        <v>357.0</v>
      </c>
      <c r="E133" s="2">
        <v>1.0</v>
      </c>
      <c r="F133" s="2">
        <v>50.0</v>
      </c>
      <c r="G133" s="2">
        <v>330800.0</v>
      </c>
    </row>
    <row r="134" ht="14.25" customHeight="1">
      <c r="A134" s="2">
        <v>133.0</v>
      </c>
      <c r="B134" s="2" t="s">
        <v>2558</v>
      </c>
      <c r="C134" s="2" t="s">
        <v>2632</v>
      </c>
      <c r="D134" s="2">
        <v>357.0</v>
      </c>
      <c r="E134" s="2">
        <v>1.0</v>
      </c>
      <c r="F134" s="2">
        <v>85.0</v>
      </c>
      <c r="G134" s="2">
        <v>330100.0</v>
      </c>
    </row>
    <row r="135" ht="14.25" customHeight="1">
      <c r="A135" s="2">
        <v>134.0</v>
      </c>
      <c r="B135" s="2" t="s">
        <v>2503</v>
      </c>
      <c r="C135" s="2" t="s">
        <v>2633</v>
      </c>
      <c r="D135" s="2">
        <v>105.0</v>
      </c>
      <c r="E135" s="2">
        <v>1.0</v>
      </c>
      <c r="F135" s="2">
        <v>100.0</v>
      </c>
      <c r="G135" s="2">
        <v>329700.0</v>
      </c>
    </row>
    <row r="136" ht="14.25" customHeight="1">
      <c r="A136" s="2">
        <v>135.0</v>
      </c>
      <c r="B136" s="2" t="s">
        <v>2491</v>
      </c>
      <c r="C136" s="2" t="s">
        <v>2634</v>
      </c>
      <c r="D136" s="2">
        <v>116.0</v>
      </c>
      <c r="E136" s="2">
        <v>1.0</v>
      </c>
      <c r="F136" s="2">
        <v>150.0</v>
      </c>
      <c r="G136" s="2">
        <v>329700.0</v>
      </c>
    </row>
    <row r="137" ht="14.25" customHeight="1">
      <c r="A137" s="2">
        <v>136.0</v>
      </c>
      <c r="B137" s="2" t="s">
        <v>2576</v>
      </c>
      <c r="C137" s="2" t="s">
        <v>2635</v>
      </c>
      <c r="D137" s="2">
        <v>197.0</v>
      </c>
      <c r="E137" s="2">
        <v>1.0</v>
      </c>
      <c r="F137" s="2">
        <v>132.0</v>
      </c>
      <c r="G137" s="2">
        <v>329600.0</v>
      </c>
    </row>
    <row r="138" ht="14.25" customHeight="1">
      <c r="A138" s="2">
        <v>137.0</v>
      </c>
      <c r="B138" s="2" t="s">
        <v>2636</v>
      </c>
      <c r="C138" s="2" t="s">
        <v>2637</v>
      </c>
      <c r="D138" s="2">
        <v>145.0</v>
      </c>
      <c r="E138" s="2">
        <v>1.0</v>
      </c>
      <c r="F138" s="2">
        <v>165.0</v>
      </c>
      <c r="G138" s="2">
        <v>329100.0</v>
      </c>
    </row>
    <row r="139" ht="14.25" customHeight="1">
      <c r="A139" s="2">
        <v>138.0</v>
      </c>
      <c r="B139" s="2" t="s">
        <v>2479</v>
      </c>
      <c r="C139" s="2" t="s">
        <v>2638</v>
      </c>
      <c r="D139" s="2">
        <v>182.0</v>
      </c>
      <c r="E139" s="2">
        <v>1.0</v>
      </c>
      <c r="F139" s="2">
        <v>65.0</v>
      </c>
      <c r="G139" s="2">
        <v>328900.0</v>
      </c>
    </row>
    <row r="140" ht="14.25" customHeight="1">
      <c r="A140" s="2">
        <v>139.0</v>
      </c>
      <c r="B140" s="2" t="s">
        <v>2477</v>
      </c>
      <c r="C140" s="2" t="s">
        <v>2639</v>
      </c>
      <c r="D140" s="2">
        <v>152.0</v>
      </c>
      <c r="E140" s="2">
        <v>1.0</v>
      </c>
      <c r="F140" s="2">
        <v>66.0</v>
      </c>
      <c r="G140" s="2">
        <v>328000.0</v>
      </c>
    </row>
    <row r="141" ht="14.25" customHeight="1">
      <c r="A141" s="2">
        <v>140.0</v>
      </c>
      <c r="B141" s="2" t="s">
        <v>2501</v>
      </c>
      <c r="C141" s="2" t="s">
        <v>2640</v>
      </c>
      <c r="D141" s="2">
        <v>199.0</v>
      </c>
      <c r="E141" s="2">
        <v>1.0</v>
      </c>
      <c r="F141" s="2">
        <v>100.0</v>
      </c>
      <c r="G141" s="2">
        <v>327100.0</v>
      </c>
    </row>
    <row r="142" ht="14.25" customHeight="1">
      <c r="A142" s="2">
        <v>141.0</v>
      </c>
      <c r="B142" s="2" t="s">
        <v>2488</v>
      </c>
      <c r="C142" s="2" t="s">
        <v>2641</v>
      </c>
      <c r="D142" s="2">
        <v>333.0</v>
      </c>
      <c r="E142" s="2">
        <v>1.0</v>
      </c>
      <c r="F142" s="2">
        <v>80.0</v>
      </c>
      <c r="G142" s="2">
        <v>326700.0</v>
      </c>
    </row>
    <row r="143" ht="14.25" customHeight="1">
      <c r="A143" s="2">
        <v>142.0</v>
      </c>
      <c r="B143" s="2" t="s">
        <v>2571</v>
      </c>
      <c r="C143" s="2" t="s">
        <v>2642</v>
      </c>
      <c r="D143" s="2">
        <v>185.0</v>
      </c>
      <c r="E143" s="2">
        <v>1.0</v>
      </c>
      <c r="F143" s="2">
        <v>75.0</v>
      </c>
      <c r="G143" s="2">
        <v>326000.0</v>
      </c>
    </row>
    <row r="144" ht="14.25" customHeight="1">
      <c r="A144" s="2">
        <v>143.0</v>
      </c>
      <c r="B144" s="2" t="s">
        <v>2475</v>
      </c>
      <c r="C144" s="2" t="s">
        <v>2643</v>
      </c>
      <c r="D144" s="2">
        <v>143.0</v>
      </c>
      <c r="E144" s="2">
        <v>1.0</v>
      </c>
      <c r="F144" s="2">
        <v>80.0</v>
      </c>
      <c r="G144" s="2">
        <v>325600.0</v>
      </c>
    </row>
    <row r="145" ht="14.25" customHeight="1">
      <c r="A145" s="2">
        <v>144.0</v>
      </c>
      <c r="B145" s="2" t="s">
        <v>2507</v>
      </c>
      <c r="C145" s="2" t="s">
        <v>2644</v>
      </c>
      <c r="D145" s="2">
        <v>205.0</v>
      </c>
      <c r="E145" s="2">
        <v>1.0</v>
      </c>
      <c r="F145" s="2">
        <v>160.0</v>
      </c>
      <c r="G145" s="2">
        <v>325600.0</v>
      </c>
    </row>
    <row r="146" ht="14.25" customHeight="1">
      <c r="A146" s="2">
        <v>145.0</v>
      </c>
      <c r="B146" s="2" t="s">
        <v>2621</v>
      </c>
      <c r="C146" s="2" t="s">
        <v>2645</v>
      </c>
      <c r="D146" s="2">
        <v>403.0</v>
      </c>
      <c r="E146" s="2">
        <v>1.0</v>
      </c>
      <c r="F146" s="2">
        <v>200.0</v>
      </c>
      <c r="G146" s="2">
        <v>325400.0</v>
      </c>
    </row>
    <row r="147" ht="14.25" customHeight="1">
      <c r="A147" s="2">
        <v>146.0</v>
      </c>
      <c r="B147" s="2" t="s">
        <v>2503</v>
      </c>
      <c r="C147" s="2" t="s">
        <v>2646</v>
      </c>
      <c r="D147" s="2">
        <v>105.0</v>
      </c>
      <c r="E147" s="2">
        <v>1.0</v>
      </c>
      <c r="F147" s="2">
        <v>130.0</v>
      </c>
      <c r="G147" s="2">
        <v>323700.0</v>
      </c>
    </row>
    <row r="148" ht="14.25" customHeight="1">
      <c r="A148" s="2">
        <v>147.0</v>
      </c>
      <c r="B148" s="2" t="s">
        <v>2505</v>
      </c>
      <c r="C148" s="2" t="s">
        <v>2647</v>
      </c>
      <c r="D148" s="2">
        <v>429.0</v>
      </c>
      <c r="E148" s="2">
        <v>1.0</v>
      </c>
      <c r="F148" s="2">
        <v>100.0</v>
      </c>
      <c r="G148" s="2">
        <v>323200.0</v>
      </c>
    </row>
    <row r="149" ht="14.25" customHeight="1">
      <c r="A149" s="2">
        <v>148.0</v>
      </c>
      <c r="B149" s="2" t="s">
        <v>2491</v>
      </c>
      <c r="C149" s="2" t="s">
        <v>2648</v>
      </c>
      <c r="D149" s="2">
        <v>116.0</v>
      </c>
      <c r="E149" s="2">
        <v>1.0</v>
      </c>
      <c r="F149" s="2">
        <v>150.0</v>
      </c>
      <c r="G149" s="2">
        <v>322200.0</v>
      </c>
    </row>
    <row r="150" ht="14.25" customHeight="1">
      <c r="A150" s="2">
        <v>149.0</v>
      </c>
      <c r="B150" s="2" t="s">
        <v>2488</v>
      </c>
      <c r="C150" s="2" t="s">
        <v>2649</v>
      </c>
      <c r="D150" s="2">
        <v>333.0</v>
      </c>
      <c r="E150" s="2">
        <v>1.0</v>
      </c>
      <c r="F150" s="2">
        <v>100.0</v>
      </c>
      <c r="G150" s="2">
        <v>320900.0</v>
      </c>
    </row>
    <row r="151" ht="14.25" customHeight="1">
      <c r="A151" s="2">
        <v>150.0</v>
      </c>
      <c r="B151" s="2" t="s">
        <v>2491</v>
      </c>
      <c r="C151" s="2" t="s">
        <v>2650</v>
      </c>
      <c r="D151" s="2">
        <v>116.0</v>
      </c>
      <c r="E151" s="2">
        <v>1.0</v>
      </c>
      <c r="F151" s="2">
        <v>100.0</v>
      </c>
      <c r="G151" s="2">
        <v>320800.0</v>
      </c>
    </row>
    <row r="152" ht="14.25" customHeight="1">
      <c r="A152" s="2">
        <v>151.0</v>
      </c>
      <c r="B152" s="2" t="s">
        <v>2651</v>
      </c>
      <c r="C152" s="2" t="s">
        <v>2652</v>
      </c>
      <c r="D152" s="2">
        <v>347.0</v>
      </c>
      <c r="E152" s="2">
        <v>1.0</v>
      </c>
      <c r="F152" s="2">
        <v>66.0</v>
      </c>
      <c r="G152" s="2">
        <v>320800.0</v>
      </c>
    </row>
    <row r="153" ht="14.25" customHeight="1">
      <c r="A153" s="2">
        <v>152.0</v>
      </c>
      <c r="B153" s="2" t="s">
        <v>2558</v>
      </c>
      <c r="C153" s="2" t="s">
        <v>2653</v>
      </c>
      <c r="D153" s="2">
        <v>357.0</v>
      </c>
      <c r="E153" s="2">
        <v>1.0</v>
      </c>
      <c r="F153" s="2">
        <v>66.0</v>
      </c>
      <c r="G153" s="2">
        <v>320800.0</v>
      </c>
    </row>
    <row r="154" ht="14.25" customHeight="1">
      <c r="A154" s="2">
        <v>153.0</v>
      </c>
      <c r="B154" s="2" t="s">
        <v>2475</v>
      </c>
      <c r="C154" s="2" t="s">
        <v>2654</v>
      </c>
      <c r="D154" s="2">
        <v>143.0</v>
      </c>
      <c r="E154" s="2">
        <v>1.0</v>
      </c>
      <c r="F154" s="2">
        <v>50.0</v>
      </c>
      <c r="G154" s="2">
        <v>320300.0</v>
      </c>
    </row>
    <row r="155" ht="14.25" customHeight="1">
      <c r="A155" s="2">
        <v>154.0</v>
      </c>
      <c r="B155" s="2" t="s">
        <v>2488</v>
      </c>
      <c r="C155" s="2" t="s">
        <v>2655</v>
      </c>
      <c r="D155" s="2">
        <v>333.0</v>
      </c>
      <c r="E155" s="2">
        <v>1.0</v>
      </c>
      <c r="F155" s="2">
        <v>80.0</v>
      </c>
      <c r="G155" s="2">
        <v>320200.0</v>
      </c>
    </row>
    <row r="156" ht="14.25" customHeight="1">
      <c r="A156" s="2">
        <v>155.0</v>
      </c>
      <c r="B156" s="2" t="s">
        <v>2491</v>
      </c>
      <c r="C156" s="2" t="s">
        <v>2656</v>
      </c>
      <c r="D156" s="2">
        <v>116.0</v>
      </c>
      <c r="E156" s="2">
        <v>1.0</v>
      </c>
      <c r="F156" s="2">
        <v>100.0</v>
      </c>
      <c r="G156" s="2">
        <v>319300.0</v>
      </c>
    </row>
    <row r="157" ht="14.25" customHeight="1">
      <c r="A157" s="2">
        <v>156.0</v>
      </c>
      <c r="B157" s="2" t="s">
        <v>2636</v>
      </c>
      <c r="C157" s="2" t="s">
        <v>2657</v>
      </c>
      <c r="D157" s="2">
        <v>145.0</v>
      </c>
      <c r="E157" s="2">
        <v>1.0</v>
      </c>
      <c r="F157" s="2">
        <v>130.0</v>
      </c>
      <c r="G157" s="2">
        <v>318500.0</v>
      </c>
    </row>
    <row r="158" ht="14.25" customHeight="1">
      <c r="A158" s="2">
        <v>157.0</v>
      </c>
      <c r="B158" s="2" t="s">
        <v>2488</v>
      </c>
      <c r="C158" s="2" t="s">
        <v>2658</v>
      </c>
      <c r="D158" s="2">
        <v>333.0</v>
      </c>
      <c r="E158" s="2">
        <v>1.0</v>
      </c>
      <c r="F158" s="2">
        <v>80.0</v>
      </c>
      <c r="G158" s="2">
        <v>317400.0</v>
      </c>
    </row>
    <row r="159" ht="14.25" customHeight="1">
      <c r="A159" s="2">
        <v>158.0</v>
      </c>
      <c r="B159" s="2" t="s">
        <v>2541</v>
      </c>
      <c r="C159" s="2" t="s">
        <v>2659</v>
      </c>
      <c r="D159" s="2">
        <v>195.0</v>
      </c>
      <c r="E159" s="2">
        <v>1.0</v>
      </c>
      <c r="F159" s="2">
        <v>150.0</v>
      </c>
      <c r="G159" s="2">
        <v>317300.0</v>
      </c>
    </row>
    <row r="160" ht="14.25" customHeight="1">
      <c r="A160" s="2">
        <v>159.0</v>
      </c>
      <c r="B160" s="2" t="s">
        <v>2475</v>
      </c>
      <c r="C160" s="2" t="s">
        <v>2660</v>
      </c>
      <c r="D160" s="2">
        <v>143.0</v>
      </c>
      <c r="E160" s="2">
        <v>1.0</v>
      </c>
      <c r="F160" s="2">
        <v>75.0</v>
      </c>
      <c r="G160" s="2">
        <v>316500.0</v>
      </c>
    </row>
    <row r="161" ht="14.25" customHeight="1">
      <c r="A161" s="2">
        <v>160.0</v>
      </c>
      <c r="B161" s="2" t="s">
        <v>2549</v>
      </c>
      <c r="C161" s="2" t="s">
        <v>2661</v>
      </c>
      <c r="D161" s="2">
        <v>115.0</v>
      </c>
      <c r="E161" s="2">
        <v>1.0</v>
      </c>
      <c r="F161" s="2">
        <v>50.0</v>
      </c>
      <c r="G161" s="2">
        <v>316400.0</v>
      </c>
    </row>
    <row r="162" ht="14.25" customHeight="1">
      <c r="A162" s="2">
        <v>161.0</v>
      </c>
      <c r="B162" s="2" t="s">
        <v>2491</v>
      </c>
      <c r="C162" s="2" t="s">
        <v>2662</v>
      </c>
      <c r="D162" s="2">
        <v>116.0</v>
      </c>
      <c r="E162" s="2">
        <v>1.0</v>
      </c>
      <c r="F162" s="2">
        <v>160.0</v>
      </c>
      <c r="G162" s="2">
        <v>316400.0</v>
      </c>
    </row>
    <row r="163" ht="14.25" customHeight="1">
      <c r="A163" s="2">
        <v>162.0</v>
      </c>
      <c r="B163" s="2" t="s">
        <v>2582</v>
      </c>
      <c r="C163" s="2" t="s">
        <v>2663</v>
      </c>
      <c r="D163" s="2">
        <v>183.0</v>
      </c>
      <c r="E163" s="2">
        <v>1.0</v>
      </c>
      <c r="F163" s="2">
        <v>110.0</v>
      </c>
      <c r="G163" s="2">
        <v>316400.0</v>
      </c>
    </row>
    <row r="164" ht="14.25" customHeight="1">
      <c r="A164" s="2">
        <v>163.0</v>
      </c>
      <c r="B164" s="2" t="s">
        <v>2501</v>
      </c>
      <c r="C164" s="2" t="s">
        <v>2664</v>
      </c>
      <c r="D164" s="2">
        <v>199.0</v>
      </c>
      <c r="E164" s="2">
        <v>1.0</v>
      </c>
      <c r="F164" s="2">
        <v>100.0</v>
      </c>
      <c r="G164" s="2">
        <v>316100.0</v>
      </c>
    </row>
    <row r="165" ht="14.25" customHeight="1">
      <c r="A165" s="2">
        <v>164.0</v>
      </c>
      <c r="B165" s="2" t="s">
        <v>2477</v>
      </c>
      <c r="C165" s="2" t="s">
        <v>2665</v>
      </c>
      <c r="D165" s="2">
        <v>152.0</v>
      </c>
      <c r="E165" s="2">
        <v>1.0</v>
      </c>
      <c r="F165" s="2">
        <v>66.0</v>
      </c>
      <c r="G165" s="2">
        <v>315200.0</v>
      </c>
    </row>
    <row r="166" ht="14.25" customHeight="1">
      <c r="A166" s="2">
        <v>165.0</v>
      </c>
      <c r="B166" s="2" t="s">
        <v>2518</v>
      </c>
      <c r="C166" s="2" t="s">
        <v>2666</v>
      </c>
      <c r="D166" s="2">
        <v>161.0</v>
      </c>
      <c r="E166" s="2">
        <v>1.0</v>
      </c>
      <c r="F166" s="2">
        <v>150.0</v>
      </c>
      <c r="G166" s="2">
        <v>315000.0</v>
      </c>
    </row>
    <row r="167" ht="14.25" customHeight="1">
      <c r="A167" s="2">
        <v>166.0</v>
      </c>
      <c r="B167" s="2" t="s">
        <v>2501</v>
      </c>
      <c r="C167" s="2" t="s">
        <v>2667</v>
      </c>
      <c r="D167" s="2">
        <v>199.0</v>
      </c>
      <c r="E167" s="2">
        <v>1.0</v>
      </c>
      <c r="F167" s="2">
        <v>50.0</v>
      </c>
      <c r="G167" s="2">
        <v>314800.0</v>
      </c>
    </row>
    <row r="168" ht="14.25" customHeight="1">
      <c r="A168" s="2">
        <v>167.0</v>
      </c>
      <c r="B168" s="2" t="s">
        <v>2558</v>
      </c>
      <c r="C168" s="2" t="s">
        <v>2668</v>
      </c>
      <c r="D168" s="2">
        <v>357.0</v>
      </c>
      <c r="E168" s="2">
        <v>1.0</v>
      </c>
      <c r="F168" s="2">
        <v>85.0</v>
      </c>
      <c r="G168" s="2">
        <v>314800.0</v>
      </c>
    </row>
    <row r="169" ht="14.25" customHeight="1">
      <c r="A169" s="2">
        <v>168.0</v>
      </c>
      <c r="B169" s="2" t="s">
        <v>2594</v>
      </c>
      <c r="C169" s="2" t="s">
        <v>2669</v>
      </c>
      <c r="D169" s="2">
        <v>184.0</v>
      </c>
      <c r="E169" s="2">
        <v>1.0</v>
      </c>
      <c r="F169" s="2">
        <v>90.0</v>
      </c>
      <c r="G169" s="2">
        <v>314200.0</v>
      </c>
    </row>
    <row r="170" ht="14.25" customHeight="1">
      <c r="A170" s="2">
        <v>169.0</v>
      </c>
      <c r="B170" s="2" t="s">
        <v>2475</v>
      </c>
      <c r="C170" s="2" t="s">
        <v>2670</v>
      </c>
      <c r="D170" s="2">
        <v>143.0</v>
      </c>
      <c r="E170" s="2">
        <v>1.0</v>
      </c>
      <c r="F170" s="2">
        <v>150.0</v>
      </c>
      <c r="G170" s="2">
        <v>314100.0</v>
      </c>
    </row>
    <row r="171" ht="14.25" customHeight="1">
      <c r="A171" s="2">
        <v>170.0</v>
      </c>
      <c r="B171" s="2" t="s">
        <v>2475</v>
      </c>
      <c r="C171" s="2" t="s">
        <v>2671</v>
      </c>
      <c r="D171" s="2">
        <v>143.0</v>
      </c>
      <c r="E171" s="2">
        <v>1.0</v>
      </c>
      <c r="F171" s="2">
        <v>80.0</v>
      </c>
      <c r="G171" s="2">
        <v>314100.0</v>
      </c>
    </row>
    <row r="172" ht="14.25" customHeight="1">
      <c r="A172" s="2">
        <v>171.0</v>
      </c>
      <c r="B172" s="2" t="s">
        <v>2558</v>
      </c>
      <c r="C172" s="2" t="s">
        <v>2672</v>
      </c>
      <c r="D172" s="2">
        <v>357.0</v>
      </c>
      <c r="E172" s="2">
        <v>1.0</v>
      </c>
      <c r="F172" s="2">
        <v>75.0</v>
      </c>
      <c r="G172" s="2">
        <v>314000.0</v>
      </c>
    </row>
    <row r="173" ht="14.25" customHeight="1">
      <c r="A173" s="2">
        <v>172.0</v>
      </c>
      <c r="B173" s="2" t="s">
        <v>2475</v>
      </c>
      <c r="C173" s="2" t="s">
        <v>2673</v>
      </c>
      <c r="D173" s="2">
        <v>143.0</v>
      </c>
      <c r="E173" s="2">
        <v>1.0</v>
      </c>
      <c r="F173" s="2">
        <v>50.0</v>
      </c>
      <c r="G173" s="2">
        <v>313700.0</v>
      </c>
    </row>
    <row r="174" ht="14.25" customHeight="1">
      <c r="A174" s="2">
        <v>173.0</v>
      </c>
      <c r="B174" s="2" t="s">
        <v>2518</v>
      </c>
      <c r="C174" s="2" t="s">
        <v>2674</v>
      </c>
      <c r="D174" s="2">
        <v>161.0</v>
      </c>
      <c r="E174" s="2">
        <v>1.0</v>
      </c>
      <c r="F174" s="2">
        <v>175.0</v>
      </c>
      <c r="G174" s="2">
        <v>313700.0</v>
      </c>
    </row>
    <row r="175" ht="14.25" customHeight="1">
      <c r="A175" s="2">
        <v>174.0</v>
      </c>
      <c r="B175" s="2" t="s">
        <v>2571</v>
      </c>
      <c r="C175" s="2" t="s">
        <v>2675</v>
      </c>
      <c r="D175" s="2">
        <v>185.0</v>
      </c>
      <c r="E175" s="2">
        <v>1.0</v>
      </c>
      <c r="F175" s="2">
        <v>80.0</v>
      </c>
      <c r="G175" s="2">
        <v>313000.0</v>
      </c>
    </row>
    <row r="176" ht="14.25" customHeight="1">
      <c r="A176" s="2">
        <v>175.0</v>
      </c>
      <c r="B176" s="2" t="s">
        <v>2491</v>
      </c>
      <c r="C176" s="2" t="s">
        <v>2676</v>
      </c>
      <c r="D176" s="2">
        <v>116.0</v>
      </c>
      <c r="E176" s="2">
        <v>1.0</v>
      </c>
      <c r="F176" s="2">
        <v>150.0</v>
      </c>
      <c r="G176" s="2">
        <v>312800.0</v>
      </c>
    </row>
    <row r="177" ht="14.25" customHeight="1">
      <c r="A177" s="2">
        <v>176.0</v>
      </c>
      <c r="B177" s="2" t="s">
        <v>2491</v>
      </c>
      <c r="C177" s="2" t="s">
        <v>2677</v>
      </c>
      <c r="D177" s="2">
        <v>116.0</v>
      </c>
      <c r="E177" s="2">
        <v>1.0</v>
      </c>
      <c r="F177" s="2">
        <v>150.0</v>
      </c>
      <c r="G177" s="2">
        <v>311900.0</v>
      </c>
    </row>
    <row r="178" ht="14.25" customHeight="1">
      <c r="A178" s="2">
        <v>177.0</v>
      </c>
      <c r="B178" s="2" t="s">
        <v>2491</v>
      </c>
      <c r="C178" s="2" t="s">
        <v>2678</v>
      </c>
      <c r="D178" s="2">
        <v>116.0</v>
      </c>
      <c r="E178" s="2">
        <v>1.0</v>
      </c>
      <c r="F178" s="2">
        <v>150.0</v>
      </c>
      <c r="G178" s="2">
        <v>311900.0</v>
      </c>
    </row>
    <row r="179" ht="14.25" customHeight="1">
      <c r="A179" s="2">
        <v>178.0</v>
      </c>
      <c r="B179" s="2" t="s">
        <v>2582</v>
      </c>
      <c r="C179" s="2" t="s">
        <v>2679</v>
      </c>
      <c r="D179" s="2">
        <v>183.0</v>
      </c>
      <c r="E179" s="2">
        <v>1.0</v>
      </c>
      <c r="F179" s="2">
        <v>100.0</v>
      </c>
      <c r="G179" s="2">
        <v>311900.0</v>
      </c>
    </row>
    <row r="180" ht="14.25" customHeight="1">
      <c r="A180" s="2">
        <v>179.0</v>
      </c>
      <c r="B180" s="2" t="s">
        <v>2512</v>
      </c>
      <c r="C180" s="2" t="s">
        <v>2680</v>
      </c>
      <c r="D180" s="2">
        <v>153.0</v>
      </c>
      <c r="E180" s="2">
        <v>1.0</v>
      </c>
      <c r="F180" s="2">
        <v>75.0</v>
      </c>
      <c r="G180" s="2">
        <v>311100.0</v>
      </c>
    </row>
    <row r="181" ht="14.25" customHeight="1">
      <c r="A181" s="2">
        <v>180.0</v>
      </c>
      <c r="B181" s="2" t="s">
        <v>2488</v>
      </c>
      <c r="C181" s="2" t="s">
        <v>2681</v>
      </c>
      <c r="D181" s="2">
        <v>333.0</v>
      </c>
      <c r="E181" s="2">
        <v>1.0</v>
      </c>
      <c r="F181" s="2">
        <v>100.0</v>
      </c>
      <c r="G181" s="2">
        <v>310800.0</v>
      </c>
    </row>
    <row r="182" ht="14.25" customHeight="1">
      <c r="A182" s="2">
        <v>181.0</v>
      </c>
      <c r="B182" s="2" t="s">
        <v>2488</v>
      </c>
      <c r="C182" s="2" t="s">
        <v>2682</v>
      </c>
      <c r="D182" s="2">
        <v>333.0</v>
      </c>
      <c r="E182" s="2">
        <v>1.0</v>
      </c>
      <c r="F182" s="2">
        <v>70.0</v>
      </c>
      <c r="G182" s="2">
        <v>310700.0</v>
      </c>
    </row>
    <row r="183" ht="14.25" customHeight="1">
      <c r="A183" s="2">
        <v>182.0</v>
      </c>
      <c r="B183" s="2" t="s">
        <v>2479</v>
      </c>
      <c r="C183" s="2" t="s">
        <v>2683</v>
      </c>
      <c r="D183" s="2">
        <v>182.0</v>
      </c>
      <c r="E183" s="2">
        <v>1.0</v>
      </c>
      <c r="F183" s="2">
        <v>75.0</v>
      </c>
      <c r="G183" s="2">
        <v>309100.0</v>
      </c>
    </row>
    <row r="184" ht="14.25" customHeight="1">
      <c r="A184" s="2">
        <v>183.0</v>
      </c>
      <c r="B184" s="2" t="s">
        <v>2503</v>
      </c>
      <c r="C184" s="2" t="s">
        <v>2684</v>
      </c>
      <c r="D184" s="2">
        <v>105.0</v>
      </c>
      <c r="E184" s="2">
        <v>1.0</v>
      </c>
      <c r="F184" s="2">
        <v>99.0</v>
      </c>
      <c r="G184" s="2">
        <v>308200.0</v>
      </c>
    </row>
    <row r="185" ht="14.25" customHeight="1">
      <c r="A185" s="2">
        <v>184.0</v>
      </c>
      <c r="B185" s="2" t="s">
        <v>2561</v>
      </c>
      <c r="C185" s="2" t="s">
        <v>2685</v>
      </c>
      <c r="D185" s="2">
        <v>162.0</v>
      </c>
      <c r="E185" s="2">
        <v>1.0</v>
      </c>
      <c r="F185" s="2">
        <v>75.0</v>
      </c>
      <c r="G185" s="2">
        <v>308200.0</v>
      </c>
    </row>
    <row r="186" ht="14.25" customHeight="1">
      <c r="A186" s="2">
        <v>185.0</v>
      </c>
      <c r="B186" s="2" t="s">
        <v>2686</v>
      </c>
      <c r="C186" s="2" t="s">
        <v>2687</v>
      </c>
      <c r="D186" s="2">
        <v>127.0</v>
      </c>
      <c r="E186" s="2">
        <v>1.0</v>
      </c>
      <c r="F186" s="2">
        <v>120.0</v>
      </c>
      <c r="G186" s="2">
        <v>308000.0</v>
      </c>
    </row>
    <row r="187" ht="14.25" customHeight="1">
      <c r="A187" s="2">
        <v>186.0</v>
      </c>
      <c r="B187" s="2" t="s">
        <v>2561</v>
      </c>
      <c r="C187" s="2" t="s">
        <v>2688</v>
      </c>
      <c r="D187" s="2">
        <v>162.0</v>
      </c>
      <c r="E187" s="2">
        <v>1.0</v>
      </c>
      <c r="F187" s="2">
        <v>60.0</v>
      </c>
      <c r="G187" s="2">
        <v>307900.0</v>
      </c>
    </row>
    <row r="188" ht="14.25" customHeight="1">
      <c r="A188" s="2">
        <v>187.0</v>
      </c>
      <c r="B188" s="2" t="s">
        <v>2491</v>
      </c>
      <c r="C188" s="2" t="s">
        <v>2689</v>
      </c>
      <c r="D188" s="2">
        <v>116.0</v>
      </c>
      <c r="E188" s="2">
        <v>1.0</v>
      </c>
      <c r="F188" s="2">
        <v>150.0</v>
      </c>
      <c r="G188" s="2">
        <v>307500.0</v>
      </c>
    </row>
    <row r="189" ht="14.25" customHeight="1">
      <c r="A189" s="2">
        <v>188.0</v>
      </c>
      <c r="B189" s="2" t="s">
        <v>2491</v>
      </c>
      <c r="C189" s="2" t="s">
        <v>2690</v>
      </c>
      <c r="D189" s="2">
        <v>116.0</v>
      </c>
      <c r="E189" s="2">
        <v>1.0</v>
      </c>
      <c r="F189" s="2">
        <v>90.0</v>
      </c>
      <c r="G189" s="2">
        <v>307100.0</v>
      </c>
    </row>
    <row r="190" ht="14.25" customHeight="1">
      <c r="A190" s="2">
        <v>189.0</v>
      </c>
      <c r="B190" s="2" t="s">
        <v>2549</v>
      </c>
      <c r="C190" s="2" t="s">
        <v>2691</v>
      </c>
      <c r="D190" s="2">
        <v>115.0</v>
      </c>
      <c r="E190" s="2">
        <v>1.0</v>
      </c>
      <c r="F190" s="2">
        <v>100.0</v>
      </c>
      <c r="G190" s="2">
        <v>306700.0</v>
      </c>
    </row>
    <row r="191" ht="14.25" customHeight="1">
      <c r="A191" s="2">
        <v>190.0</v>
      </c>
      <c r="B191" s="2" t="s">
        <v>2479</v>
      </c>
      <c r="C191" s="2" t="s">
        <v>2692</v>
      </c>
      <c r="D191" s="2">
        <v>182.0</v>
      </c>
      <c r="E191" s="2">
        <v>1.0</v>
      </c>
      <c r="F191" s="2">
        <v>100.0</v>
      </c>
      <c r="G191" s="2">
        <v>306700.0</v>
      </c>
    </row>
    <row r="192" ht="14.25" customHeight="1">
      <c r="A192" s="2">
        <v>191.0</v>
      </c>
      <c r="B192" s="2" t="s">
        <v>2501</v>
      </c>
      <c r="C192" s="2" t="s">
        <v>2693</v>
      </c>
      <c r="D192" s="2">
        <v>199.0</v>
      </c>
      <c r="E192" s="2">
        <v>1.0</v>
      </c>
      <c r="F192" s="2">
        <v>150.0</v>
      </c>
      <c r="G192" s="2">
        <v>306700.0</v>
      </c>
    </row>
    <row r="193" ht="14.25" customHeight="1">
      <c r="A193" s="2">
        <v>192.0</v>
      </c>
      <c r="B193" s="2" t="s">
        <v>2501</v>
      </c>
      <c r="C193" s="2" t="s">
        <v>2694</v>
      </c>
      <c r="D193" s="2">
        <v>199.0</v>
      </c>
      <c r="E193" s="2">
        <v>1.0</v>
      </c>
      <c r="F193" s="2">
        <v>80.0</v>
      </c>
      <c r="G193" s="2">
        <v>306500.0</v>
      </c>
    </row>
    <row r="194" ht="14.25" customHeight="1">
      <c r="A194" s="2">
        <v>193.0</v>
      </c>
      <c r="B194" s="2" t="s">
        <v>2488</v>
      </c>
      <c r="C194" s="2" t="s">
        <v>2695</v>
      </c>
      <c r="D194" s="2">
        <v>333.0</v>
      </c>
      <c r="E194" s="2">
        <v>1.0</v>
      </c>
      <c r="F194" s="2">
        <v>100.0</v>
      </c>
      <c r="G194" s="2">
        <v>306500.0</v>
      </c>
    </row>
    <row r="195" ht="14.25" customHeight="1">
      <c r="A195" s="2">
        <v>194.0</v>
      </c>
      <c r="B195" s="2" t="s">
        <v>2497</v>
      </c>
      <c r="C195" s="2" t="s">
        <v>2696</v>
      </c>
      <c r="D195" s="2">
        <v>151.0</v>
      </c>
      <c r="E195" s="2">
        <v>1.0</v>
      </c>
      <c r="F195" s="2">
        <v>70.0</v>
      </c>
      <c r="G195" s="2">
        <v>306100.0</v>
      </c>
    </row>
    <row r="196" ht="14.25" customHeight="1">
      <c r="A196" s="2">
        <v>195.0</v>
      </c>
      <c r="B196" s="2" t="s">
        <v>2479</v>
      </c>
      <c r="C196" s="2" t="s">
        <v>2697</v>
      </c>
      <c r="D196" s="2">
        <v>182.0</v>
      </c>
      <c r="E196" s="2">
        <v>1.0</v>
      </c>
      <c r="F196" s="2">
        <v>100.0</v>
      </c>
      <c r="G196" s="2">
        <v>305800.0</v>
      </c>
    </row>
    <row r="197" ht="14.25" customHeight="1">
      <c r="A197" s="2">
        <v>196.0</v>
      </c>
      <c r="B197" s="2" t="s">
        <v>2488</v>
      </c>
      <c r="C197" s="2" t="s">
        <v>2698</v>
      </c>
      <c r="D197" s="2">
        <v>333.0</v>
      </c>
      <c r="E197" s="2">
        <v>1.0</v>
      </c>
      <c r="F197" s="2">
        <v>80.0</v>
      </c>
      <c r="G197" s="2">
        <v>305600.0</v>
      </c>
    </row>
    <row r="198" ht="14.25" customHeight="1">
      <c r="A198" s="2">
        <v>197.0</v>
      </c>
      <c r="B198" s="2" t="s">
        <v>2477</v>
      </c>
      <c r="C198" s="2" t="s">
        <v>2699</v>
      </c>
      <c r="D198" s="2">
        <v>152.0</v>
      </c>
      <c r="E198" s="2">
        <v>1.0</v>
      </c>
      <c r="F198" s="2">
        <v>90.0</v>
      </c>
      <c r="G198" s="2">
        <v>305200.0</v>
      </c>
    </row>
    <row r="199" ht="14.25" customHeight="1">
      <c r="A199" s="2">
        <v>198.0</v>
      </c>
      <c r="B199" s="2" t="s">
        <v>2488</v>
      </c>
      <c r="C199" s="2" t="s">
        <v>2700</v>
      </c>
      <c r="D199" s="2">
        <v>333.0</v>
      </c>
      <c r="E199" s="2">
        <v>1.0</v>
      </c>
      <c r="F199" s="2">
        <v>80.0</v>
      </c>
      <c r="G199" s="2">
        <v>305100.0</v>
      </c>
    </row>
    <row r="200" ht="14.25" customHeight="1">
      <c r="A200" s="2">
        <v>199.0</v>
      </c>
      <c r="B200" s="2" t="s">
        <v>2501</v>
      </c>
      <c r="C200" s="2" t="s">
        <v>2701</v>
      </c>
      <c r="D200" s="2">
        <v>199.0</v>
      </c>
      <c r="E200" s="2">
        <v>1.0</v>
      </c>
      <c r="F200" s="2">
        <v>90.0</v>
      </c>
      <c r="G200" s="2">
        <v>304700.0</v>
      </c>
    </row>
    <row r="201" ht="14.25" customHeight="1">
      <c r="A201" s="2">
        <v>200.0</v>
      </c>
      <c r="B201" s="2" t="s">
        <v>2477</v>
      </c>
      <c r="C201" s="2" t="s">
        <v>2702</v>
      </c>
      <c r="D201" s="2">
        <v>152.0</v>
      </c>
      <c r="E201" s="2">
        <v>1.0</v>
      </c>
      <c r="F201" s="2">
        <v>66.0</v>
      </c>
      <c r="G201" s="2">
        <v>304600.0</v>
      </c>
    </row>
    <row r="202" ht="14.25" customHeight="1">
      <c r="A202" s="2">
        <v>201.0</v>
      </c>
      <c r="B202" s="2" t="s">
        <v>2558</v>
      </c>
      <c r="C202" s="2" t="s">
        <v>2703</v>
      </c>
      <c r="D202" s="2">
        <v>357.0</v>
      </c>
      <c r="E202" s="2">
        <v>1.0</v>
      </c>
      <c r="F202" s="2">
        <v>85.0</v>
      </c>
      <c r="G202" s="2">
        <v>304500.0</v>
      </c>
    </row>
    <row r="203" ht="14.25" customHeight="1">
      <c r="A203" s="2">
        <v>202.0</v>
      </c>
      <c r="B203" s="2" t="s">
        <v>2594</v>
      </c>
      <c r="C203" s="2" t="s">
        <v>2704</v>
      </c>
      <c r="D203" s="2">
        <v>184.0</v>
      </c>
      <c r="E203" s="2">
        <v>1.0</v>
      </c>
      <c r="F203" s="2">
        <v>60.0</v>
      </c>
      <c r="G203" s="2">
        <v>304000.0</v>
      </c>
    </row>
    <row r="204" ht="14.25" customHeight="1">
      <c r="A204" s="2">
        <v>203.0</v>
      </c>
      <c r="B204" s="2" t="s">
        <v>2524</v>
      </c>
      <c r="C204" s="2" t="s">
        <v>2705</v>
      </c>
      <c r="D204" s="2">
        <v>331.0</v>
      </c>
      <c r="E204" s="2">
        <v>1.0</v>
      </c>
      <c r="F204" s="2">
        <v>120.0</v>
      </c>
      <c r="G204" s="2">
        <v>303400.0</v>
      </c>
    </row>
    <row r="205" ht="14.25" customHeight="1">
      <c r="A205" s="2">
        <v>204.0</v>
      </c>
      <c r="B205" s="2" t="s">
        <v>2488</v>
      </c>
      <c r="C205" s="2" t="s">
        <v>2706</v>
      </c>
      <c r="D205" s="2">
        <v>333.0</v>
      </c>
      <c r="E205" s="2">
        <v>1.0</v>
      </c>
      <c r="F205" s="2">
        <v>80.0</v>
      </c>
      <c r="G205" s="2">
        <v>303200.0</v>
      </c>
    </row>
    <row r="206" ht="14.25" customHeight="1">
      <c r="A206" s="2">
        <v>205.0</v>
      </c>
      <c r="B206" s="2" t="s">
        <v>2491</v>
      </c>
      <c r="C206" s="2" t="s">
        <v>2707</v>
      </c>
      <c r="D206" s="2">
        <v>116.0</v>
      </c>
      <c r="E206" s="2">
        <v>1.0</v>
      </c>
      <c r="F206" s="2">
        <v>100.0</v>
      </c>
      <c r="G206" s="2">
        <v>302700.0</v>
      </c>
    </row>
    <row r="207" ht="14.25" customHeight="1">
      <c r="A207" s="2">
        <v>206.0</v>
      </c>
      <c r="B207" s="2" t="s">
        <v>2477</v>
      </c>
      <c r="C207" s="2" t="s">
        <v>2708</v>
      </c>
      <c r="D207" s="2">
        <v>152.0</v>
      </c>
      <c r="E207" s="2">
        <v>1.0</v>
      </c>
      <c r="F207" s="2">
        <v>200.0</v>
      </c>
      <c r="G207" s="2">
        <v>301800.0</v>
      </c>
    </row>
    <row r="208" ht="14.25" customHeight="1">
      <c r="A208" s="2">
        <v>207.0</v>
      </c>
      <c r="B208" s="2" t="s">
        <v>2491</v>
      </c>
      <c r="C208" s="2" t="s">
        <v>2709</v>
      </c>
      <c r="D208" s="2">
        <v>116.0</v>
      </c>
      <c r="E208" s="2">
        <v>1.0</v>
      </c>
      <c r="F208" s="2">
        <v>125.0</v>
      </c>
      <c r="G208" s="2">
        <v>301700.0</v>
      </c>
    </row>
    <row r="209" ht="14.25" customHeight="1">
      <c r="A209" s="2">
        <v>208.0</v>
      </c>
      <c r="B209" s="2" t="s">
        <v>2594</v>
      </c>
      <c r="C209" s="2" t="s">
        <v>2710</v>
      </c>
      <c r="D209" s="2">
        <v>184.0</v>
      </c>
      <c r="E209" s="2">
        <v>1.0</v>
      </c>
      <c r="F209" s="2">
        <v>66.0</v>
      </c>
      <c r="G209" s="2">
        <v>301400.0</v>
      </c>
    </row>
    <row r="210" ht="14.25" customHeight="1">
      <c r="A210" s="2">
        <v>209.0</v>
      </c>
      <c r="B210" s="2" t="s">
        <v>2501</v>
      </c>
      <c r="C210" s="2" t="s">
        <v>2711</v>
      </c>
      <c r="D210" s="2">
        <v>199.0</v>
      </c>
      <c r="E210" s="2">
        <v>1.0</v>
      </c>
      <c r="F210" s="2">
        <v>80.0</v>
      </c>
      <c r="G210" s="2">
        <v>300500.0</v>
      </c>
    </row>
    <row r="211" ht="14.25" customHeight="1">
      <c r="A211" s="2">
        <v>210.0</v>
      </c>
      <c r="B211" s="2" t="s">
        <v>2561</v>
      </c>
      <c r="C211" s="2" t="s">
        <v>2712</v>
      </c>
      <c r="D211" s="2">
        <v>162.0</v>
      </c>
      <c r="E211" s="2">
        <v>1.0</v>
      </c>
      <c r="F211" s="2">
        <v>156.0</v>
      </c>
      <c r="G211" s="2">
        <v>300100.0</v>
      </c>
    </row>
    <row r="212" ht="14.25" customHeight="1">
      <c r="A212" s="2">
        <v>211.0</v>
      </c>
      <c r="B212" s="2" t="s">
        <v>2477</v>
      </c>
      <c r="C212" s="2" t="s">
        <v>2713</v>
      </c>
      <c r="D212" s="2">
        <v>152.0</v>
      </c>
      <c r="E212" s="2">
        <v>1.0</v>
      </c>
      <c r="F212" s="2">
        <v>90.0</v>
      </c>
      <c r="G212" s="2">
        <v>300000.0</v>
      </c>
    </row>
    <row r="213" ht="14.25" customHeight="1">
      <c r="A213" s="2">
        <v>212.0</v>
      </c>
      <c r="B213" s="2" t="s">
        <v>2549</v>
      </c>
      <c r="C213" s="2" t="s">
        <v>2714</v>
      </c>
      <c r="D213" s="2">
        <v>115.0</v>
      </c>
      <c r="E213" s="2">
        <v>1.0</v>
      </c>
      <c r="F213" s="2">
        <v>100.0</v>
      </c>
      <c r="G213" s="2">
        <v>299500.0</v>
      </c>
    </row>
    <row r="214" ht="14.25" customHeight="1">
      <c r="A214" s="2">
        <v>213.0</v>
      </c>
      <c r="B214" s="2" t="s">
        <v>2558</v>
      </c>
      <c r="C214" s="2" t="s">
        <v>2715</v>
      </c>
      <c r="D214" s="2">
        <v>357.0</v>
      </c>
      <c r="E214" s="2">
        <v>1.0</v>
      </c>
      <c r="F214" s="2">
        <v>65.0</v>
      </c>
      <c r="G214" s="2">
        <v>299300.0</v>
      </c>
    </row>
    <row r="215" ht="14.25" customHeight="1">
      <c r="A215" s="2">
        <v>214.0</v>
      </c>
      <c r="B215" s="2" t="s">
        <v>2512</v>
      </c>
      <c r="C215" s="2" t="s">
        <v>2716</v>
      </c>
      <c r="D215" s="2">
        <v>153.0</v>
      </c>
      <c r="E215" s="2">
        <v>1.0</v>
      </c>
      <c r="F215" s="2">
        <v>75.0</v>
      </c>
      <c r="G215" s="2">
        <v>299100.0</v>
      </c>
    </row>
    <row r="216" ht="14.25" customHeight="1">
      <c r="A216" s="2">
        <v>215.0</v>
      </c>
      <c r="B216" s="2" t="s">
        <v>2553</v>
      </c>
      <c r="C216" s="2" t="s">
        <v>2717</v>
      </c>
      <c r="D216" s="2">
        <v>187.0</v>
      </c>
      <c r="E216" s="2">
        <v>1.0</v>
      </c>
      <c r="F216" s="2">
        <v>100.0</v>
      </c>
      <c r="G216" s="2">
        <v>298900.0</v>
      </c>
    </row>
    <row r="217" ht="14.25" customHeight="1">
      <c r="A217" s="2">
        <v>216.0</v>
      </c>
      <c r="B217" s="2" t="s">
        <v>2491</v>
      </c>
      <c r="C217" s="2" t="s">
        <v>2718</v>
      </c>
      <c r="D217" s="2">
        <v>116.0</v>
      </c>
      <c r="E217" s="2">
        <v>1.0</v>
      </c>
      <c r="F217" s="2">
        <v>125.0</v>
      </c>
      <c r="G217" s="2">
        <v>298600.0</v>
      </c>
    </row>
    <row r="218" ht="14.25" customHeight="1">
      <c r="A218" s="2">
        <v>217.0</v>
      </c>
      <c r="B218" s="2" t="s">
        <v>2488</v>
      </c>
      <c r="C218" s="2" t="s">
        <v>2719</v>
      </c>
      <c r="D218" s="2">
        <v>333.0</v>
      </c>
      <c r="E218" s="2">
        <v>1.0</v>
      </c>
      <c r="F218" s="2">
        <v>75.0</v>
      </c>
      <c r="G218" s="2">
        <v>298400.0</v>
      </c>
    </row>
    <row r="219" ht="14.25" customHeight="1">
      <c r="A219" s="2">
        <v>218.0</v>
      </c>
      <c r="B219" s="2" t="s">
        <v>2488</v>
      </c>
      <c r="C219" s="2" t="s">
        <v>2720</v>
      </c>
      <c r="D219" s="2">
        <v>333.0</v>
      </c>
      <c r="E219" s="2">
        <v>1.0</v>
      </c>
      <c r="F219" s="2">
        <v>100.0</v>
      </c>
      <c r="G219" s="2">
        <v>298000.0</v>
      </c>
    </row>
    <row r="220" ht="14.25" customHeight="1">
      <c r="A220" s="2">
        <v>219.0</v>
      </c>
      <c r="B220" s="2" t="s">
        <v>2488</v>
      </c>
      <c r="C220" s="2" t="s">
        <v>2721</v>
      </c>
      <c r="D220" s="2">
        <v>333.0</v>
      </c>
      <c r="E220" s="2">
        <v>1.0</v>
      </c>
      <c r="F220" s="2">
        <v>90.0</v>
      </c>
      <c r="G220" s="2">
        <v>297700.0</v>
      </c>
    </row>
    <row r="221" ht="14.25" customHeight="1">
      <c r="A221" s="2">
        <v>220.0</v>
      </c>
      <c r="B221" s="2" t="s">
        <v>2497</v>
      </c>
      <c r="C221" s="2" t="s">
        <v>2722</v>
      </c>
      <c r="D221" s="2">
        <v>151.0</v>
      </c>
      <c r="E221" s="2">
        <v>1.0</v>
      </c>
      <c r="F221" s="2">
        <v>200.0</v>
      </c>
      <c r="G221" s="2">
        <v>297500.0</v>
      </c>
    </row>
    <row r="222" ht="14.25" customHeight="1">
      <c r="A222" s="2">
        <v>221.0</v>
      </c>
      <c r="B222" s="2" t="s">
        <v>2558</v>
      </c>
      <c r="C222" s="2" t="s">
        <v>2723</v>
      </c>
      <c r="D222" s="2">
        <v>357.0</v>
      </c>
      <c r="E222" s="2">
        <v>1.0</v>
      </c>
      <c r="F222" s="2">
        <v>100.0</v>
      </c>
      <c r="G222" s="2">
        <v>297400.0</v>
      </c>
    </row>
    <row r="223" ht="14.25" customHeight="1">
      <c r="A223" s="2">
        <v>222.0</v>
      </c>
      <c r="B223" s="2" t="s">
        <v>2558</v>
      </c>
      <c r="C223" s="2" t="s">
        <v>2724</v>
      </c>
      <c r="D223" s="2">
        <v>357.0</v>
      </c>
      <c r="E223" s="2">
        <v>1.0</v>
      </c>
      <c r="F223" s="2">
        <v>66.0</v>
      </c>
      <c r="G223" s="2">
        <v>297000.0</v>
      </c>
    </row>
    <row r="224" ht="14.25" customHeight="1">
      <c r="A224" s="2">
        <v>223.0</v>
      </c>
      <c r="B224" s="2" t="s">
        <v>2604</v>
      </c>
      <c r="C224" s="2" t="s">
        <v>2725</v>
      </c>
      <c r="D224" s="2">
        <v>200.0</v>
      </c>
      <c r="E224" s="2">
        <v>1.0</v>
      </c>
      <c r="F224" s="2">
        <v>100.0</v>
      </c>
      <c r="G224" s="2">
        <v>296700.0</v>
      </c>
    </row>
    <row r="225" ht="14.25" customHeight="1">
      <c r="A225" s="2">
        <v>224.0</v>
      </c>
      <c r="B225" s="2" t="s">
        <v>2475</v>
      </c>
      <c r="C225" s="2" t="s">
        <v>2726</v>
      </c>
      <c r="D225" s="2">
        <v>143.0</v>
      </c>
      <c r="E225" s="2">
        <v>1.0</v>
      </c>
      <c r="F225" s="2">
        <v>50.0</v>
      </c>
      <c r="G225" s="2">
        <v>296500.0</v>
      </c>
    </row>
    <row r="226" ht="14.25" customHeight="1">
      <c r="A226" s="2">
        <v>225.0</v>
      </c>
      <c r="B226" s="2" t="s">
        <v>2558</v>
      </c>
      <c r="C226" s="2" t="s">
        <v>2727</v>
      </c>
      <c r="D226" s="2">
        <v>357.0</v>
      </c>
      <c r="E226" s="2">
        <v>1.0</v>
      </c>
      <c r="F226" s="2">
        <v>70.0</v>
      </c>
      <c r="G226" s="2">
        <v>296000.0</v>
      </c>
    </row>
    <row r="227" ht="14.25" customHeight="1">
      <c r="A227" s="2">
        <v>226.0</v>
      </c>
      <c r="B227" s="2" t="s">
        <v>2558</v>
      </c>
      <c r="C227" s="2" t="s">
        <v>2728</v>
      </c>
      <c r="D227" s="2">
        <v>357.0</v>
      </c>
      <c r="E227" s="2">
        <v>1.0</v>
      </c>
      <c r="F227" s="2">
        <v>85.0</v>
      </c>
      <c r="G227" s="2">
        <v>295900.0</v>
      </c>
    </row>
    <row r="228" ht="14.25" customHeight="1">
      <c r="A228" s="2">
        <v>227.0</v>
      </c>
      <c r="B228" s="2" t="s">
        <v>2561</v>
      </c>
      <c r="C228" s="2" t="s">
        <v>2729</v>
      </c>
      <c r="D228" s="2">
        <v>162.0</v>
      </c>
      <c r="E228" s="2">
        <v>1.0</v>
      </c>
      <c r="F228" s="2">
        <v>175.0</v>
      </c>
      <c r="G228" s="2">
        <v>295700.0</v>
      </c>
    </row>
    <row r="229" ht="14.25" customHeight="1">
      <c r="A229" s="2">
        <v>228.0</v>
      </c>
      <c r="B229" s="2" t="s">
        <v>2477</v>
      </c>
      <c r="C229" s="2" t="s">
        <v>2730</v>
      </c>
      <c r="D229" s="2">
        <v>152.0</v>
      </c>
      <c r="E229" s="2">
        <v>1.0</v>
      </c>
      <c r="F229" s="2">
        <v>150.0</v>
      </c>
      <c r="G229" s="2">
        <v>295600.0</v>
      </c>
    </row>
    <row r="230" ht="14.25" customHeight="1">
      <c r="A230" s="2">
        <v>229.0</v>
      </c>
      <c r="B230" s="2" t="s">
        <v>2497</v>
      </c>
      <c r="C230" s="2" t="s">
        <v>2731</v>
      </c>
      <c r="D230" s="2">
        <v>151.0</v>
      </c>
      <c r="E230" s="2">
        <v>1.0</v>
      </c>
      <c r="F230" s="2">
        <v>80.0</v>
      </c>
      <c r="G230" s="2">
        <v>295100.0</v>
      </c>
    </row>
    <row r="231" ht="14.25" customHeight="1">
      <c r="A231" s="2">
        <v>230.0</v>
      </c>
      <c r="B231" s="2" t="s">
        <v>2479</v>
      </c>
      <c r="C231" s="2" t="s">
        <v>2732</v>
      </c>
      <c r="D231" s="2">
        <v>182.0</v>
      </c>
      <c r="E231" s="2">
        <v>1.0</v>
      </c>
      <c r="F231" s="2">
        <v>100.0</v>
      </c>
      <c r="G231" s="2">
        <v>295000.0</v>
      </c>
    </row>
    <row r="232" ht="14.25" customHeight="1">
      <c r="A232" s="2">
        <v>231.0</v>
      </c>
      <c r="B232" s="2" t="s">
        <v>2621</v>
      </c>
      <c r="C232" s="2" t="s">
        <v>2733</v>
      </c>
      <c r="D232" s="2">
        <v>403.0</v>
      </c>
      <c r="E232" s="2">
        <v>1.0</v>
      </c>
      <c r="F232" s="2">
        <v>165.0</v>
      </c>
      <c r="G232" s="2">
        <v>294300.0</v>
      </c>
    </row>
    <row r="233" ht="14.25" customHeight="1">
      <c r="A233" s="2">
        <v>232.0</v>
      </c>
      <c r="B233" s="2" t="s">
        <v>2475</v>
      </c>
      <c r="C233" s="2" t="s">
        <v>2734</v>
      </c>
      <c r="D233" s="2">
        <v>143.0</v>
      </c>
      <c r="E233" s="2">
        <v>1.0</v>
      </c>
      <c r="F233" s="2">
        <v>50.0</v>
      </c>
      <c r="G233" s="2">
        <v>294100.0</v>
      </c>
    </row>
    <row r="234" ht="14.25" customHeight="1">
      <c r="A234" s="2">
        <v>233.0</v>
      </c>
      <c r="B234" s="2" t="s">
        <v>2512</v>
      </c>
      <c r="C234" s="2" t="s">
        <v>2735</v>
      </c>
      <c r="D234" s="2">
        <v>153.0</v>
      </c>
      <c r="E234" s="2">
        <v>1.0</v>
      </c>
      <c r="F234" s="2">
        <v>60.0</v>
      </c>
      <c r="G234" s="2">
        <v>294100.0</v>
      </c>
    </row>
    <row r="235" ht="14.25" customHeight="1">
      <c r="A235" s="2">
        <v>234.0</v>
      </c>
      <c r="B235" s="2" t="s">
        <v>2491</v>
      </c>
      <c r="C235" s="2" t="s">
        <v>2736</v>
      </c>
      <c r="D235" s="2">
        <v>116.0</v>
      </c>
      <c r="E235" s="2">
        <v>1.0</v>
      </c>
      <c r="F235" s="2">
        <v>100.0</v>
      </c>
      <c r="G235" s="2">
        <v>293600.0</v>
      </c>
    </row>
    <row r="236" ht="14.25" customHeight="1">
      <c r="A236" s="2">
        <v>235.0</v>
      </c>
      <c r="B236" s="2" t="s">
        <v>2501</v>
      </c>
      <c r="C236" s="2" t="s">
        <v>2737</v>
      </c>
      <c r="D236" s="2">
        <v>199.0</v>
      </c>
      <c r="E236" s="2">
        <v>1.0</v>
      </c>
      <c r="F236" s="2">
        <v>75.0</v>
      </c>
      <c r="G236" s="2">
        <v>293300.0</v>
      </c>
    </row>
    <row r="237" ht="14.25" customHeight="1">
      <c r="A237" s="2">
        <v>236.0</v>
      </c>
      <c r="B237" s="2" t="s">
        <v>2475</v>
      </c>
      <c r="C237" s="2" t="s">
        <v>2738</v>
      </c>
      <c r="D237" s="2">
        <v>143.0</v>
      </c>
      <c r="E237" s="2">
        <v>1.0</v>
      </c>
      <c r="F237" s="2">
        <v>150.0</v>
      </c>
      <c r="G237" s="2">
        <v>293100.0</v>
      </c>
    </row>
    <row r="238" ht="14.25" customHeight="1">
      <c r="A238" s="2">
        <v>237.0</v>
      </c>
      <c r="B238" s="2" t="s">
        <v>2524</v>
      </c>
      <c r="C238" s="2" t="s">
        <v>2739</v>
      </c>
      <c r="D238" s="2">
        <v>331.0</v>
      </c>
      <c r="E238" s="2">
        <v>1.0</v>
      </c>
      <c r="F238" s="2">
        <v>100.0</v>
      </c>
      <c r="G238" s="2">
        <v>292200.0</v>
      </c>
    </row>
    <row r="239" ht="14.25" customHeight="1">
      <c r="A239" s="2">
        <v>238.0</v>
      </c>
      <c r="B239" s="2" t="s">
        <v>2558</v>
      </c>
      <c r="C239" s="2" t="s">
        <v>2740</v>
      </c>
      <c r="D239" s="2">
        <v>357.0</v>
      </c>
      <c r="E239" s="2">
        <v>1.0</v>
      </c>
      <c r="F239" s="2">
        <v>90.0</v>
      </c>
      <c r="G239" s="2">
        <v>292100.0</v>
      </c>
    </row>
    <row r="240" ht="14.25" customHeight="1">
      <c r="A240" s="2">
        <v>239.0</v>
      </c>
      <c r="B240" s="2" t="s">
        <v>2488</v>
      </c>
      <c r="C240" s="2" t="s">
        <v>2741</v>
      </c>
      <c r="D240" s="2">
        <v>333.0</v>
      </c>
      <c r="E240" s="2">
        <v>1.0</v>
      </c>
      <c r="F240" s="2">
        <v>85.0</v>
      </c>
      <c r="G240" s="2">
        <v>291500.0</v>
      </c>
    </row>
    <row r="241" ht="14.25" customHeight="1">
      <c r="A241" s="2">
        <v>240.0</v>
      </c>
      <c r="B241" s="2" t="s">
        <v>2491</v>
      </c>
      <c r="C241" s="2" t="s">
        <v>2742</v>
      </c>
      <c r="D241" s="2">
        <v>116.0</v>
      </c>
      <c r="E241" s="2">
        <v>1.0</v>
      </c>
      <c r="F241" s="2">
        <v>150.0</v>
      </c>
      <c r="G241" s="2">
        <v>291200.0</v>
      </c>
    </row>
    <row r="242" ht="14.25" customHeight="1">
      <c r="A242" s="2">
        <v>241.0</v>
      </c>
      <c r="B242" s="2" t="s">
        <v>2488</v>
      </c>
      <c r="C242" s="2" t="s">
        <v>2743</v>
      </c>
      <c r="D242" s="2">
        <v>333.0</v>
      </c>
      <c r="E242" s="2">
        <v>1.0</v>
      </c>
      <c r="F242" s="2">
        <v>80.0</v>
      </c>
      <c r="G242" s="2">
        <v>290300.0</v>
      </c>
    </row>
    <row r="243" ht="14.25" customHeight="1">
      <c r="A243" s="2">
        <v>242.0</v>
      </c>
      <c r="B243" s="2" t="s">
        <v>2744</v>
      </c>
      <c r="C243" s="2" t="s">
        <v>2745</v>
      </c>
      <c r="D243" s="2">
        <v>169.0</v>
      </c>
      <c r="E243" s="2">
        <v>1.0</v>
      </c>
      <c r="F243" s="2">
        <v>85.0</v>
      </c>
      <c r="G243" s="2">
        <v>289700.0</v>
      </c>
    </row>
    <row r="244" ht="14.25" customHeight="1">
      <c r="A244" s="2">
        <v>243.0</v>
      </c>
      <c r="B244" s="2" t="s">
        <v>2594</v>
      </c>
      <c r="C244" s="2" t="s">
        <v>2746</v>
      </c>
      <c r="D244" s="2">
        <v>184.0</v>
      </c>
      <c r="E244" s="2">
        <v>1.0</v>
      </c>
      <c r="F244" s="2">
        <v>165.0</v>
      </c>
      <c r="G244" s="2">
        <v>289100.0</v>
      </c>
    </row>
    <row r="245" ht="14.25" customHeight="1">
      <c r="A245" s="2">
        <v>244.0</v>
      </c>
      <c r="B245" s="2" t="s">
        <v>2501</v>
      </c>
      <c r="C245" s="2" t="s">
        <v>2747</v>
      </c>
      <c r="D245" s="2">
        <v>199.0</v>
      </c>
      <c r="E245" s="2">
        <v>1.0</v>
      </c>
      <c r="F245" s="2">
        <v>200.0</v>
      </c>
      <c r="G245" s="2">
        <v>289000.0</v>
      </c>
    </row>
    <row r="246" ht="14.25" customHeight="1">
      <c r="A246" s="2">
        <v>245.0</v>
      </c>
      <c r="B246" s="2" t="s">
        <v>2497</v>
      </c>
      <c r="C246" s="2" t="s">
        <v>2748</v>
      </c>
      <c r="D246" s="2">
        <v>151.0</v>
      </c>
      <c r="E246" s="2">
        <v>1.0</v>
      </c>
      <c r="F246" s="2">
        <v>200.0</v>
      </c>
      <c r="G246" s="2">
        <v>288600.0</v>
      </c>
    </row>
    <row r="247" ht="14.25" customHeight="1">
      <c r="A247" s="2">
        <v>246.0</v>
      </c>
      <c r="B247" s="2" t="s">
        <v>2497</v>
      </c>
      <c r="C247" s="2" t="s">
        <v>2749</v>
      </c>
      <c r="D247" s="2">
        <v>151.0</v>
      </c>
      <c r="E247" s="2">
        <v>1.0</v>
      </c>
      <c r="F247" s="2">
        <v>100.0</v>
      </c>
      <c r="G247" s="2">
        <v>288500.0</v>
      </c>
    </row>
    <row r="248" ht="14.25" customHeight="1">
      <c r="A248" s="2">
        <v>247.0</v>
      </c>
      <c r="B248" s="2" t="s">
        <v>2477</v>
      </c>
      <c r="C248" s="2" t="s">
        <v>2750</v>
      </c>
      <c r="D248" s="2">
        <v>152.0</v>
      </c>
      <c r="E248" s="2">
        <v>1.0</v>
      </c>
      <c r="F248" s="2">
        <v>60.0</v>
      </c>
      <c r="G248" s="2">
        <v>287800.0</v>
      </c>
    </row>
    <row r="249" ht="14.25" customHeight="1">
      <c r="A249" s="2">
        <v>248.0</v>
      </c>
      <c r="B249" s="2" t="s">
        <v>2604</v>
      </c>
      <c r="C249" s="2" t="s">
        <v>2751</v>
      </c>
      <c r="D249" s="2">
        <v>200.0</v>
      </c>
      <c r="E249" s="2">
        <v>1.0</v>
      </c>
      <c r="F249" s="2">
        <v>100.0</v>
      </c>
      <c r="G249" s="2">
        <v>287400.0</v>
      </c>
    </row>
    <row r="250" ht="14.25" customHeight="1">
      <c r="A250" s="2">
        <v>249.0</v>
      </c>
      <c r="B250" s="2" t="s">
        <v>2501</v>
      </c>
      <c r="C250" s="2" t="s">
        <v>2752</v>
      </c>
      <c r="D250" s="2">
        <v>199.0</v>
      </c>
      <c r="E250" s="2">
        <v>1.0</v>
      </c>
      <c r="F250" s="2">
        <v>150.0</v>
      </c>
      <c r="G250" s="2">
        <v>287300.0</v>
      </c>
    </row>
    <row r="251" ht="14.25" customHeight="1">
      <c r="A251" s="2">
        <v>250.0</v>
      </c>
      <c r="B251" s="2" t="s">
        <v>2488</v>
      </c>
      <c r="C251" s="2" t="s">
        <v>2753</v>
      </c>
      <c r="D251" s="2">
        <v>333.0</v>
      </c>
      <c r="E251" s="2">
        <v>1.0</v>
      </c>
      <c r="F251" s="2">
        <v>80.0</v>
      </c>
      <c r="G251" s="2">
        <v>287200.0</v>
      </c>
    </row>
    <row r="252" ht="14.25" customHeight="1">
      <c r="A252" s="2">
        <v>251.0</v>
      </c>
      <c r="B252" s="2" t="s">
        <v>2477</v>
      </c>
      <c r="C252" s="2" t="s">
        <v>2754</v>
      </c>
      <c r="D252" s="2">
        <v>152.0</v>
      </c>
      <c r="E252" s="2">
        <v>1.0</v>
      </c>
      <c r="F252" s="2">
        <v>75.0</v>
      </c>
      <c r="G252" s="2">
        <v>287100.0</v>
      </c>
    </row>
    <row r="253" ht="14.25" customHeight="1">
      <c r="A253" s="2">
        <v>252.0</v>
      </c>
      <c r="B253" s="2" t="s">
        <v>2497</v>
      </c>
      <c r="C253" s="2" t="s">
        <v>2755</v>
      </c>
      <c r="D253" s="2">
        <v>151.0</v>
      </c>
      <c r="E253" s="2">
        <v>1.0</v>
      </c>
      <c r="F253" s="2">
        <v>80.0</v>
      </c>
      <c r="G253" s="2">
        <v>286900.0</v>
      </c>
    </row>
    <row r="254" ht="14.25" customHeight="1">
      <c r="A254" s="2">
        <v>253.0</v>
      </c>
      <c r="B254" s="2" t="s">
        <v>2549</v>
      </c>
      <c r="C254" s="2" t="s">
        <v>2756</v>
      </c>
      <c r="D254" s="2">
        <v>115.0</v>
      </c>
      <c r="E254" s="2">
        <v>1.0</v>
      </c>
      <c r="F254" s="2">
        <v>50.0</v>
      </c>
      <c r="G254" s="2">
        <v>286700.0</v>
      </c>
    </row>
    <row r="255" ht="14.25" customHeight="1">
      <c r="A255" s="2">
        <v>254.0</v>
      </c>
      <c r="B255" s="2" t="s">
        <v>2491</v>
      </c>
      <c r="C255" s="2" t="s">
        <v>2757</v>
      </c>
      <c r="D255" s="2">
        <v>116.0</v>
      </c>
      <c r="E255" s="2">
        <v>1.0</v>
      </c>
      <c r="F255" s="2">
        <v>150.0</v>
      </c>
      <c r="G255" s="2">
        <v>286500.0</v>
      </c>
    </row>
    <row r="256" ht="14.25" customHeight="1">
      <c r="A256" s="2">
        <v>255.0</v>
      </c>
      <c r="B256" s="2" t="s">
        <v>2475</v>
      </c>
      <c r="C256" s="2" t="s">
        <v>2758</v>
      </c>
      <c r="D256" s="2">
        <v>143.0</v>
      </c>
      <c r="E256" s="2">
        <v>1.0</v>
      </c>
      <c r="F256" s="2">
        <v>50.0</v>
      </c>
      <c r="G256" s="2">
        <v>286000.0</v>
      </c>
    </row>
    <row r="257" ht="14.25" customHeight="1">
      <c r="A257" s="2">
        <v>256.0</v>
      </c>
      <c r="B257" s="2" t="s">
        <v>2549</v>
      </c>
      <c r="C257" s="2" t="s">
        <v>2759</v>
      </c>
      <c r="D257" s="2">
        <v>115.0</v>
      </c>
      <c r="E257" s="2">
        <v>1.0</v>
      </c>
      <c r="F257" s="2">
        <v>150.0</v>
      </c>
      <c r="G257" s="2">
        <v>285500.0</v>
      </c>
    </row>
    <row r="258" ht="14.25" customHeight="1">
      <c r="A258" s="2">
        <v>257.0</v>
      </c>
      <c r="B258" s="2" t="s">
        <v>2501</v>
      </c>
      <c r="C258" s="2" t="s">
        <v>2760</v>
      </c>
      <c r="D258" s="2">
        <v>199.0</v>
      </c>
      <c r="E258" s="2">
        <v>1.0</v>
      </c>
      <c r="F258" s="2">
        <v>150.0</v>
      </c>
      <c r="G258" s="2">
        <v>285300.0</v>
      </c>
    </row>
    <row r="259" ht="14.25" customHeight="1">
      <c r="A259" s="2">
        <v>258.0</v>
      </c>
      <c r="B259" s="2" t="s">
        <v>2561</v>
      </c>
      <c r="C259" s="2" t="s">
        <v>2761</v>
      </c>
      <c r="D259" s="2">
        <v>162.0</v>
      </c>
      <c r="E259" s="2">
        <v>1.0</v>
      </c>
      <c r="F259" s="2">
        <v>80.0</v>
      </c>
      <c r="G259" s="2">
        <v>285200.0</v>
      </c>
    </row>
    <row r="260" ht="14.25" customHeight="1">
      <c r="A260" s="2">
        <v>259.0</v>
      </c>
      <c r="B260" s="2" t="s">
        <v>2582</v>
      </c>
      <c r="C260" s="2" t="s">
        <v>2762</v>
      </c>
      <c r="D260" s="2">
        <v>183.0</v>
      </c>
      <c r="E260" s="2">
        <v>1.0</v>
      </c>
      <c r="F260" s="2">
        <v>110.0</v>
      </c>
      <c r="G260" s="2">
        <v>285000.0</v>
      </c>
    </row>
    <row r="261" ht="14.25" customHeight="1">
      <c r="A261" s="2">
        <v>260.0</v>
      </c>
      <c r="B261" s="2" t="s">
        <v>2558</v>
      </c>
      <c r="C261" s="2" t="s">
        <v>2763</v>
      </c>
      <c r="D261" s="2">
        <v>357.0</v>
      </c>
      <c r="E261" s="2">
        <v>1.0</v>
      </c>
      <c r="F261" s="2">
        <v>85.0</v>
      </c>
      <c r="G261" s="2">
        <v>285000.0</v>
      </c>
    </row>
    <row r="262" ht="14.25" customHeight="1">
      <c r="A262" s="2">
        <v>261.0</v>
      </c>
      <c r="B262" s="2" t="s">
        <v>2475</v>
      </c>
      <c r="C262" s="2" t="s">
        <v>2764</v>
      </c>
      <c r="D262" s="2">
        <v>143.0</v>
      </c>
      <c r="E262" s="2">
        <v>1.0</v>
      </c>
      <c r="F262" s="2">
        <v>150.0</v>
      </c>
      <c r="G262" s="2">
        <v>284800.0</v>
      </c>
    </row>
    <row r="263" ht="14.25" customHeight="1">
      <c r="A263" s="2">
        <v>262.0</v>
      </c>
      <c r="B263" s="2" t="s">
        <v>2651</v>
      </c>
      <c r="C263" s="2" t="s">
        <v>2765</v>
      </c>
      <c r="D263" s="2">
        <v>347.0</v>
      </c>
      <c r="E263" s="2">
        <v>1.0</v>
      </c>
      <c r="F263" s="2">
        <v>85.0</v>
      </c>
      <c r="G263" s="2">
        <v>284800.0</v>
      </c>
    </row>
    <row r="264" ht="14.25" customHeight="1">
      <c r="A264" s="2">
        <v>263.0</v>
      </c>
      <c r="B264" s="2" t="s">
        <v>2534</v>
      </c>
      <c r="C264" s="2" t="s">
        <v>2766</v>
      </c>
      <c r="D264" s="2">
        <v>188.0</v>
      </c>
      <c r="E264" s="2">
        <v>1.0</v>
      </c>
      <c r="F264" s="2">
        <v>80.0</v>
      </c>
      <c r="G264" s="2">
        <v>284600.0</v>
      </c>
    </row>
    <row r="265" ht="14.25" customHeight="1">
      <c r="A265" s="2">
        <v>264.0</v>
      </c>
      <c r="B265" s="2" t="s">
        <v>2558</v>
      </c>
      <c r="C265" s="2" t="s">
        <v>2767</v>
      </c>
      <c r="D265" s="2">
        <v>357.0</v>
      </c>
      <c r="E265" s="2">
        <v>1.0</v>
      </c>
      <c r="F265" s="2">
        <v>85.0</v>
      </c>
      <c r="G265" s="2">
        <v>284400.0</v>
      </c>
    </row>
    <row r="266" ht="14.25" customHeight="1">
      <c r="A266" s="2">
        <v>265.0</v>
      </c>
      <c r="B266" s="2" t="s">
        <v>2558</v>
      </c>
      <c r="C266" s="2" t="s">
        <v>2768</v>
      </c>
      <c r="D266" s="2">
        <v>357.0</v>
      </c>
      <c r="E266" s="2">
        <v>1.0</v>
      </c>
      <c r="F266" s="2">
        <v>80.0</v>
      </c>
      <c r="G266" s="2">
        <v>284300.0</v>
      </c>
    </row>
    <row r="267" ht="14.25" customHeight="1">
      <c r="A267" s="2">
        <v>266.0</v>
      </c>
      <c r="B267" s="2" t="s">
        <v>2477</v>
      </c>
      <c r="C267" s="2" t="s">
        <v>2769</v>
      </c>
      <c r="D267" s="2">
        <v>152.0</v>
      </c>
      <c r="E267" s="2">
        <v>1.0</v>
      </c>
      <c r="F267" s="2">
        <v>66.0</v>
      </c>
      <c r="G267" s="2">
        <v>284200.0</v>
      </c>
    </row>
    <row r="268" ht="14.25" customHeight="1">
      <c r="A268" s="2">
        <v>267.0</v>
      </c>
      <c r="B268" s="2" t="s">
        <v>2582</v>
      </c>
      <c r="C268" s="2" t="s">
        <v>2770</v>
      </c>
      <c r="D268" s="2">
        <v>183.0</v>
      </c>
      <c r="E268" s="2">
        <v>1.0</v>
      </c>
      <c r="F268" s="2">
        <v>130.0</v>
      </c>
      <c r="G268" s="2">
        <v>283100.0</v>
      </c>
    </row>
    <row r="269" ht="14.25" customHeight="1">
      <c r="A269" s="2">
        <v>268.0</v>
      </c>
      <c r="B269" s="2" t="s">
        <v>2534</v>
      </c>
      <c r="C269" s="2" t="s">
        <v>2771</v>
      </c>
      <c r="D269" s="2">
        <v>188.0</v>
      </c>
      <c r="E269" s="2">
        <v>1.0</v>
      </c>
      <c r="F269" s="2">
        <v>80.0</v>
      </c>
      <c r="G269" s="2">
        <v>282600.0</v>
      </c>
    </row>
    <row r="270" ht="14.25" customHeight="1">
      <c r="A270" s="2">
        <v>269.0</v>
      </c>
      <c r="B270" s="2" t="s">
        <v>2512</v>
      </c>
      <c r="C270" s="2" t="s">
        <v>2772</v>
      </c>
      <c r="D270" s="2">
        <v>153.0</v>
      </c>
      <c r="E270" s="2">
        <v>1.0</v>
      </c>
      <c r="F270" s="2">
        <v>50.0</v>
      </c>
      <c r="G270" s="2">
        <v>282500.0</v>
      </c>
    </row>
    <row r="271" ht="14.25" customHeight="1">
      <c r="A271" s="2">
        <v>270.0</v>
      </c>
      <c r="B271" s="2" t="s">
        <v>2491</v>
      </c>
      <c r="C271" s="2" t="s">
        <v>2773</v>
      </c>
      <c r="D271" s="2">
        <v>116.0</v>
      </c>
      <c r="E271" s="2">
        <v>1.0</v>
      </c>
      <c r="F271" s="2">
        <v>150.0</v>
      </c>
      <c r="G271" s="2">
        <v>281900.0</v>
      </c>
    </row>
    <row r="272" ht="14.25" customHeight="1">
      <c r="A272" s="2">
        <v>271.0</v>
      </c>
      <c r="B272" s="2" t="s">
        <v>2524</v>
      </c>
      <c r="C272" s="2" t="s">
        <v>2774</v>
      </c>
      <c r="D272" s="2">
        <v>331.0</v>
      </c>
      <c r="E272" s="2">
        <v>1.0</v>
      </c>
      <c r="F272" s="2">
        <v>75.0</v>
      </c>
      <c r="G272" s="2">
        <v>281800.0</v>
      </c>
    </row>
    <row r="273" ht="14.25" customHeight="1">
      <c r="A273" s="2">
        <v>272.0</v>
      </c>
      <c r="B273" s="2" t="s">
        <v>2491</v>
      </c>
      <c r="C273" s="2" t="s">
        <v>2775</v>
      </c>
      <c r="D273" s="2">
        <v>116.0</v>
      </c>
      <c r="E273" s="2">
        <v>1.0</v>
      </c>
      <c r="F273" s="2">
        <v>100.0</v>
      </c>
      <c r="G273" s="2">
        <v>281600.0</v>
      </c>
    </row>
    <row r="274" ht="14.25" customHeight="1">
      <c r="A274" s="2">
        <v>273.0</v>
      </c>
      <c r="B274" s="2" t="s">
        <v>2497</v>
      </c>
      <c r="C274" s="2" t="s">
        <v>2776</v>
      </c>
      <c r="D274" s="2">
        <v>151.0</v>
      </c>
      <c r="E274" s="2">
        <v>1.0</v>
      </c>
      <c r="F274" s="2">
        <v>100.0</v>
      </c>
      <c r="G274" s="2">
        <v>281600.0</v>
      </c>
    </row>
    <row r="275" ht="14.25" customHeight="1">
      <c r="A275" s="2">
        <v>274.0</v>
      </c>
      <c r="B275" s="2" t="s">
        <v>2512</v>
      </c>
      <c r="C275" s="2" t="s">
        <v>2777</v>
      </c>
      <c r="D275" s="2">
        <v>153.0</v>
      </c>
      <c r="E275" s="2">
        <v>1.0</v>
      </c>
      <c r="F275" s="2">
        <v>100.0</v>
      </c>
      <c r="G275" s="2">
        <v>281400.0</v>
      </c>
    </row>
    <row r="276" ht="14.25" customHeight="1">
      <c r="A276" s="2">
        <v>275.0</v>
      </c>
      <c r="B276" s="2" t="s">
        <v>2549</v>
      </c>
      <c r="C276" s="2" t="s">
        <v>2778</v>
      </c>
      <c r="D276" s="2">
        <v>115.0</v>
      </c>
      <c r="E276" s="2">
        <v>1.0</v>
      </c>
      <c r="F276" s="2">
        <v>200.0</v>
      </c>
      <c r="G276" s="2">
        <v>281300.0</v>
      </c>
    </row>
    <row r="277" ht="14.25" customHeight="1">
      <c r="A277" s="2">
        <v>276.0</v>
      </c>
      <c r="B277" s="2" t="s">
        <v>2488</v>
      </c>
      <c r="C277" s="2" t="s">
        <v>2779</v>
      </c>
      <c r="D277" s="2">
        <v>333.0</v>
      </c>
      <c r="E277" s="2">
        <v>1.0</v>
      </c>
      <c r="F277" s="2">
        <v>70.0</v>
      </c>
      <c r="G277" s="2">
        <v>281300.0</v>
      </c>
    </row>
    <row r="278" ht="14.25" customHeight="1">
      <c r="A278" s="2">
        <v>277.0</v>
      </c>
      <c r="B278" s="2" t="s">
        <v>2571</v>
      </c>
      <c r="C278" s="2" t="s">
        <v>2780</v>
      </c>
      <c r="D278" s="2">
        <v>185.0</v>
      </c>
      <c r="E278" s="2">
        <v>1.0</v>
      </c>
      <c r="F278" s="2">
        <v>100.0</v>
      </c>
      <c r="G278" s="2">
        <v>281000.0</v>
      </c>
    </row>
    <row r="279" ht="14.25" customHeight="1">
      <c r="A279" s="2">
        <v>278.0</v>
      </c>
      <c r="B279" s="2" t="s">
        <v>2524</v>
      </c>
      <c r="C279" s="2" t="s">
        <v>2781</v>
      </c>
      <c r="D279" s="2">
        <v>331.0</v>
      </c>
      <c r="E279" s="2">
        <v>1.0</v>
      </c>
      <c r="F279" s="2">
        <v>100.0</v>
      </c>
      <c r="G279" s="2">
        <v>280800.0</v>
      </c>
    </row>
    <row r="280" ht="14.25" customHeight="1">
      <c r="A280" s="2">
        <v>279.0</v>
      </c>
      <c r="B280" s="2" t="s">
        <v>2497</v>
      </c>
      <c r="C280" s="2" t="s">
        <v>2782</v>
      </c>
      <c r="D280" s="2">
        <v>151.0</v>
      </c>
      <c r="E280" s="2">
        <v>1.0</v>
      </c>
      <c r="F280" s="2">
        <v>70.0</v>
      </c>
      <c r="G280" s="2">
        <v>280400.0</v>
      </c>
    </row>
    <row r="281" ht="14.25" customHeight="1">
      <c r="A281" s="2">
        <v>280.0</v>
      </c>
      <c r="B281" s="2" t="s">
        <v>2594</v>
      </c>
      <c r="C281" s="2" t="s">
        <v>2783</v>
      </c>
      <c r="D281" s="2">
        <v>184.0</v>
      </c>
      <c r="E281" s="2">
        <v>1.0</v>
      </c>
      <c r="F281" s="2">
        <v>66.0</v>
      </c>
      <c r="G281" s="2">
        <v>280300.0</v>
      </c>
    </row>
    <row r="282" ht="14.25" customHeight="1">
      <c r="A282" s="2">
        <v>281.0</v>
      </c>
      <c r="B282" s="2" t="s">
        <v>2534</v>
      </c>
      <c r="C282" s="2" t="s">
        <v>2784</v>
      </c>
      <c r="D282" s="2">
        <v>188.0</v>
      </c>
      <c r="E282" s="2">
        <v>1.0</v>
      </c>
      <c r="F282" s="2">
        <v>50.0</v>
      </c>
      <c r="G282" s="2">
        <v>280000.0</v>
      </c>
    </row>
    <row r="283" ht="14.25" customHeight="1">
      <c r="A283" s="2">
        <v>282.0</v>
      </c>
      <c r="B283" s="2" t="s">
        <v>2582</v>
      </c>
      <c r="C283" s="2" t="s">
        <v>2785</v>
      </c>
      <c r="D283" s="2">
        <v>183.0</v>
      </c>
      <c r="E283" s="2">
        <v>1.0</v>
      </c>
      <c r="F283" s="2">
        <v>50.0</v>
      </c>
      <c r="G283" s="2">
        <v>279400.0</v>
      </c>
    </row>
    <row r="284" ht="14.25" customHeight="1">
      <c r="A284" s="2">
        <v>283.0</v>
      </c>
      <c r="B284" s="2" t="s">
        <v>2594</v>
      </c>
      <c r="C284" s="2" t="s">
        <v>2786</v>
      </c>
      <c r="D284" s="2">
        <v>184.0</v>
      </c>
      <c r="E284" s="2">
        <v>1.0</v>
      </c>
      <c r="F284" s="2">
        <v>80.0</v>
      </c>
      <c r="G284" s="2">
        <v>279300.0</v>
      </c>
    </row>
    <row r="285" ht="14.25" customHeight="1">
      <c r="A285" s="2">
        <v>284.0</v>
      </c>
      <c r="B285" s="2" t="s">
        <v>2501</v>
      </c>
      <c r="C285" s="2" t="s">
        <v>2787</v>
      </c>
      <c r="D285" s="2">
        <v>199.0</v>
      </c>
      <c r="E285" s="2">
        <v>1.0</v>
      </c>
      <c r="F285" s="2">
        <v>165.0</v>
      </c>
      <c r="G285" s="2">
        <v>278900.0</v>
      </c>
    </row>
    <row r="286" ht="14.25" customHeight="1">
      <c r="A286" s="2">
        <v>285.0</v>
      </c>
      <c r="B286" s="2" t="s">
        <v>2501</v>
      </c>
      <c r="C286" s="2" t="s">
        <v>2788</v>
      </c>
      <c r="D286" s="2">
        <v>199.0</v>
      </c>
      <c r="E286" s="2">
        <v>1.0</v>
      </c>
      <c r="F286" s="2">
        <v>66.0</v>
      </c>
      <c r="G286" s="2">
        <v>278600.0</v>
      </c>
    </row>
    <row r="287" ht="14.25" customHeight="1">
      <c r="A287" s="2">
        <v>286.0</v>
      </c>
      <c r="B287" s="2" t="s">
        <v>2621</v>
      </c>
      <c r="C287" s="2" t="s">
        <v>2789</v>
      </c>
      <c r="D287" s="2">
        <v>403.0</v>
      </c>
      <c r="E287" s="2">
        <v>1.0</v>
      </c>
      <c r="F287" s="2">
        <v>100.0</v>
      </c>
      <c r="G287" s="2">
        <v>278400.0</v>
      </c>
    </row>
    <row r="288" ht="14.25" customHeight="1">
      <c r="A288" s="2">
        <v>287.0</v>
      </c>
      <c r="B288" s="2" t="s">
        <v>2475</v>
      </c>
      <c r="C288" s="2" t="s">
        <v>2790</v>
      </c>
      <c r="D288" s="2">
        <v>143.0</v>
      </c>
      <c r="E288" s="2">
        <v>1.0</v>
      </c>
      <c r="F288" s="2">
        <v>50.0</v>
      </c>
      <c r="G288" s="2">
        <v>278300.0</v>
      </c>
    </row>
    <row r="289" ht="14.25" customHeight="1">
      <c r="A289" s="2">
        <v>288.0</v>
      </c>
      <c r="B289" s="2" t="s">
        <v>2558</v>
      </c>
      <c r="C289" s="2" t="s">
        <v>2791</v>
      </c>
      <c r="D289" s="2">
        <v>357.0</v>
      </c>
      <c r="E289" s="2">
        <v>1.0</v>
      </c>
      <c r="F289" s="2">
        <v>85.0</v>
      </c>
      <c r="G289" s="2">
        <v>278200.0</v>
      </c>
    </row>
    <row r="290" ht="14.25" customHeight="1">
      <c r="A290" s="2">
        <v>289.0</v>
      </c>
      <c r="B290" s="2" t="s">
        <v>2558</v>
      </c>
      <c r="C290" s="2" t="s">
        <v>2792</v>
      </c>
      <c r="D290" s="2">
        <v>357.0</v>
      </c>
      <c r="E290" s="2">
        <v>1.0</v>
      </c>
      <c r="F290" s="2">
        <v>100.0</v>
      </c>
      <c r="G290" s="2">
        <v>278100.0</v>
      </c>
    </row>
    <row r="291" ht="14.25" customHeight="1">
      <c r="A291" s="2">
        <v>290.0</v>
      </c>
      <c r="B291" s="2" t="s">
        <v>2558</v>
      </c>
      <c r="C291" s="2" t="s">
        <v>2793</v>
      </c>
      <c r="D291" s="2">
        <v>357.0</v>
      </c>
      <c r="E291" s="2">
        <v>1.0</v>
      </c>
      <c r="F291" s="2">
        <v>100.0</v>
      </c>
      <c r="G291" s="2">
        <v>278000.0</v>
      </c>
    </row>
    <row r="292" ht="14.25" customHeight="1">
      <c r="A292" s="2">
        <v>291.0</v>
      </c>
      <c r="B292" s="2" t="s">
        <v>2549</v>
      </c>
      <c r="C292" s="2" t="s">
        <v>2794</v>
      </c>
      <c r="D292" s="2">
        <v>115.0</v>
      </c>
      <c r="E292" s="2">
        <v>1.0</v>
      </c>
      <c r="F292" s="2">
        <v>50.0</v>
      </c>
      <c r="G292" s="2">
        <v>277300.0</v>
      </c>
    </row>
    <row r="293" ht="14.25" customHeight="1">
      <c r="A293" s="2">
        <v>292.0</v>
      </c>
      <c r="B293" s="2" t="s">
        <v>2501</v>
      </c>
      <c r="C293" s="2" t="s">
        <v>2795</v>
      </c>
      <c r="D293" s="2">
        <v>199.0</v>
      </c>
      <c r="E293" s="2">
        <v>1.0</v>
      </c>
      <c r="F293" s="2">
        <v>100.0</v>
      </c>
      <c r="G293" s="2">
        <v>277300.0</v>
      </c>
    </row>
    <row r="294" ht="14.25" customHeight="1">
      <c r="A294" s="2">
        <v>293.0</v>
      </c>
      <c r="B294" s="2" t="s">
        <v>2549</v>
      </c>
      <c r="C294" s="2" t="s">
        <v>2796</v>
      </c>
      <c r="D294" s="2">
        <v>115.0</v>
      </c>
      <c r="E294" s="2">
        <v>1.0</v>
      </c>
      <c r="F294" s="2">
        <v>50.0</v>
      </c>
      <c r="G294" s="2">
        <v>277200.0</v>
      </c>
    </row>
    <row r="295" ht="14.25" customHeight="1">
      <c r="A295" s="2">
        <v>294.0</v>
      </c>
      <c r="B295" s="2" t="s">
        <v>2477</v>
      </c>
      <c r="C295" s="2" t="s">
        <v>2797</v>
      </c>
      <c r="D295" s="2">
        <v>152.0</v>
      </c>
      <c r="E295" s="2">
        <v>1.0</v>
      </c>
      <c r="F295" s="2">
        <v>100.0</v>
      </c>
      <c r="G295" s="2">
        <v>277000.0</v>
      </c>
    </row>
    <row r="296" ht="14.25" customHeight="1">
      <c r="A296" s="2">
        <v>295.0</v>
      </c>
      <c r="B296" s="2" t="s">
        <v>2477</v>
      </c>
      <c r="C296" s="2" t="s">
        <v>2798</v>
      </c>
      <c r="D296" s="2">
        <v>152.0</v>
      </c>
      <c r="E296" s="2">
        <v>1.0</v>
      </c>
      <c r="F296" s="2">
        <v>120.0</v>
      </c>
      <c r="G296" s="2">
        <v>276900.0</v>
      </c>
    </row>
    <row r="297" ht="14.25" customHeight="1">
      <c r="A297" s="2">
        <v>296.0</v>
      </c>
      <c r="B297" s="2" t="s">
        <v>2501</v>
      </c>
      <c r="C297" s="2" t="s">
        <v>2799</v>
      </c>
      <c r="D297" s="2">
        <v>199.0</v>
      </c>
      <c r="E297" s="2">
        <v>1.0</v>
      </c>
      <c r="F297" s="2">
        <v>75.0</v>
      </c>
      <c r="G297" s="2">
        <v>276800.0</v>
      </c>
    </row>
    <row r="298" ht="14.25" customHeight="1">
      <c r="A298" s="2">
        <v>297.0</v>
      </c>
      <c r="B298" s="2" t="s">
        <v>2558</v>
      </c>
      <c r="C298" s="2" t="s">
        <v>2800</v>
      </c>
      <c r="D298" s="2">
        <v>357.0</v>
      </c>
      <c r="E298" s="2">
        <v>1.0</v>
      </c>
      <c r="F298" s="2">
        <v>100.0</v>
      </c>
      <c r="G298" s="2">
        <v>276100.0</v>
      </c>
    </row>
    <row r="299" ht="14.25" customHeight="1">
      <c r="A299" s="2">
        <v>298.0</v>
      </c>
      <c r="B299" s="2" t="s">
        <v>2477</v>
      </c>
      <c r="C299" s="2" t="s">
        <v>2801</v>
      </c>
      <c r="D299" s="2">
        <v>152.0</v>
      </c>
      <c r="E299" s="2">
        <v>1.0</v>
      </c>
      <c r="F299" s="2">
        <v>100.0</v>
      </c>
      <c r="G299" s="2">
        <v>276000.0</v>
      </c>
    </row>
    <row r="300" ht="14.25" customHeight="1">
      <c r="A300" s="2">
        <v>299.0</v>
      </c>
      <c r="B300" s="2" t="s">
        <v>2488</v>
      </c>
      <c r="C300" s="2" t="s">
        <v>2802</v>
      </c>
      <c r="D300" s="2">
        <v>333.0</v>
      </c>
      <c r="E300" s="2">
        <v>1.0</v>
      </c>
      <c r="F300" s="2">
        <v>50.0</v>
      </c>
      <c r="G300" s="2">
        <v>276000.0</v>
      </c>
    </row>
    <row r="301" ht="14.25" customHeight="1">
      <c r="A301" s="2">
        <v>300.0</v>
      </c>
      <c r="B301" s="2" t="s">
        <v>2501</v>
      </c>
      <c r="C301" s="2" t="s">
        <v>2803</v>
      </c>
      <c r="D301" s="2">
        <v>199.0</v>
      </c>
      <c r="E301" s="2">
        <v>1.0</v>
      </c>
      <c r="F301" s="2">
        <v>90.0</v>
      </c>
      <c r="G301" s="2">
        <v>275800.0</v>
      </c>
    </row>
    <row r="302" ht="14.25" customHeight="1">
      <c r="A302" s="2">
        <v>301.0</v>
      </c>
      <c r="B302" s="2" t="s">
        <v>2488</v>
      </c>
      <c r="C302" s="2" t="s">
        <v>2804</v>
      </c>
      <c r="D302" s="2">
        <v>333.0</v>
      </c>
      <c r="E302" s="2">
        <v>1.0</v>
      </c>
      <c r="F302" s="2">
        <v>100.0</v>
      </c>
      <c r="G302" s="2">
        <v>275800.0</v>
      </c>
    </row>
    <row r="303" ht="14.25" customHeight="1">
      <c r="A303" s="2">
        <v>302.0</v>
      </c>
      <c r="B303" s="2" t="s">
        <v>2541</v>
      </c>
      <c r="C303" s="2" t="s">
        <v>2805</v>
      </c>
      <c r="D303" s="2">
        <v>195.0</v>
      </c>
      <c r="E303" s="2">
        <v>1.0</v>
      </c>
      <c r="F303" s="2">
        <v>80.0</v>
      </c>
      <c r="G303" s="2">
        <v>275500.0</v>
      </c>
    </row>
    <row r="304" ht="14.25" customHeight="1">
      <c r="A304" s="2">
        <v>303.0</v>
      </c>
      <c r="B304" s="2" t="s">
        <v>2488</v>
      </c>
      <c r="C304" s="2" t="s">
        <v>2806</v>
      </c>
      <c r="D304" s="2">
        <v>333.0</v>
      </c>
      <c r="E304" s="2">
        <v>1.0</v>
      </c>
      <c r="F304" s="2">
        <v>85.0</v>
      </c>
      <c r="G304" s="2">
        <v>275300.0</v>
      </c>
    </row>
    <row r="305" ht="14.25" customHeight="1">
      <c r="A305" s="2">
        <v>304.0</v>
      </c>
      <c r="B305" s="2" t="s">
        <v>2604</v>
      </c>
      <c r="C305" s="2" t="s">
        <v>2807</v>
      </c>
      <c r="D305" s="2">
        <v>200.0</v>
      </c>
      <c r="E305" s="2">
        <v>1.0</v>
      </c>
      <c r="F305" s="2">
        <v>75.0</v>
      </c>
      <c r="G305" s="2">
        <v>275200.0</v>
      </c>
    </row>
    <row r="306" ht="14.25" customHeight="1">
      <c r="A306" s="2">
        <v>305.0</v>
      </c>
      <c r="B306" s="2" t="s">
        <v>2488</v>
      </c>
      <c r="C306" s="2" t="s">
        <v>2808</v>
      </c>
      <c r="D306" s="2">
        <v>333.0</v>
      </c>
      <c r="E306" s="2">
        <v>1.0</v>
      </c>
      <c r="F306" s="2">
        <v>90.0</v>
      </c>
      <c r="G306" s="2">
        <v>275200.0</v>
      </c>
    </row>
    <row r="307" ht="14.25" customHeight="1">
      <c r="A307" s="2">
        <v>306.0</v>
      </c>
      <c r="B307" s="2" t="s">
        <v>2594</v>
      </c>
      <c r="C307" s="2" t="s">
        <v>2809</v>
      </c>
      <c r="D307" s="2">
        <v>184.0</v>
      </c>
      <c r="E307" s="2">
        <v>1.0</v>
      </c>
      <c r="F307" s="2">
        <v>80.0</v>
      </c>
      <c r="G307" s="2">
        <v>275100.0</v>
      </c>
    </row>
    <row r="308" ht="14.25" customHeight="1">
      <c r="A308" s="2">
        <v>307.0</v>
      </c>
      <c r="B308" s="2" t="s">
        <v>2503</v>
      </c>
      <c r="C308" s="2" t="s">
        <v>2810</v>
      </c>
      <c r="D308" s="2">
        <v>105.0</v>
      </c>
      <c r="E308" s="2">
        <v>1.0</v>
      </c>
      <c r="F308" s="2">
        <v>100.0</v>
      </c>
      <c r="G308" s="2">
        <v>274900.0</v>
      </c>
    </row>
    <row r="309" ht="14.25" customHeight="1">
      <c r="A309" s="2">
        <v>308.0</v>
      </c>
      <c r="B309" s="2" t="s">
        <v>2512</v>
      </c>
      <c r="C309" s="2" t="s">
        <v>2811</v>
      </c>
      <c r="D309" s="2">
        <v>153.0</v>
      </c>
      <c r="E309" s="2">
        <v>1.0</v>
      </c>
      <c r="F309" s="2">
        <v>100.0</v>
      </c>
      <c r="G309" s="2">
        <v>274700.0</v>
      </c>
    </row>
    <row r="310" ht="14.25" customHeight="1">
      <c r="A310" s="2">
        <v>309.0</v>
      </c>
      <c r="B310" s="2" t="s">
        <v>2491</v>
      </c>
      <c r="C310" s="2" t="s">
        <v>2812</v>
      </c>
      <c r="D310" s="2">
        <v>116.0</v>
      </c>
      <c r="E310" s="2">
        <v>1.0</v>
      </c>
      <c r="F310" s="2">
        <v>125.0</v>
      </c>
      <c r="G310" s="2">
        <v>274600.0</v>
      </c>
    </row>
    <row r="311" ht="14.25" customHeight="1">
      <c r="A311" s="2">
        <v>310.0</v>
      </c>
      <c r="B311" s="2" t="s">
        <v>2558</v>
      </c>
      <c r="C311" s="2" t="s">
        <v>2813</v>
      </c>
      <c r="D311" s="2">
        <v>357.0</v>
      </c>
      <c r="E311" s="2">
        <v>1.0</v>
      </c>
      <c r="F311" s="2">
        <v>100.0</v>
      </c>
      <c r="G311" s="2">
        <v>274500.0</v>
      </c>
    </row>
    <row r="312" ht="14.25" customHeight="1">
      <c r="A312" s="2">
        <v>311.0</v>
      </c>
      <c r="B312" s="2" t="s">
        <v>2505</v>
      </c>
      <c r="C312" s="2" t="s">
        <v>2814</v>
      </c>
      <c r="D312" s="2">
        <v>429.0</v>
      </c>
      <c r="E312" s="2">
        <v>1.0</v>
      </c>
      <c r="F312" s="2">
        <v>160.0</v>
      </c>
      <c r="G312" s="2">
        <v>274300.0</v>
      </c>
    </row>
    <row r="313" ht="14.25" customHeight="1">
      <c r="A313" s="2">
        <v>312.0</v>
      </c>
      <c r="B313" s="2" t="s">
        <v>2501</v>
      </c>
      <c r="C313" s="2" t="s">
        <v>2815</v>
      </c>
      <c r="D313" s="2">
        <v>199.0</v>
      </c>
      <c r="E313" s="2">
        <v>1.0</v>
      </c>
      <c r="F313" s="2">
        <v>66.0</v>
      </c>
      <c r="G313" s="2">
        <v>274200.0</v>
      </c>
    </row>
    <row r="314" ht="14.25" customHeight="1">
      <c r="A314" s="2">
        <v>313.0</v>
      </c>
      <c r="B314" s="2" t="s">
        <v>2488</v>
      </c>
      <c r="C314" s="2" t="s">
        <v>2816</v>
      </c>
      <c r="D314" s="2">
        <v>333.0</v>
      </c>
      <c r="E314" s="2">
        <v>1.0</v>
      </c>
      <c r="F314" s="2">
        <v>100.0</v>
      </c>
      <c r="G314" s="2">
        <v>274200.0</v>
      </c>
    </row>
    <row r="315" ht="14.25" customHeight="1">
      <c r="A315" s="2">
        <v>314.0</v>
      </c>
      <c r="B315" s="2" t="s">
        <v>2475</v>
      </c>
      <c r="C315" s="2" t="s">
        <v>2817</v>
      </c>
      <c r="D315" s="2">
        <v>143.0</v>
      </c>
      <c r="E315" s="2">
        <v>1.0</v>
      </c>
      <c r="F315" s="2">
        <v>52.0</v>
      </c>
      <c r="G315" s="2">
        <v>273900.0</v>
      </c>
    </row>
    <row r="316" ht="14.25" customHeight="1">
      <c r="A316" s="2">
        <v>315.0</v>
      </c>
      <c r="B316" s="2" t="s">
        <v>2488</v>
      </c>
      <c r="C316" s="2" t="s">
        <v>2818</v>
      </c>
      <c r="D316" s="2">
        <v>333.0</v>
      </c>
      <c r="E316" s="2">
        <v>1.0</v>
      </c>
      <c r="F316" s="2">
        <v>70.0</v>
      </c>
      <c r="G316" s="2">
        <v>273700.0</v>
      </c>
    </row>
    <row r="317" ht="14.25" customHeight="1">
      <c r="A317" s="2">
        <v>316.0</v>
      </c>
      <c r="B317" s="2" t="s">
        <v>2488</v>
      </c>
      <c r="C317" s="2" t="s">
        <v>2819</v>
      </c>
      <c r="D317" s="2">
        <v>333.0</v>
      </c>
      <c r="E317" s="2">
        <v>1.0</v>
      </c>
      <c r="F317" s="2">
        <v>110.0</v>
      </c>
      <c r="G317" s="2">
        <v>273500.0</v>
      </c>
    </row>
    <row r="318" ht="14.25" customHeight="1">
      <c r="A318" s="2">
        <v>317.0</v>
      </c>
      <c r="B318" s="2" t="s">
        <v>2503</v>
      </c>
      <c r="C318" s="2" t="s">
        <v>2820</v>
      </c>
      <c r="D318" s="2">
        <v>105.0</v>
      </c>
      <c r="E318" s="2">
        <v>1.0</v>
      </c>
      <c r="F318" s="2">
        <v>100.0</v>
      </c>
      <c r="G318" s="2">
        <v>272400.0</v>
      </c>
    </row>
    <row r="319" ht="14.25" customHeight="1">
      <c r="A319" s="2">
        <v>318.0</v>
      </c>
      <c r="B319" s="2" t="s">
        <v>2553</v>
      </c>
      <c r="C319" s="2" t="s">
        <v>2821</v>
      </c>
      <c r="D319" s="2">
        <v>187.0</v>
      </c>
      <c r="E319" s="2">
        <v>1.0</v>
      </c>
      <c r="F319" s="2">
        <v>100.0</v>
      </c>
      <c r="G319" s="2">
        <v>272300.0</v>
      </c>
    </row>
    <row r="320" ht="14.25" customHeight="1">
      <c r="A320" s="2">
        <v>319.0</v>
      </c>
      <c r="B320" s="2" t="s">
        <v>2475</v>
      </c>
      <c r="C320" s="2" t="s">
        <v>2822</v>
      </c>
      <c r="D320" s="2">
        <v>143.0</v>
      </c>
      <c r="E320" s="2">
        <v>1.0</v>
      </c>
      <c r="F320" s="2">
        <v>50.0</v>
      </c>
      <c r="G320" s="2">
        <v>272100.0</v>
      </c>
    </row>
    <row r="321" ht="14.25" customHeight="1">
      <c r="A321" s="2">
        <v>320.0</v>
      </c>
      <c r="B321" s="2" t="s">
        <v>2491</v>
      </c>
      <c r="C321" s="2" t="s">
        <v>2823</v>
      </c>
      <c r="D321" s="2">
        <v>116.0</v>
      </c>
      <c r="E321" s="2">
        <v>1.0</v>
      </c>
      <c r="F321" s="2">
        <v>100.0</v>
      </c>
      <c r="G321" s="2">
        <v>271800.0</v>
      </c>
    </row>
    <row r="322" ht="14.25" customHeight="1">
      <c r="A322" s="2">
        <v>321.0</v>
      </c>
      <c r="B322" s="2" t="s">
        <v>2491</v>
      </c>
      <c r="C322" s="2" t="s">
        <v>2824</v>
      </c>
      <c r="D322" s="2">
        <v>116.0</v>
      </c>
      <c r="E322" s="2">
        <v>1.0</v>
      </c>
      <c r="F322" s="2">
        <v>100.0</v>
      </c>
      <c r="G322" s="2">
        <v>271800.0</v>
      </c>
    </row>
    <row r="323" ht="14.25" customHeight="1">
      <c r="A323" s="2">
        <v>322.0</v>
      </c>
      <c r="B323" s="2" t="s">
        <v>2477</v>
      </c>
      <c r="C323" s="2" t="s">
        <v>2825</v>
      </c>
      <c r="D323" s="2">
        <v>152.0</v>
      </c>
      <c r="E323" s="2">
        <v>1.0</v>
      </c>
      <c r="F323" s="2">
        <v>66.0</v>
      </c>
      <c r="G323" s="2">
        <v>271800.0</v>
      </c>
    </row>
    <row r="324" ht="14.25" customHeight="1">
      <c r="A324" s="2">
        <v>323.0</v>
      </c>
      <c r="B324" s="2" t="s">
        <v>2501</v>
      </c>
      <c r="C324" s="2" t="s">
        <v>2826</v>
      </c>
      <c r="D324" s="2">
        <v>199.0</v>
      </c>
      <c r="E324" s="2">
        <v>1.0</v>
      </c>
      <c r="F324" s="2">
        <v>90.0</v>
      </c>
      <c r="G324" s="2">
        <v>271800.0</v>
      </c>
    </row>
    <row r="325" ht="14.25" customHeight="1">
      <c r="A325" s="2">
        <v>324.0</v>
      </c>
      <c r="B325" s="2" t="s">
        <v>2488</v>
      </c>
      <c r="C325" s="2" t="s">
        <v>2827</v>
      </c>
      <c r="D325" s="2">
        <v>333.0</v>
      </c>
      <c r="E325" s="2">
        <v>1.0</v>
      </c>
      <c r="F325" s="2">
        <v>80.0</v>
      </c>
      <c r="G325" s="2">
        <v>271700.0</v>
      </c>
    </row>
    <row r="326" ht="14.25" customHeight="1">
      <c r="A326" s="2">
        <v>325.0</v>
      </c>
      <c r="B326" s="2" t="s">
        <v>2488</v>
      </c>
      <c r="C326" s="2" t="s">
        <v>2828</v>
      </c>
      <c r="D326" s="2">
        <v>333.0</v>
      </c>
      <c r="E326" s="2">
        <v>1.0</v>
      </c>
      <c r="F326" s="2">
        <v>75.0</v>
      </c>
      <c r="G326" s="2">
        <v>271500.0</v>
      </c>
    </row>
    <row r="327" ht="14.25" customHeight="1">
      <c r="A327" s="2">
        <v>326.0</v>
      </c>
      <c r="B327" s="2" t="s">
        <v>2553</v>
      </c>
      <c r="C327" s="2" t="s">
        <v>2829</v>
      </c>
      <c r="D327" s="2">
        <v>187.0</v>
      </c>
      <c r="E327" s="2">
        <v>1.0</v>
      </c>
      <c r="F327" s="2">
        <v>130.0</v>
      </c>
      <c r="G327" s="2">
        <v>271300.0</v>
      </c>
    </row>
    <row r="328" ht="14.25" customHeight="1">
      <c r="A328" s="2">
        <v>327.0</v>
      </c>
      <c r="B328" s="2" t="s">
        <v>2501</v>
      </c>
      <c r="C328" s="2" t="s">
        <v>2830</v>
      </c>
      <c r="D328" s="2">
        <v>199.0</v>
      </c>
      <c r="E328" s="2">
        <v>1.0</v>
      </c>
      <c r="F328" s="2">
        <v>99.0</v>
      </c>
      <c r="G328" s="2">
        <v>270900.0</v>
      </c>
    </row>
    <row r="329" ht="14.25" customHeight="1">
      <c r="A329" s="2">
        <v>328.0</v>
      </c>
      <c r="B329" s="2" t="s">
        <v>2558</v>
      </c>
      <c r="C329" s="2" t="s">
        <v>2831</v>
      </c>
      <c r="D329" s="2">
        <v>357.0</v>
      </c>
      <c r="E329" s="2">
        <v>1.0</v>
      </c>
      <c r="F329" s="2">
        <v>100.0</v>
      </c>
      <c r="G329" s="2">
        <v>270900.0</v>
      </c>
    </row>
    <row r="330" ht="14.25" customHeight="1">
      <c r="A330" s="2">
        <v>329.0</v>
      </c>
      <c r="B330" s="2" t="s">
        <v>2558</v>
      </c>
      <c r="C330" s="2" t="s">
        <v>2832</v>
      </c>
      <c r="D330" s="2">
        <v>357.0</v>
      </c>
      <c r="E330" s="2">
        <v>1.0</v>
      </c>
      <c r="F330" s="2">
        <v>85.0</v>
      </c>
      <c r="G330" s="2">
        <v>270800.0</v>
      </c>
    </row>
    <row r="331" ht="14.25" customHeight="1">
      <c r="A331" s="2">
        <v>330.0</v>
      </c>
      <c r="B331" s="2" t="s">
        <v>2744</v>
      </c>
      <c r="C331" s="2" t="s">
        <v>2833</v>
      </c>
      <c r="D331" s="2">
        <v>169.0</v>
      </c>
      <c r="E331" s="2">
        <v>1.0</v>
      </c>
      <c r="F331" s="2">
        <v>70.0</v>
      </c>
      <c r="G331" s="2">
        <v>270500.0</v>
      </c>
    </row>
    <row r="332" ht="14.25" customHeight="1">
      <c r="A332" s="2">
        <v>331.0</v>
      </c>
      <c r="B332" s="2" t="s">
        <v>2501</v>
      </c>
      <c r="C332" s="2" t="s">
        <v>2834</v>
      </c>
      <c r="D332" s="2">
        <v>199.0</v>
      </c>
      <c r="E332" s="2">
        <v>1.0</v>
      </c>
      <c r="F332" s="2">
        <v>99.0</v>
      </c>
      <c r="G332" s="2">
        <v>270500.0</v>
      </c>
    </row>
    <row r="333" ht="14.25" customHeight="1">
      <c r="A333" s="2">
        <v>332.0</v>
      </c>
      <c r="B333" s="2" t="s">
        <v>2558</v>
      </c>
      <c r="C333" s="2" t="s">
        <v>2835</v>
      </c>
      <c r="D333" s="2">
        <v>357.0</v>
      </c>
      <c r="E333" s="2">
        <v>1.0</v>
      </c>
      <c r="F333" s="2">
        <v>85.0</v>
      </c>
      <c r="G333" s="2">
        <v>270400.0</v>
      </c>
    </row>
    <row r="334" ht="14.25" customHeight="1">
      <c r="A334" s="2">
        <v>333.0</v>
      </c>
      <c r="B334" s="2" t="s">
        <v>2558</v>
      </c>
      <c r="C334" s="2" t="s">
        <v>2836</v>
      </c>
      <c r="D334" s="2">
        <v>357.0</v>
      </c>
      <c r="E334" s="2">
        <v>1.0</v>
      </c>
      <c r="F334" s="2">
        <v>85.0</v>
      </c>
      <c r="G334" s="2">
        <v>270300.0</v>
      </c>
    </row>
    <row r="335" ht="14.25" customHeight="1">
      <c r="A335" s="2">
        <v>334.0</v>
      </c>
      <c r="B335" s="2" t="s">
        <v>2558</v>
      </c>
      <c r="C335" s="2" t="s">
        <v>2837</v>
      </c>
      <c r="D335" s="2">
        <v>357.0</v>
      </c>
      <c r="E335" s="2">
        <v>1.0</v>
      </c>
      <c r="F335" s="2">
        <v>160.0</v>
      </c>
      <c r="G335" s="2">
        <v>270100.0</v>
      </c>
    </row>
    <row r="336" ht="14.25" customHeight="1">
      <c r="A336" s="2">
        <v>335.0</v>
      </c>
      <c r="B336" s="2" t="s">
        <v>2491</v>
      </c>
      <c r="C336" s="2" t="s">
        <v>2838</v>
      </c>
      <c r="D336" s="2">
        <v>116.0</v>
      </c>
      <c r="E336" s="2">
        <v>1.0</v>
      </c>
      <c r="F336" s="2">
        <v>150.0</v>
      </c>
      <c r="G336" s="2">
        <v>269800.0</v>
      </c>
    </row>
    <row r="337" ht="14.25" customHeight="1">
      <c r="A337" s="2">
        <v>336.0</v>
      </c>
      <c r="B337" s="2" t="s">
        <v>2636</v>
      </c>
      <c r="C337" s="2" t="s">
        <v>2839</v>
      </c>
      <c r="D337" s="2">
        <v>145.0</v>
      </c>
      <c r="E337" s="2">
        <v>1.0</v>
      </c>
      <c r="F337" s="2">
        <v>150.0</v>
      </c>
      <c r="G337" s="2">
        <v>269400.0</v>
      </c>
    </row>
    <row r="338" ht="14.25" customHeight="1">
      <c r="A338" s="2">
        <v>337.0</v>
      </c>
      <c r="B338" s="2" t="s">
        <v>2477</v>
      </c>
      <c r="C338" s="2" t="s">
        <v>2840</v>
      </c>
      <c r="D338" s="2">
        <v>152.0</v>
      </c>
      <c r="E338" s="2">
        <v>1.0</v>
      </c>
      <c r="F338" s="2">
        <v>66.0</v>
      </c>
      <c r="G338" s="2">
        <v>269200.0</v>
      </c>
    </row>
    <row r="339" ht="14.25" customHeight="1">
      <c r="A339" s="2">
        <v>338.0</v>
      </c>
      <c r="B339" s="2" t="s">
        <v>2503</v>
      </c>
      <c r="C339" s="2" t="s">
        <v>2841</v>
      </c>
      <c r="D339" s="2">
        <v>105.0</v>
      </c>
      <c r="E339" s="2">
        <v>1.0</v>
      </c>
      <c r="F339" s="2">
        <v>100.0</v>
      </c>
      <c r="G339" s="2">
        <v>268700.0</v>
      </c>
    </row>
    <row r="340" ht="14.25" customHeight="1">
      <c r="A340" s="2">
        <v>339.0</v>
      </c>
      <c r="B340" s="2" t="s">
        <v>2558</v>
      </c>
      <c r="C340" s="2" t="s">
        <v>2842</v>
      </c>
      <c r="D340" s="2">
        <v>357.0</v>
      </c>
      <c r="E340" s="2">
        <v>1.0</v>
      </c>
      <c r="F340" s="2">
        <v>50.0</v>
      </c>
      <c r="G340" s="2">
        <v>268400.0</v>
      </c>
    </row>
    <row r="341" ht="14.25" customHeight="1">
      <c r="A341" s="2">
        <v>340.0</v>
      </c>
      <c r="B341" s="2" t="s">
        <v>2503</v>
      </c>
      <c r="C341" s="2" t="s">
        <v>2843</v>
      </c>
      <c r="D341" s="2">
        <v>105.0</v>
      </c>
      <c r="E341" s="2">
        <v>1.0</v>
      </c>
      <c r="F341" s="2">
        <v>150.0</v>
      </c>
      <c r="G341" s="2">
        <v>267900.0</v>
      </c>
    </row>
    <row r="342" ht="14.25" customHeight="1">
      <c r="A342" s="2">
        <v>341.0</v>
      </c>
      <c r="B342" s="2" t="s">
        <v>2518</v>
      </c>
      <c r="C342" s="2" t="s">
        <v>2844</v>
      </c>
      <c r="D342" s="2">
        <v>161.0</v>
      </c>
      <c r="E342" s="2">
        <v>1.0</v>
      </c>
      <c r="F342" s="2">
        <v>75.0</v>
      </c>
      <c r="G342" s="2">
        <v>267800.0</v>
      </c>
    </row>
    <row r="343" ht="14.25" customHeight="1">
      <c r="A343" s="2">
        <v>342.0</v>
      </c>
      <c r="B343" s="2" t="s">
        <v>2576</v>
      </c>
      <c r="C343" s="2" t="s">
        <v>2845</v>
      </c>
      <c r="D343" s="2">
        <v>197.0</v>
      </c>
      <c r="E343" s="2">
        <v>1.0</v>
      </c>
      <c r="F343" s="2">
        <v>200.0</v>
      </c>
      <c r="G343" s="2">
        <v>267700.0</v>
      </c>
    </row>
    <row r="344" ht="14.25" customHeight="1">
      <c r="A344" s="2">
        <v>343.0</v>
      </c>
      <c r="B344" s="2" t="s">
        <v>2488</v>
      </c>
      <c r="C344" s="2" t="s">
        <v>2846</v>
      </c>
      <c r="D344" s="2">
        <v>333.0</v>
      </c>
      <c r="E344" s="2">
        <v>1.0</v>
      </c>
      <c r="F344" s="2">
        <v>70.0</v>
      </c>
      <c r="G344" s="2">
        <v>267700.0</v>
      </c>
    </row>
    <row r="345" ht="14.25" customHeight="1">
      <c r="A345" s="2">
        <v>344.0</v>
      </c>
      <c r="B345" s="2" t="s">
        <v>2558</v>
      </c>
      <c r="C345" s="2" t="s">
        <v>2847</v>
      </c>
      <c r="D345" s="2">
        <v>357.0</v>
      </c>
      <c r="E345" s="2">
        <v>1.0</v>
      </c>
      <c r="F345" s="2">
        <v>100.0</v>
      </c>
      <c r="G345" s="2">
        <v>267500.0</v>
      </c>
    </row>
    <row r="346" ht="14.25" customHeight="1">
      <c r="A346" s="2">
        <v>345.0</v>
      </c>
      <c r="B346" s="2" t="s">
        <v>2497</v>
      </c>
      <c r="C346" s="2" t="s">
        <v>2848</v>
      </c>
      <c r="D346" s="2">
        <v>151.0</v>
      </c>
      <c r="E346" s="2">
        <v>1.0</v>
      </c>
      <c r="F346" s="2">
        <v>80.0</v>
      </c>
      <c r="G346" s="2">
        <v>267200.0</v>
      </c>
    </row>
    <row r="347" ht="14.25" customHeight="1">
      <c r="A347" s="2">
        <v>346.0</v>
      </c>
      <c r="B347" s="2" t="s">
        <v>2524</v>
      </c>
      <c r="C347" s="2" t="s">
        <v>2849</v>
      </c>
      <c r="D347" s="2">
        <v>331.0</v>
      </c>
      <c r="E347" s="2">
        <v>1.0</v>
      </c>
      <c r="F347" s="2">
        <v>120.0</v>
      </c>
      <c r="G347" s="2">
        <v>267200.0</v>
      </c>
    </row>
    <row r="348" ht="14.25" customHeight="1">
      <c r="A348" s="2">
        <v>347.0</v>
      </c>
      <c r="B348" s="2" t="s">
        <v>2541</v>
      </c>
      <c r="C348" s="2" t="s">
        <v>2850</v>
      </c>
      <c r="D348" s="2">
        <v>195.0</v>
      </c>
      <c r="E348" s="2">
        <v>1.0</v>
      </c>
      <c r="F348" s="2">
        <v>150.0</v>
      </c>
      <c r="G348" s="2">
        <v>267000.0</v>
      </c>
    </row>
    <row r="349" ht="14.25" customHeight="1">
      <c r="A349" s="2">
        <v>348.0</v>
      </c>
      <c r="B349" s="2" t="s">
        <v>2686</v>
      </c>
      <c r="C349" s="2" t="s">
        <v>2851</v>
      </c>
      <c r="D349" s="2">
        <v>127.0</v>
      </c>
      <c r="E349" s="2">
        <v>1.0</v>
      </c>
      <c r="F349" s="2">
        <v>250.0</v>
      </c>
      <c r="G349" s="2">
        <v>266800.0</v>
      </c>
    </row>
    <row r="350" ht="14.25" customHeight="1">
      <c r="A350" s="2">
        <v>349.0</v>
      </c>
      <c r="B350" s="2" t="s">
        <v>2497</v>
      </c>
      <c r="C350" s="2" t="s">
        <v>2852</v>
      </c>
      <c r="D350" s="2">
        <v>151.0</v>
      </c>
      <c r="E350" s="2">
        <v>1.0</v>
      </c>
      <c r="F350" s="2">
        <v>150.0</v>
      </c>
      <c r="G350" s="2">
        <v>266800.0</v>
      </c>
    </row>
    <row r="351" ht="14.25" customHeight="1">
      <c r="A351" s="2">
        <v>350.0</v>
      </c>
      <c r="B351" s="2" t="s">
        <v>2549</v>
      </c>
      <c r="C351" s="2" t="s">
        <v>2853</v>
      </c>
      <c r="D351" s="2">
        <v>115.0</v>
      </c>
      <c r="E351" s="2">
        <v>1.0</v>
      </c>
      <c r="F351" s="2">
        <v>50.0</v>
      </c>
      <c r="G351" s="2">
        <v>266700.0</v>
      </c>
    </row>
    <row r="352" ht="14.25" customHeight="1">
      <c r="A352" s="2">
        <v>351.0</v>
      </c>
      <c r="B352" s="2" t="s">
        <v>2497</v>
      </c>
      <c r="C352" s="2" t="s">
        <v>2854</v>
      </c>
      <c r="D352" s="2">
        <v>151.0</v>
      </c>
      <c r="E352" s="2">
        <v>1.0</v>
      </c>
      <c r="F352" s="2">
        <v>70.0</v>
      </c>
      <c r="G352" s="2">
        <v>266500.0</v>
      </c>
    </row>
    <row r="353" ht="14.25" customHeight="1">
      <c r="A353" s="2">
        <v>352.0</v>
      </c>
      <c r="B353" s="2" t="s">
        <v>2488</v>
      </c>
      <c r="C353" s="2" t="s">
        <v>2855</v>
      </c>
      <c r="D353" s="2">
        <v>333.0</v>
      </c>
      <c r="E353" s="2">
        <v>1.0</v>
      </c>
      <c r="F353" s="2">
        <v>80.0</v>
      </c>
      <c r="G353" s="2">
        <v>266500.0</v>
      </c>
    </row>
    <row r="354" ht="14.25" customHeight="1">
      <c r="A354" s="2">
        <v>353.0</v>
      </c>
      <c r="B354" s="2" t="s">
        <v>2491</v>
      </c>
      <c r="C354" s="2" t="s">
        <v>2856</v>
      </c>
      <c r="D354" s="2">
        <v>116.0</v>
      </c>
      <c r="E354" s="2">
        <v>1.0</v>
      </c>
      <c r="F354" s="2">
        <v>250.0</v>
      </c>
      <c r="G354" s="2">
        <v>266400.0</v>
      </c>
    </row>
    <row r="355" ht="14.25" customHeight="1">
      <c r="A355" s="2">
        <v>354.0</v>
      </c>
      <c r="B355" s="2" t="s">
        <v>2512</v>
      </c>
      <c r="C355" s="2" t="s">
        <v>2857</v>
      </c>
      <c r="D355" s="2">
        <v>153.0</v>
      </c>
      <c r="E355" s="2">
        <v>1.0</v>
      </c>
      <c r="F355" s="2">
        <v>100.0</v>
      </c>
      <c r="G355" s="2">
        <v>266400.0</v>
      </c>
    </row>
    <row r="356" ht="14.25" customHeight="1">
      <c r="A356" s="2">
        <v>355.0</v>
      </c>
      <c r="B356" s="2" t="s">
        <v>2503</v>
      </c>
      <c r="C356" s="2" t="s">
        <v>2858</v>
      </c>
      <c r="D356" s="2">
        <v>105.0</v>
      </c>
      <c r="E356" s="2">
        <v>1.0</v>
      </c>
      <c r="F356" s="2">
        <v>100.0</v>
      </c>
      <c r="G356" s="2">
        <v>266300.0</v>
      </c>
    </row>
    <row r="357" ht="14.25" customHeight="1">
      <c r="A357" s="2">
        <v>356.0</v>
      </c>
      <c r="B357" s="2" t="s">
        <v>2477</v>
      </c>
      <c r="C357" s="2" t="s">
        <v>2859</v>
      </c>
      <c r="D357" s="2">
        <v>152.0</v>
      </c>
      <c r="E357" s="2">
        <v>1.0</v>
      </c>
      <c r="F357" s="2">
        <v>110.0</v>
      </c>
      <c r="G357" s="2">
        <v>266200.0</v>
      </c>
    </row>
    <row r="358" ht="14.25" customHeight="1">
      <c r="A358" s="2">
        <v>357.0</v>
      </c>
      <c r="B358" s="2" t="s">
        <v>2479</v>
      </c>
      <c r="C358" s="2" t="s">
        <v>2860</v>
      </c>
      <c r="D358" s="2">
        <v>182.0</v>
      </c>
      <c r="E358" s="2">
        <v>1.0</v>
      </c>
      <c r="F358" s="2">
        <v>75.0</v>
      </c>
      <c r="G358" s="2">
        <v>266000.0</v>
      </c>
    </row>
    <row r="359" ht="14.25" customHeight="1">
      <c r="A359" s="2">
        <v>358.0</v>
      </c>
      <c r="B359" s="2" t="s">
        <v>2594</v>
      </c>
      <c r="C359" s="2" t="s">
        <v>2861</v>
      </c>
      <c r="D359" s="2">
        <v>184.0</v>
      </c>
      <c r="E359" s="2">
        <v>1.0</v>
      </c>
      <c r="F359" s="2">
        <v>85.0</v>
      </c>
      <c r="G359" s="2">
        <v>265300.0</v>
      </c>
    </row>
    <row r="360" ht="14.25" customHeight="1">
      <c r="A360" s="2">
        <v>359.0</v>
      </c>
      <c r="B360" s="2" t="s">
        <v>2524</v>
      </c>
      <c r="C360" s="2" t="s">
        <v>2862</v>
      </c>
      <c r="D360" s="2">
        <v>331.0</v>
      </c>
      <c r="E360" s="2">
        <v>1.0</v>
      </c>
      <c r="F360" s="2">
        <v>150.0</v>
      </c>
      <c r="G360" s="2">
        <v>265200.0</v>
      </c>
    </row>
    <row r="361" ht="14.25" customHeight="1">
      <c r="A361" s="2">
        <v>360.0</v>
      </c>
      <c r="B361" s="2" t="s">
        <v>2686</v>
      </c>
      <c r="C361" s="2" t="s">
        <v>2863</v>
      </c>
      <c r="D361" s="2">
        <v>127.0</v>
      </c>
      <c r="E361" s="2">
        <v>1.0</v>
      </c>
      <c r="F361" s="2">
        <v>130.0</v>
      </c>
      <c r="G361" s="2">
        <v>265000.0</v>
      </c>
    </row>
    <row r="362" ht="14.25" customHeight="1">
      <c r="A362" s="2">
        <v>361.0</v>
      </c>
      <c r="B362" s="2" t="s">
        <v>2524</v>
      </c>
      <c r="C362" s="2" t="s">
        <v>2864</v>
      </c>
      <c r="D362" s="2">
        <v>331.0</v>
      </c>
      <c r="E362" s="2">
        <v>1.0</v>
      </c>
      <c r="F362" s="2">
        <v>103.0</v>
      </c>
      <c r="G362" s="2">
        <v>265000.0</v>
      </c>
    </row>
    <row r="363" ht="14.25" customHeight="1">
      <c r="A363" s="2">
        <v>362.0</v>
      </c>
      <c r="B363" s="2" t="s">
        <v>2534</v>
      </c>
      <c r="C363" s="2" t="s">
        <v>2865</v>
      </c>
      <c r="D363" s="2">
        <v>188.0</v>
      </c>
      <c r="E363" s="2">
        <v>1.0</v>
      </c>
      <c r="F363" s="2">
        <v>75.0</v>
      </c>
      <c r="G363" s="2">
        <v>264800.0</v>
      </c>
    </row>
    <row r="364" ht="14.25" customHeight="1">
      <c r="A364" s="2">
        <v>363.0</v>
      </c>
      <c r="B364" s="2" t="s">
        <v>2491</v>
      </c>
      <c r="C364" s="2" t="s">
        <v>2866</v>
      </c>
      <c r="D364" s="2">
        <v>116.0</v>
      </c>
      <c r="E364" s="2">
        <v>1.0</v>
      </c>
      <c r="F364" s="2">
        <v>125.0</v>
      </c>
      <c r="G364" s="2">
        <v>264600.0</v>
      </c>
    </row>
    <row r="365" ht="14.25" customHeight="1">
      <c r="A365" s="2">
        <v>364.0</v>
      </c>
      <c r="B365" s="2" t="s">
        <v>2491</v>
      </c>
      <c r="C365" s="2" t="s">
        <v>2867</v>
      </c>
      <c r="D365" s="2">
        <v>116.0</v>
      </c>
      <c r="E365" s="2">
        <v>1.0</v>
      </c>
      <c r="F365" s="2">
        <v>150.0</v>
      </c>
      <c r="G365" s="2">
        <v>264400.0</v>
      </c>
    </row>
    <row r="366" ht="14.25" customHeight="1">
      <c r="A366" s="2">
        <v>365.0</v>
      </c>
      <c r="B366" s="2" t="s">
        <v>2558</v>
      </c>
      <c r="C366" s="2" t="s">
        <v>2868</v>
      </c>
      <c r="D366" s="2">
        <v>357.0</v>
      </c>
      <c r="E366" s="2">
        <v>1.0</v>
      </c>
      <c r="F366" s="2">
        <v>50.0</v>
      </c>
      <c r="G366" s="2">
        <v>264300.0</v>
      </c>
    </row>
    <row r="367" ht="14.25" customHeight="1">
      <c r="A367" s="2">
        <v>366.0</v>
      </c>
      <c r="B367" s="2" t="s">
        <v>2594</v>
      </c>
      <c r="C367" s="2" t="s">
        <v>2869</v>
      </c>
      <c r="D367" s="2">
        <v>184.0</v>
      </c>
      <c r="E367" s="2">
        <v>1.0</v>
      </c>
      <c r="F367" s="2">
        <v>80.0</v>
      </c>
      <c r="G367" s="2">
        <v>264200.0</v>
      </c>
    </row>
    <row r="368" ht="14.25" customHeight="1">
      <c r="A368" s="2">
        <v>367.0</v>
      </c>
      <c r="B368" s="2" t="s">
        <v>2501</v>
      </c>
      <c r="C368" s="2" t="s">
        <v>2870</v>
      </c>
      <c r="D368" s="2">
        <v>199.0</v>
      </c>
      <c r="E368" s="2">
        <v>1.0</v>
      </c>
      <c r="F368" s="2">
        <v>90.0</v>
      </c>
      <c r="G368" s="2">
        <v>264200.0</v>
      </c>
    </row>
    <row r="369" ht="14.25" customHeight="1">
      <c r="A369" s="2">
        <v>368.0</v>
      </c>
      <c r="B369" s="2" t="s">
        <v>2558</v>
      </c>
      <c r="C369" s="2" t="s">
        <v>2871</v>
      </c>
      <c r="D369" s="2">
        <v>357.0</v>
      </c>
      <c r="E369" s="2">
        <v>1.0</v>
      </c>
      <c r="F369" s="2">
        <v>85.0</v>
      </c>
      <c r="G369" s="2">
        <v>264100.0</v>
      </c>
    </row>
    <row r="370" ht="14.25" customHeight="1">
      <c r="A370" s="2">
        <v>369.0</v>
      </c>
      <c r="B370" s="2" t="s">
        <v>2541</v>
      </c>
      <c r="C370" s="2" t="s">
        <v>2872</v>
      </c>
      <c r="D370" s="2">
        <v>195.0</v>
      </c>
      <c r="E370" s="2">
        <v>1.0</v>
      </c>
      <c r="F370" s="2">
        <v>80.0</v>
      </c>
      <c r="G370" s="2">
        <v>263600.0</v>
      </c>
    </row>
    <row r="371" ht="14.25" customHeight="1">
      <c r="A371" s="2">
        <v>370.0</v>
      </c>
      <c r="B371" s="2" t="s">
        <v>2524</v>
      </c>
      <c r="C371" s="2" t="s">
        <v>2873</v>
      </c>
      <c r="D371" s="2">
        <v>331.0</v>
      </c>
      <c r="E371" s="2">
        <v>1.0</v>
      </c>
      <c r="F371" s="2">
        <v>100.0</v>
      </c>
      <c r="G371" s="2">
        <v>263600.0</v>
      </c>
    </row>
    <row r="372" ht="14.25" customHeight="1">
      <c r="A372" s="2">
        <v>371.0</v>
      </c>
      <c r="B372" s="2" t="s">
        <v>2512</v>
      </c>
      <c r="C372" s="2" t="s">
        <v>2874</v>
      </c>
      <c r="D372" s="2">
        <v>153.0</v>
      </c>
      <c r="E372" s="2">
        <v>1.0</v>
      </c>
      <c r="F372" s="2">
        <v>100.0</v>
      </c>
      <c r="G372" s="2">
        <v>263500.0</v>
      </c>
    </row>
    <row r="373" ht="14.25" customHeight="1">
      <c r="A373" s="2">
        <v>372.0</v>
      </c>
      <c r="B373" s="2" t="s">
        <v>2501</v>
      </c>
      <c r="C373" s="2" t="s">
        <v>2875</v>
      </c>
      <c r="D373" s="2">
        <v>199.0</v>
      </c>
      <c r="E373" s="2">
        <v>1.0</v>
      </c>
      <c r="F373" s="2">
        <v>80.0</v>
      </c>
      <c r="G373" s="2">
        <v>263400.0</v>
      </c>
    </row>
    <row r="374" ht="14.25" customHeight="1">
      <c r="A374" s="2">
        <v>373.0</v>
      </c>
      <c r="B374" s="2" t="s">
        <v>2558</v>
      </c>
      <c r="C374" s="2" t="s">
        <v>2876</v>
      </c>
      <c r="D374" s="2">
        <v>357.0</v>
      </c>
      <c r="E374" s="2">
        <v>1.0</v>
      </c>
      <c r="F374" s="2">
        <v>99.0</v>
      </c>
      <c r="G374" s="2">
        <v>263300.0</v>
      </c>
    </row>
    <row r="375" ht="14.25" customHeight="1">
      <c r="A375" s="2">
        <v>374.0</v>
      </c>
      <c r="B375" s="2" t="s">
        <v>2576</v>
      </c>
      <c r="C375" s="2" t="s">
        <v>2877</v>
      </c>
      <c r="D375" s="2">
        <v>197.0</v>
      </c>
      <c r="E375" s="2">
        <v>1.0</v>
      </c>
      <c r="F375" s="2">
        <v>132.0</v>
      </c>
      <c r="G375" s="2">
        <v>263200.0</v>
      </c>
    </row>
    <row r="376" ht="14.25" customHeight="1">
      <c r="A376" s="2">
        <v>375.0</v>
      </c>
      <c r="B376" s="2" t="s">
        <v>2558</v>
      </c>
      <c r="C376" s="2" t="s">
        <v>2878</v>
      </c>
      <c r="D376" s="2">
        <v>357.0</v>
      </c>
      <c r="E376" s="2">
        <v>1.0</v>
      </c>
      <c r="F376" s="2">
        <v>85.0</v>
      </c>
      <c r="G376" s="2">
        <v>263200.0</v>
      </c>
    </row>
    <row r="377" ht="14.25" customHeight="1">
      <c r="A377" s="2">
        <v>376.0</v>
      </c>
      <c r="B377" s="2" t="s">
        <v>2512</v>
      </c>
      <c r="C377" s="2" t="s">
        <v>2879</v>
      </c>
      <c r="D377" s="2">
        <v>153.0</v>
      </c>
      <c r="E377" s="2">
        <v>1.0</v>
      </c>
      <c r="F377" s="2">
        <v>100.0</v>
      </c>
      <c r="G377" s="2">
        <v>263000.0</v>
      </c>
    </row>
    <row r="378" ht="14.25" customHeight="1">
      <c r="A378" s="2">
        <v>377.0</v>
      </c>
      <c r="B378" s="2" t="s">
        <v>2512</v>
      </c>
      <c r="C378" s="2" t="s">
        <v>2880</v>
      </c>
      <c r="D378" s="2">
        <v>153.0</v>
      </c>
      <c r="E378" s="2">
        <v>1.0</v>
      </c>
      <c r="F378" s="2">
        <v>50.0</v>
      </c>
      <c r="G378" s="2">
        <v>263000.0</v>
      </c>
    </row>
    <row r="379" ht="14.25" customHeight="1">
      <c r="A379" s="2">
        <v>378.0</v>
      </c>
      <c r="B379" s="2" t="s">
        <v>2594</v>
      </c>
      <c r="C379" s="2" t="s">
        <v>2881</v>
      </c>
      <c r="D379" s="2">
        <v>184.0</v>
      </c>
      <c r="E379" s="2">
        <v>1.0</v>
      </c>
      <c r="F379" s="2">
        <v>132.0</v>
      </c>
      <c r="G379" s="2">
        <v>263000.0</v>
      </c>
    </row>
    <row r="380" ht="14.25" customHeight="1">
      <c r="A380" s="2">
        <v>379.0</v>
      </c>
      <c r="B380" s="2" t="s">
        <v>2541</v>
      </c>
      <c r="C380" s="2" t="s">
        <v>2882</v>
      </c>
      <c r="D380" s="2">
        <v>195.0</v>
      </c>
      <c r="E380" s="2">
        <v>1.0</v>
      </c>
      <c r="F380" s="2">
        <v>100.0</v>
      </c>
      <c r="G380" s="2">
        <v>263000.0</v>
      </c>
    </row>
    <row r="381" ht="14.25" customHeight="1">
      <c r="A381" s="2">
        <v>380.0</v>
      </c>
      <c r="B381" s="2" t="s">
        <v>2475</v>
      </c>
      <c r="C381" s="2" t="s">
        <v>2883</v>
      </c>
      <c r="D381" s="2">
        <v>143.0</v>
      </c>
      <c r="E381" s="2">
        <v>1.0</v>
      </c>
      <c r="F381" s="2">
        <v>75.0</v>
      </c>
      <c r="G381" s="2">
        <v>262600.0</v>
      </c>
    </row>
    <row r="382" ht="14.25" customHeight="1">
      <c r="A382" s="2">
        <v>381.0</v>
      </c>
      <c r="B382" s="2" t="s">
        <v>2477</v>
      </c>
      <c r="C382" s="2" t="s">
        <v>2884</v>
      </c>
      <c r="D382" s="2">
        <v>152.0</v>
      </c>
      <c r="E382" s="2">
        <v>1.0</v>
      </c>
      <c r="F382" s="2">
        <v>66.0</v>
      </c>
      <c r="G382" s="2">
        <v>262500.0</v>
      </c>
    </row>
    <row r="383" ht="14.25" customHeight="1">
      <c r="A383" s="2">
        <v>382.0</v>
      </c>
      <c r="B383" s="2" t="s">
        <v>2576</v>
      </c>
      <c r="C383" s="2" t="s">
        <v>2885</v>
      </c>
      <c r="D383" s="2">
        <v>197.0</v>
      </c>
      <c r="E383" s="2">
        <v>1.0</v>
      </c>
      <c r="F383" s="2">
        <v>132.0</v>
      </c>
      <c r="G383" s="2">
        <v>262500.0</v>
      </c>
    </row>
    <row r="384" ht="14.25" customHeight="1">
      <c r="A384" s="2">
        <v>383.0</v>
      </c>
      <c r="B384" s="2" t="s">
        <v>2512</v>
      </c>
      <c r="C384" s="2" t="s">
        <v>2886</v>
      </c>
      <c r="D384" s="2">
        <v>153.0</v>
      </c>
      <c r="E384" s="2">
        <v>1.0</v>
      </c>
      <c r="F384" s="2">
        <v>100.0</v>
      </c>
      <c r="G384" s="2">
        <v>262300.0</v>
      </c>
    </row>
    <row r="385" ht="14.25" customHeight="1">
      <c r="A385" s="2">
        <v>384.0</v>
      </c>
      <c r="B385" s="2" t="s">
        <v>2518</v>
      </c>
      <c r="C385" s="2" t="s">
        <v>2887</v>
      </c>
      <c r="D385" s="2">
        <v>161.0</v>
      </c>
      <c r="E385" s="2">
        <v>1.0</v>
      </c>
      <c r="F385" s="2">
        <v>156.0</v>
      </c>
      <c r="G385" s="2">
        <v>262200.0</v>
      </c>
    </row>
    <row r="386" ht="14.25" customHeight="1">
      <c r="A386" s="2">
        <v>385.0</v>
      </c>
      <c r="B386" s="2" t="s">
        <v>2524</v>
      </c>
      <c r="C386" s="2" t="s">
        <v>2888</v>
      </c>
      <c r="D386" s="2">
        <v>331.0</v>
      </c>
      <c r="E386" s="2">
        <v>1.0</v>
      </c>
      <c r="F386" s="2">
        <v>100.0</v>
      </c>
      <c r="G386" s="2">
        <v>261600.0</v>
      </c>
    </row>
    <row r="387" ht="14.25" customHeight="1">
      <c r="A387" s="2">
        <v>386.0</v>
      </c>
      <c r="B387" s="2" t="s">
        <v>2477</v>
      </c>
      <c r="C387" s="2" t="s">
        <v>2889</v>
      </c>
      <c r="D387" s="2">
        <v>152.0</v>
      </c>
      <c r="E387" s="2">
        <v>1.0</v>
      </c>
      <c r="F387" s="2">
        <v>150.0</v>
      </c>
      <c r="G387" s="2">
        <v>261500.0</v>
      </c>
    </row>
    <row r="388" ht="14.25" customHeight="1">
      <c r="A388" s="2">
        <v>387.0</v>
      </c>
      <c r="B388" s="2" t="s">
        <v>2488</v>
      </c>
      <c r="C388" s="2" t="s">
        <v>2890</v>
      </c>
      <c r="D388" s="2">
        <v>333.0</v>
      </c>
      <c r="E388" s="2">
        <v>1.0</v>
      </c>
      <c r="F388" s="2">
        <v>75.0</v>
      </c>
      <c r="G388" s="2">
        <v>261400.0</v>
      </c>
    </row>
    <row r="389" ht="14.25" customHeight="1">
      <c r="A389" s="2">
        <v>388.0</v>
      </c>
      <c r="B389" s="2" t="s">
        <v>2576</v>
      </c>
      <c r="C389" s="2" t="s">
        <v>2891</v>
      </c>
      <c r="D389" s="2">
        <v>197.0</v>
      </c>
      <c r="E389" s="2">
        <v>1.0</v>
      </c>
      <c r="F389" s="2">
        <v>132.0</v>
      </c>
      <c r="G389" s="2">
        <v>261000.0</v>
      </c>
    </row>
    <row r="390" ht="14.25" customHeight="1">
      <c r="A390" s="2">
        <v>389.0</v>
      </c>
      <c r="B390" s="2" t="s">
        <v>2501</v>
      </c>
      <c r="C390" s="2" t="s">
        <v>2892</v>
      </c>
      <c r="D390" s="2">
        <v>199.0</v>
      </c>
      <c r="E390" s="2">
        <v>1.0</v>
      </c>
      <c r="F390" s="2">
        <v>150.0</v>
      </c>
      <c r="G390" s="2">
        <v>261000.0</v>
      </c>
    </row>
    <row r="391" ht="14.25" customHeight="1">
      <c r="A391" s="2">
        <v>390.0</v>
      </c>
      <c r="B391" s="2" t="s">
        <v>2594</v>
      </c>
      <c r="C391" s="2" t="s">
        <v>2893</v>
      </c>
      <c r="D391" s="2">
        <v>184.0</v>
      </c>
      <c r="E391" s="2">
        <v>1.0</v>
      </c>
      <c r="F391" s="2">
        <v>80.0</v>
      </c>
      <c r="G391" s="2">
        <v>260400.0</v>
      </c>
    </row>
    <row r="392" ht="14.25" customHeight="1">
      <c r="A392" s="2">
        <v>391.0</v>
      </c>
      <c r="B392" s="2" t="s">
        <v>2488</v>
      </c>
      <c r="C392" s="2" t="s">
        <v>2894</v>
      </c>
      <c r="D392" s="2">
        <v>333.0</v>
      </c>
      <c r="E392" s="2">
        <v>1.0</v>
      </c>
      <c r="F392" s="2">
        <v>100.0</v>
      </c>
      <c r="G392" s="2">
        <v>260300.0</v>
      </c>
    </row>
    <row r="393" ht="14.25" customHeight="1">
      <c r="A393" s="2">
        <v>392.0</v>
      </c>
      <c r="B393" s="2" t="s">
        <v>2491</v>
      </c>
      <c r="C393" s="2" t="s">
        <v>2895</v>
      </c>
      <c r="D393" s="2">
        <v>116.0</v>
      </c>
      <c r="E393" s="2">
        <v>1.0</v>
      </c>
      <c r="F393" s="2">
        <v>125.0</v>
      </c>
      <c r="G393" s="2">
        <v>260000.0</v>
      </c>
    </row>
    <row r="394" ht="14.25" customHeight="1">
      <c r="A394" s="2">
        <v>393.0</v>
      </c>
      <c r="B394" s="2" t="s">
        <v>2571</v>
      </c>
      <c r="C394" s="2" t="s">
        <v>2896</v>
      </c>
      <c r="D394" s="2">
        <v>185.0</v>
      </c>
      <c r="E394" s="2">
        <v>1.0</v>
      </c>
      <c r="F394" s="2">
        <v>75.0</v>
      </c>
      <c r="G394" s="2">
        <v>259800.0</v>
      </c>
    </row>
    <row r="395" ht="14.25" customHeight="1">
      <c r="A395" s="2">
        <v>394.0</v>
      </c>
      <c r="B395" s="2" t="s">
        <v>2512</v>
      </c>
      <c r="C395" s="2" t="s">
        <v>2897</v>
      </c>
      <c r="D395" s="2">
        <v>153.0</v>
      </c>
      <c r="E395" s="2">
        <v>1.0</v>
      </c>
      <c r="F395" s="2">
        <v>90.0</v>
      </c>
      <c r="G395" s="2">
        <v>259700.0</v>
      </c>
    </row>
    <row r="396" ht="14.25" customHeight="1">
      <c r="A396" s="2">
        <v>395.0</v>
      </c>
      <c r="B396" s="2" t="s">
        <v>2558</v>
      </c>
      <c r="C396" s="2" t="s">
        <v>2898</v>
      </c>
      <c r="D396" s="2">
        <v>357.0</v>
      </c>
      <c r="E396" s="2">
        <v>1.0</v>
      </c>
      <c r="F396" s="2">
        <v>88.0</v>
      </c>
      <c r="G396" s="2">
        <v>259600.0</v>
      </c>
    </row>
    <row r="397" ht="14.25" customHeight="1">
      <c r="A397" s="2">
        <v>396.0</v>
      </c>
      <c r="B397" s="2" t="s">
        <v>2524</v>
      </c>
      <c r="C397" s="2" t="s">
        <v>2899</v>
      </c>
      <c r="D397" s="2">
        <v>331.0</v>
      </c>
      <c r="E397" s="2">
        <v>1.0</v>
      </c>
      <c r="F397" s="2">
        <v>75.0</v>
      </c>
      <c r="G397" s="2">
        <v>259500.0</v>
      </c>
    </row>
    <row r="398" ht="14.25" customHeight="1">
      <c r="A398" s="2">
        <v>397.0</v>
      </c>
      <c r="B398" s="2" t="s">
        <v>2576</v>
      </c>
      <c r="C398" s="2" t="s">
        <v>2900</v>
      </c>
      <c r="D398" s="2">
        <v>197.0</v>
      </c>
      <c r="E398" s="2">
        <v>1.0</v>
      </c>
      <c r="F398" s="2">
        <v>100.0</v>
      </c>
      <c r="G398" s="2">
        <v>259400.0</v>
      </c>
    </row>
    <row r="399" ht="14.25" customHeight="1">
      <c r="A399" s="2">
        <v>398.0</v>
      </c>
      <c r="B399" s="2" t="s">
        <v>2576</v>
      </c>
      <c r="C399" s="2" t="s">
        <v>2901</v>
      </c>
      <c r="D399" s="2">
        <v>197.0</v>
      </c>
      <c r="E399" s="2">
        <v>1.0</v>
      </c>
      <c r="F399" s="2">
        <v>100.0</v>
      </c>
      <c r="G399" s="2">
        <v>259300.0</v>
      </c>
    </row>
    <row r="400" ht="14.25" customHeight="1">
      <c r="A400" s="2">
        <v>399.0</v>
      </c>
      <c r="B400" s="2" t="s">
        <v>2558</v>
      </c>
      <c r="C400" s="2" t="s">
        <v>2902</v>
      </c>
      <c r="D400" s="2">
        <v>357.0</v>
      </c>
      <c r="E400" s="2">
        <v>1.0</v>
      </c>
      <c r="F400" s="2">
        <v>80.0</v>
      </c>
      <c r="G400" s="2">
        <v>259200.0</v>
      </c>
    </row>
    <row r="401" ht="14.25" customHeight="1">
      <c r="A401" s="2">
        <v>400.0</v>
      </c>
      <c r="B401" s="2" t="s">
        <v>2475</v>
      </c>
      <c r="C401" s="2" t="s">
        <v>2903</v>
      </c>
      <c r="D401" s="2">
        <v>143.0</v>
      </c>
      <c r="E401" s="2">
        <v>1.0</v>
      </c>
      <c r="F401" s="2">
        <v>75.0</v>
      </c>
      <c r="G401" s="2">
        <v>259000.0</v>
      </c>
    </row>
    <row r="402" ht="14.25" customHeight="1">
      <c r="A402" s="2">
        <v>401.0</v>
      </c>
      <c r="B402" s="2" t="s">
        <v>2501</v>
      </c>
      <c r="C402" s="2" t="s">
        <v>2904</v>
      </c>
      <c r="D402" s="2">
        <v>199.0</v>
      </c>
      <c r="E402" s="2">
        <v>1.0</v>
      </c>
      <c r="F402" s="2">
        <v>100.0</v>
      </c>
      <c r="G402" s="2">
        <v>259000.0</v>
      </c>
    </row>
    <row r="403" ht="14.25" customHeight="1">
      <c r="A403" s="2">
        <v>402.0</v>
      </c>
      <c r="B403" s="2" t="s">
        <v>2501</v>
      </c>
      <c r="C403" s="2" t="s">
        <v>2905</v>
      </c>
      <c r="D403" s="2">
        <v>199.0</v>
      </c>
      <c r="E403" s="2">
        <v>1.0</v>
      </c>
      <c r="F403" s="2">
        <v>85.0</v>
      </c>
      <c r="G403" s="2">
        <v>259000.0</v>
      </c>
    </row>
    <row r="404" ht="14.25" customHeight="1">
      <c r="A404" s="2">
        <v>403.0</v>
      </c>
      <c r="B404" s="2" t="s">
        <v>2477</v>
      </c>
      <c r="C404" s="2" t="s">
        <v>2906</v>
      </c>
      <c r="D404" s="2">
        <v>152.0</v>
      </c>
      <c r="E404" s="2">
        <v>1.0</v>
      </c>
      <c r="F404" s="2">
        <v>70.0</v>
      </c>
      <c r="G404" s="2">
        <v>258700.0</v>
      </c>
    </row>
    <row r="405" ht="14.25" customHeight="1">
      <c r="A405" s="2">
        <v>404.0</v>
      </c>
      <c r="B405" s="2" t="s">
        <v>2507</v>
      </c>
      <c r="C405" s="2" t="s">
        <v>2907</v>
      </c>
      <c r="D405" s="2">
        <v>205.0</v>
      </c>
      <c r="E405" s="2">
        <v>1.0</v>
      </c>
      <c r="F405" s="2">
        <v>50.0</v>
      </c>
      <c r="G405" s="2">
        <v>258400.0</v>
      </c>
    </row>
    <row r="406" ht="14.25" customHeight="1">
      <c r="A406" s="2">
        <v>405.0</v>
      </c>
      <c r="B406" s="2" t="s">
        <v>2488</v>
      </c>
      <c r="C406" s="2" t="s">
        <v>2908</v>
      </c>
      <c r="D406" s="2">
        <v>333.0</v>
      </c>
      <c r="E406" s="2">
        <v>1.0</v>
      </c>
      <c r="F406" s="2">
        <v>70.0</v>
      </c>
      <c r="G406" s="2">
        <v>258400.0</v>
      </c>
    </row>
    <row r="407" ht="14.25" customHeight="1">
      <c r="A407" s="2">
        <v>406.0</v>
      </c>
      <c r="B407" s="2" t="s">
        <v>2497</v>
      </c>
      <c r="C407" s="2" t="s">
        <v>2909</v>
      </c>
      <c r="D407" s="2">
        <v>151.0</v>
      </c>
      <c r="E407" s="2">
        <v>1.0</v>
      </c>
      <c r="F407" s="2">
        <v>100.0</v>
      </c>
      <c r="G407" s="2">
        <v>258200.0</v>
      </c>
    </row>
    <row r="408" ht="14.25" customHeight="1">
      <c r="A408" s="2">
        <v>407.0</v>
      </c>
      <c r="B408" s="2" t="s">
        <v>2561</v>
      </c>
      <c r="C408" s="2" t="s">
        <v>2910</v>
      </c>
      <c r="D408" s="2">
        <v>162.0</v>
      </c>
      <c r="E408" s="2">
        <v>1.0</v>
      </c>
      <c r="F408" s="2">
        <v>75.0</v>
      </c>
      <c r="G408" s="2">
        <v>258200.0</v>
      </c>
    </row>
    <row r="409" ht="14.25" customHeight="1">
      <c r="A409" s="2">
        <v>408.0</v>
      </c>
      <c r="B409" s="2" t="s">
        <v>2558</v>
      </c>
      <c r="C409" s="2" t="s">
        <v>2911</v>
      </c>
      <c r="D409" s="2">
        <v>357.0</v>
      </c>
      <c r="E409" s="2">
        <v>1.0</v>
      </c>
      <c r="F409" s="2">
        <v>120.0</v>
      </c>
      <c r="G409" s="2">
        <v>257900.0</v>
      </c>
    </row>
    <row r="410" ht="14.25" customHeight="1">
      <c r="A410" s="2">
        <v>409.0</v>
      </c>
      <c r="B410" s="2" t="s">
        <v>2561</v>
      </c>
      <c r="C410" s="2" t="s">
        <v>2912</v>
      </c>
      <c r="D410" s="2">
        <v>162.0</v>
      </c>
      <c r="E410" s="2">
        <v>1.0</v>
      </c>
      <c r="F410" s="2">
        <v>100.0</v>
      </c>
      <c r="G410" s="2">
        <v>257600.0</v>
      </c>
    </row>
    <row r="411" ht="14.25" customHeight="1">
      <c r="A411" s="2">
        <v>410.0</v>
      </c>
      <c r="B411" s="2" t="s">
        <v>2497</v>
      </c>
      <c r="C411" s="2" t="s">
        <v>2913</v>
      </c>
      <c r="D411" s="2">
        <v>151.0</v>
      </c>
      <c r="E411" s="2">
        <v>1.0</v>
      </c>
      <c r="F411" s="2">
        <v>100.0</v>
      </c>
      <c r="G411" s="2">
        <v>257200.0</v>
      </c>
    </row>
    <row r="412" ht="14.25" customHeight="1">
      <c r="A412" s="2">
        <v>411.0</v>
      </c>
      <c r="B412" s="2" t="s">
        <v>2477</v>
      </c>
      <c r="C412" s="2" t="s">
        <v>2914</v>
      </c>
      <c r="D412" s="2">
        <v>152.0</v>
      </c>
      <c r="E412" s="2">
        <v>1.0</v>
      </c>
      <c r="F412" s="2">
        <v>125.0</v>
      </c>
      <c r="G412" s="2">
        <v>257200.0</v>
      </c>
    </row>
    <row r="413" ht="14.25" customHeight="1">
      <c r="A413" s="2">
        <v>412.0</v>
      </c>
      <c r="B413" s="2" t="s">
        <v>2518</v>
      </c>
      <c r="C413" s="2" t="s">
        <v>2915</v>
      </c>
      <c r="D413" s="2">
        <v>161.0</v>
      </c>
      <c r="E413" s="2">
        <v>1.0</v>
      </c>
      <c r="F413" s="2">
        <v>75.0</v>
      </c>
      <c r="G413" s="2">
        <v>257200.0</v>
      </c>
    </row>
    <row r="414" ht="14.25" customHeight="1">
      <c r="A414" s="2">
        <v>413.0</v>
      </c>
      <c r="B414" s="2" t="s">
        <v>2561</v>
      </c>
      <c r="C414" s="2" t="s">
        <v>2916</v>
      </c>
      <c r="D414" s="2">
        <v>162.0</v>
      </c>
      <c r="E414" s="2">
        <v>1.0</v>
      </c>
      <c r="F414" s="2">
        <v>100.0</v>
      </c>
      <c r="G414" s="2">
        <v>257000.0</v>
      </c>
    </row>
    <row r="415" ht="14.25" customHeight="1">
      <c r="A415" s="2">
        <v>414.0</v>
      </c>
      <c r="B415" s="2" t="s">
        <v>2491</v>
      </c>
      <c r="C415" s="2" t="s">
        <v>2917</v>
      </c>
      <c r="D415" s="2">
        <v>116.0</v>
      </c>
      <c r="E415" s="2">
        <v>1.0</v>
      </c>
      <c r="F415" s="2">
        <v>100.0</v>
      </c>
      <c r="G415" s="2">
        <v>255500.0</v>
      </c>
    </row>
    <row r="416" ht="14.25" customHeight="1">
      <c r="A416" s="2">
        <v>415.0</v>
      </c>
      <c r="B416" s="2" t="s">
        <v>2477</v>
      </c>
      <c r="C416" s="2" t="s">
        <v>2918</v>
      </c>
      <c r="D416" s="2">
        <v>152.0</v>
      </c>
      <c r="E416" s="2">
        <v>1.0</v>
      </c>
      <c r="F416" s="2">
        <v>165.0</v>
      </c>
      <c r="G416" s="2">
        <v>255400.0</v>
      </c>
    </row>
    <row r="417" ht="14.25" customHeight="1">
      <c r="A417" s="2">
        <v>416.0</v>
      </c>
      <c r="B417" s="2" t="s">
        <v>2501</v>
      </c>
      <c r="C417" s="2" t="s">
        <v>2919</v>
      </c>
      <c r="D417" s="2">
        <v>199.0</v>
      </c>
      <c r="E417" s="2">
        <v>1.0</v>
      </c>
      <c r="F417" s="2">
        <v>80.0</v>
      </c>
      <c r="G417" s="2">
        <v>255200.0</v>
      </c>
    </row>
    <row r="418" ht="14.25" customHeight="1">
      <c r="A418" s="2">
        <v>417.0</v>
      </c>
      <c r="B418" s="2" t="s">
        <v>2558</v>
      </c>
      <c r="C418" s="2" t="s">
        <v>2920</v>
      </c>
      <c r="D418" s="2">
        <v>357.0</v>
      </c>
      <c r="E418" s="2">
        <v>1.0</v>
      </c>
      <c r="F418" s="2">
        <v>50.0</v>
      </c>
      <c r="G418" s="2">
        <v>255200.0</v>
      </c>
    </row>
    <row r="419" ht="14.25" customHeight="1">
      <c r="A419" s="2">
        <v>418.0</v>
      </c>
      <c r="B419" s="2" t="s">
        <v>2501</v>
      </c>
      <c r="C419" s="2" t="s">
        <v>2921</v>
      </c>
      <c r="D419" s="2">
        <v>199.0</v>
      </c>
      <c r="E419" s="2">
        <v>1.0</v>
      </c>
      <c r="F419" s="2">
        <v>100.0</v>
      </c>
      <c r="G419" s="2">
        <v>255100.0</v>
      </c>
    </row>
    <row r="420" ht="14.25" customHeight="1">
      <c r="A420" s="2">
        <v>419.0</v>
      </c>
      <c r="B420" s="2" t="s">
        <v>2491</v>
      </c>
      <c r="C420" s="2" t="s">
        <v>2922</v>
      </c>
      <c r="D420" s="2">
        <v>116.0</v>
      </c>
      <c r="E420" s="2">
        <v>1.0</v>
      </c>
      <c r="F420" s="2">
        <v>125.0</v>
      </c>
      <c r="G420" s="2">
        <v>254600.0</v>
      </c>
    </row>
    <row r="421" ht="14.25" customHeight="1">
      <c r="A421" s="2">
        <v>420.0</v>
      </c>
      <c r="B421" s="2" t="s">
        <v>2488</v>
      </c>
      <c r="C421" s="2" t="s">
        <v>2923</v>
      </c>
      <c r="D421" s="2">
        <v>333.0</v>
      </c>
      <c r="E421" s="2">
        <v>1.0</v>
      </c>
      <c r="F421" s="2">
        <v>80.0</v>
      </c>
      <c r="G421" s="2">
        <v>254600.0</v>
      </c>
    </row>
    <row r="422" ht="14.25" customHeight="1">
      <c r="A422" s="2">
        <v>421.0</v>
      </c>
      <c r="B422" s="2" t="s">
        <v>2477</v>
      </c>
      <c r="C422" s="2" t="s">
        <v>2924</v>
      </c>
      <c r="D422" s="2">
        <v>152.0</v>
      </c>
      <c r="E422" s="2">
        <v>1.0</v>
      </c>
      <c r="F422" s="2">
        <v>175.0</v>
      </c>
      <c r="G422" s="2">
        <v>254500.0</v>
      </c>
    </row>
    <row r="423" ht="14.25" customHeight="1">
      <c r="A423" s="2">
        <v>422.0</v>
      </c>
      <c r="B423" s="2" t="s">
        <v>2558</v>
      </c>
      <c r="C423" s="2" t="s">
        <v>2925</v>
      </c>
      <c r="D423" s="2">
        <v>357.0</v>
      </c>
      <c r="E423" s="2">
        <v>1.0</v>
      </c>
      <c r="F423" s="2">
        <v>75.0</v>
      </c>
      <c r="G423" s="2">
        <v>254400.0</v>
      </c>
    </row>
    <row r="424" ht="14.25" customHeight="1">
      <c r="A424" s="2">
        <v>423.0</v>
      </c>
      <c r="B424" s="2" t="s">
        <v>2503</v>
      </c>
      <c r="C424" s="2" t="s">
        <v>2926</v>
      </c>
      <c r="D424" s="2">
        <v>105.0</v>
      </c>
      <c r="E424" s="2">
        <v>1.0</v>
      </c>
      <c r="F424" s="2">
        <v>100.0</v>
      </c>
      <c r="G424" s="2">
        <v>254100.0</v>
      </c>
    </row>
    <row r="425" ht="14.25" customHeight="1">
      <c r="A425" s="2">
        <v>424.0</v>
      </c>
      <c r="B425" s="2" t="s">
        <v>2549</v>
      </c>
      <c r="C425" s="2" t="s">
        <v>2927</v>
      </c>
      <c r="D425" s="2">
        <v>115.0</v>
      </c>
      <c r="E425" s="2">
        <v>1.0</v>
      </c>
      <c r="F425" s="2">
        <v>125.0</v>
      </c>
      <c r="G425" s="2">
        <v>254100.0</v>
      </c>
    </row>
    <row r="426" ht="14.25" customHeight="1">
      <c r="A426" s="2">
        <v>425.0</v>
      </c>
      <c r="B426" s="2" t="s">
        <v>2518</v>
      </c>
      <c r="C426" s="2" t="s">
        <v>2928</v>
      </c>
      <c r="D426" s="2">
        <v>161.0</v>
      </c>
      <c r="E426" s="2">
        <v>1.0</v>
      </c>
      <c r="F426" s="2">
        <v>75.0</v>
      </c>
      <c r="G426" s="2">
        <v>253700.0</v>
      </c>
    </row>
    <row r="427" ht="14.25" customHeight="1">
      <c r="A427" s="2">
        <v>426.0</v>
      </c>
      <c r="B427" s="2" t="s">
        <v>2488</v>
      </c>
      <c r="C427" s="2" t="s">
        <v>2929</v>
      </c>
      <c r="D427" s="2">
        <v>333.0</v>
      </c>
      <c r="E427" s="2">
        <v>1.0</v>
      </c>
      <c r="F427" s="2">
        <v>75.0</v>
      </c>
      <c r="G427" s="2">
        <v>253700.0</v>
      </c>
    </row>
    <row r="428" ht="14.25" customHeight="1">
      <c r="A428" s="2">
        <v>427.0</v>
      </c>
      <c r="B428" s="2" t="s">
        <v>2488</v>
      </c>
      <c r="C428" s="2" t="s">
        <v>2930</v>
      </c>
      <c r="D428" s="2">
        <v>333.0</v>
      </c>
      <c r="E428" s="2">
        <v>1.0</v>
      </c>
      <c r="F428" s="2">
        <v>80.0</v>
      </c>
      <c r="G428" s="2">
        <v>253400.0</v>
      </c>
    </row>
    <row r="429" ht="14.25" customHeight="1">
      <c r="A429" s="2">
        <v>428.0</v>
      </c>
      <c r="B429" s="2" t="s">
        <v>2518</v>
      </c>
      <c r="C429" s="2" t="s">
        <v>2931</v>
      </c>
      <c r="D429" s="2">
        <v>161.0</v>
      </c>
      <c r="E429" s="2">
        <v>1.0</v>
      </c>
      <c r="F429" s="2">
        <v>100.0</v>
      </c>
      <c r="G429" s="2">
        <v>253300.0</v>
      </c>
    </row>
    <row r="430" ht="14.25" customHeight="1">
      <c r="A430" s="2">
        <v>429.0</v>
      </c>
      <c r="B430" s="2" t="s">
        <v>2475</v>
      </c>
      <c r="C430" s="2" t="s">
        <v>2932</v>
      </c>
      <c r="D430" s="2">
        <v>143.0</v>
      </c>
      <c r="E430" s="2">
        <v>1.0</v>
      </c>
      <c r="F430" s="2">
        <v>75.0</v>
      </c>
      <c r="G430" s="2">
        <v>253100.0</v>
      </c>
    </row>
    <row r="431" ht="14.25" customHeight="1">
      <c r="A431" s="2">
        <v>430.0</v>
      </c>
      <c r="B431" s="2" t="s">
        <v>2501</v>
      </c>
      <c r="C431" s="2" t="s">
        <v>2933</v>
      </c>
      <c r="D431" s="2">
        <v>199.0</v>
      </c>
      <c r="E431" s="2">
        <v>1.0</v>
      </c>
      <c r="F431" s="2">
        <v>120.0</v>
      </c>
      <c r="G431" s="2">
        <v>253100.0</v>
      </c>
    </row>
    <row r="432" ht="14.25" customHeight="1">
      <c r="A432" s="2">
        <v>431.0</v>
      </c>
      <c r="B432" s="2" t="s">
        <v>2558</v>
      </c>
      <c r="C432" s="2" t="s">
        <v>2934</v>
      </c>
      <c r="D432" s="2">
        <v>357.0</v>
      </c>
      <c r="E432" s="2">
        <v>1.0</v>
      </c>
      <c r="F432" s="2">
        <v>80.0</v>
      </c>
      <c r="G432" s="2">
        <v>252900.0</v>
      </c>
    </row>
    <row r="433" ht="14.25" customHeight="1">
      <c r="A433" s="2">
        <v>432.0</v>
      </c>
      <c r="B433" s="2" t="s">
        <v>2507</v>
      </c>
      <c r="C433" s="2" t="s">
        <v>2935</v>
      </c>
      <c r="D433" s="2">
        <v>205.0</v>
      </c>
      <c r="E433" s="2">
        <v>1.0</v>
      </c>
      <c r="F433" s="2">
        <v>200.0</v>
      </c>
      <c r="G433" s="2">
        <v>252700.0</v>
      </c>
    </row>
    <row r="434" ht="14.25" customHeight="1">
      <c r="A434" s="2">
        <v>433.0</v>
      </c>
      <c r="B434" s="2" t="s">
        <v>2491</v>
      </c>
      <c r="C434" s="2" t="s">
        <v>2936</v>
      </c>
      <c r="D434" s="2">
        <v>116.0</v>
      </c>
      <c r="E434" s="2">
        <v>1.0</v>
      </c>
      <c r="F434" s="2">
        <v>90.0</v>
      </c>
      <c r="G434" s="2">
        <v>252600.0</v>
      </c>
    </row>
    <row r="435" ht="14.25" customHeight="1">
      <c r="A435" s="2">
        <v>434.0</v>
      </c>
      <c r="B435" s="2" t="s">
        <v>2576</v>
      </c>
      <c r="C435" s="2" t="s">
        <v>2937</v>
      </c>
      <c r="D435" s="2">
        <v>197.0</v>
      </c>
      <c r="E435" s="2">
        <v>1.0</v>
      </c>
      <c r="F435" s="2">
        <v>150.0</v>
      </c>
      <c r="G435" s="2">
        <v>252400.0</v>
      </c>
    </row>
    <row r="436" ht="14.25" customHeight="1">
      <c r="A436" s="2">
        <v>435.0</v>
      </c>
      <c r="B436" s="2" t="s">
        <v>2582</v>
      </c>
      <c r="C436" s="2" t="s">
        <v>2938</v>
      </c>
      <c r="D436" s="2">
        <v>183.0</v>
      </c>
      <c r="E436" s="2">
        <v>1.0</v>
      </c>
      <c r="F436" s="2">
        <v>100.0</v>
      </c>
      <c r="G436" s="2">
        <v>252300.0</v>
      </c>
    </row>
    <row r="437" ht="14.25" customHeight="1">
      <c r="A437" s="2">
        <v>436.0</v>
      </c>
      <c r="B437" s="2" t="s">
        <v>2524</v>
      </c>
      <c r="C437" s="2" t="s">
        <v>2939</v>
      </c>
      <c r="D437" s="2">
        <v>331.0</v>
      </c>
      <c r="E437" s="2">
        <v>1.0</v>
      </c>
      <c r="F437" s="2">
        <v>75.0</v>
      </c>
      <c r="G437" s="2">
        <v>252000.0</v>
      </c>
    </row>
    <row r="438" ht="14.25" customHeight="1">
      <c r="A438" s="2">
        <v>437.0</v>
      </c>
      <c r="B438" s="2" t="s">
        <v>2604</v>
      </c>
      <c r="C438" s="2" t="s">
        <v>2940</v>
      </c>
      <c r="D438" s="2">
        <v>200.0</v>
      </c>
      <c r="E438" s="2">
        <v>1.0</v>
      </c>
      <c r="F438" s="2">
        <v>100.1</v>
      </c>
      <c r="G438" s="2">
        <v>251800.0</v>
      </c>
    </row>
    <row r="439" ht="14.25" customHeight="1">
      <c r="A439" s="2">
        <v>438.0</v>
      </c>
      <c r="B439" s="2" t="s">
        <v>2503</v>
      </c>
      <c r="C439" s="2" t="s">
        <v>2941</v>
      </c>
      <c r="D439" s="2">
        <v>105.0</v>
      </c>
      <c r="E439" s="2">
        <v>1.0</v>
      </c>
      <c r="F439" s="2">
        <v>75.0</v>
      </c>
      <c r="G439" s="2">
        <v>251700.0</v>
      </c>
    </row>
    <row r="440" ht="14.25" customHeight="1">
      <c r="A440" s="2">
        <v>439.0</v>
      </c>
      <c r="B440" s="2" t="s">
        <v>2491</v>
      </c>
      <c r="C440" s="2" t="s">
        <v>2942</v>
      </c>
      <c r="D440" s="2">
        <v>116.0</v>
      </c>
      <c r="E440" s="2">
        <v>1.0</v>
      </c>
      <c r="F440" s="2">
        <v>100.0</v>
      </c>
      <c r="G440" s="2">
        <v>251400.0</v>
      </c>
    </row>
    <row r="441" ht="14.25" customHeight="1">
      <c r="A441" s="2">
        <v>440.0</v>
      </c>
      <c r="B441" s="2" t="s">
        <v>2491</v>
      </c>
      <c r="C441" s="2" t="s">
        <v>2943</v>
      </c>
      <c r="D441" s="2">
        <v>116.0</v>
      </c>
      <c r="E441" s="2">
        <v>1.0</v>
      </c>
      <c r="F441" s="2">
        <v>100.0</v>
      </c>
      <c r="G441" s="2">
        <v>251300.0</v>
      </c>
    </row>
    <row r="442" ht="14.25" customHeight="1">
      <c r="A442" s="2">
        <v>441.0</v>
      </c>
      <c r="B442" s="2" t="s">
        <v>2475</v>
      </c>
      <c r="C442" s="2" t="s">
        <v>2944</v>
      </c>
      <c r="D442" s="2">
        <v>143.0</v>
      </c>
      <c r="E442" s="2">
        <v>1.0</v>
      </c>
      <c r="F442" s="2">
        <v>150.0</v>
      </c>
      <c r="G442" s="2">
        <v>251200.0</v>
      </c>
    </row>
    <row r="443" ht="14.25" customHeight="1">
      <c r="A443" s="2">
        <v>442.0</v>
      </c>
      <c r="B443" s="2" t="s">
        <v>2945</v>
      </c>
      <c r="C443" s="2" t="s">
        <v>2946</v>
      </c>
      <c r="D443" s="2">
        <v>619.0</v>
      </c>
      <c r="E443" s="2">
        <v>1.0</v>
      </c>
      <c r="F443" s="2">
        <v>50.0</v>
      </c>
      <c r="G443" s="2">
        <v>251200.0</v>
      </c>
    </row>
    <row r="444" ht="14.25" customHeight="1">
      <c r="A444" s="2">
        <v>443.0</v>
      </c>
      <c r="B444" s="2" t="s">
        <v>2488</v>
      </c>
      <c r="C444" s="2" t="s">
        <v>2947</v>
      </c>
      <c r="D444" s="2">
        <v>333.0</v>
      </c>
      <c r="E444" s="2">
        <v>1.0</v>
      </c>
      <c r="F444" s="2">
        <v>75.0</v>
      </c>
      <c r="G444" s="2">
        <v>250800.0</v>
      </c>
    </row>
    <row r="445" ht="14.25" customHeight="1">
      <c r="A445" s="2">
        <v>444.0</v>
      </c>
      <c r="B445" s="2" t="s">
        <v>2477</v>
      </c>
      <c r="C445" s="2" t="s">
        <v>2948</v>
      </c>
      <c r="D445" s="2">
        <v>152.0</v>
      </c>
      <c r="E445" s="2">
        <v>1.0</v>
      </c>
      <c r="F445" s="2">
        <v>200.0</v>
      </c>
      <c r="G445" s="2">
        <v>250700.0</v>
      </c>
    </row>
    <row r="446" ht="14.25" customHeight="1">
      <c r="A446" s="2">
        <v>445.0</v>
      </c>
      <c r="B446" s="2" t="s">
        <v>2491</v>
      </c>
      <c r="C446" s="2" t="s">
        <v>2949</v>
      </c>
      <c r="D446" s="2">
        <v>116.0</v>
      </c>
      <c r="E446" s="2">
        <v>1.0</v>
      </c>
      <c r="F446" s="2">
        <v>100.0</v>
      </c>
      <c r="G446" s="2">
        <v>250600.0</v>
      </c>
    </row>
    <row r="447" ht="14.25" customHeight="1">
      <c r="A447" s="2">
        <v>446.0</v>
      </c>
      <c r="B447" s="2" t="s">
        <v>2571</v>
      </c>
      <c r="C447" s="2" t="s">
        <v>2950</v>
      </c>
      <c r="D447" s="2">
        <v>185.0</v>
      </c>
      <c r="E447" s="2">
        <v>1.0</v>
      </c>
      <c r="F447" s="2">
        <v>70.0</v>
      </c>
      <c r="G447" s="2">
        <v>250600.0</v>
      </c>
    </row>
    <row r="448" ht="14.25" customHeight="1">
      <c r="A448" s="2">
        <v>447.0</v>
      </c>
      <c r="B448" s="2" t="s">
        <v>2534</v>
      </c>
      <c r="C448" s="2" t="s">
        <v>2951</v>
      </c>
      <c r="D448" s="2">
        <v>188.0</v>
      </c>
      <c r="E448" s="2">
        <v>1.0</v>
      </c>
      <c r="F448" s="2">
        <v>75.0</v>
      </c>
      <c r="G448" s="2">
        <v>250400.0</v>
      </c>
    </row>
    <row r="449" ht="14.25" customHeight="1">
      <c r="A449" s="2">
        <v>448.0</v>
      </c>
      <c r="B449" s="2" t="s">
        <v>2475</v>
      </c>
      <c r="C449" s="2" t="s">
        <v>2952</v>
      </c>
      <c r="D449" s="2">
        <v>143.0</v>
      </c>
      <c r="E449" s="2">
        <v>1.0</v>
      </c>
      <c r="F449" s="2">
        <v>150.0</v>
      </c>
      <c r="G449" s="2">
        <v>250300.0</v>
      </c>
    </row>
    <row r="450" ht="14.25" customHeight="1">
      <c r="A450" s="2">
        <v>449.0</v>
      </c>
      <c r="B450" s="2" t="s">
        <v>2594</v>
      </c>
      <c r="C450" s="2" t="s">
        <v>2953</v>
      </c>
      <c r="D450" s="2">
        <v>184.0</v>
      </c>
      <c r="E450" s="2">
        <v>1.0</v>
      </c>
      <c r="F450" s="2">
        <v>125.0</v>
      </c>
      <c r="G450" s="2">
        <v>250100.0</v>
      </c>
    </row>
    <row r="451" ht="14.25" customHeight="1">
      <c r="A451" s="2">
        <v>450.0</v>
      </c>
      <c r="B451" s="2" t="s">
        <v>2488</v>
      </c>
      <c r="C451" s="2" t="s">
        <v>2954</v>
      </c>
      <c r="D451" s="2">
        <v>333.0</v>
      </c>
      <c r="E451" s="2">
        <v>1.0</v>
      </c>
      <c r="F451" s="2">
        <v>75.0</v>
      </c>
      <c r="G451" s="2">
        <v>250100.0</v>
      </c>
    </row>
    <row r="452" ht="14.25" customHeight="1">
      <c r="A452" s="2">
        <v>451.0</v>
      </c>
      <c r="B452" s="2" t="s">
        <v>2686</v>
      </c>
      <c r="C452" s="2" t="s">
        <v>2955</v>
      </c>
      <c r="D452" s="2">
        <v>127.0</v>
      </c>
      <c r="E452" s="2">
        <v>1.0</v>
      </c>
      <c r="F452" s="2">
        <v>150.0</v>
      </c>
      <c r="G452" s="2">
        <v>250000.0</v>
      </c>
    </row>
    <row r="453" ht="14.25" customHeight="1">
      <c r="A453" s="2">
        <v>452.0</v>
      </c>
      <c r="B453" s="2" t="s">
        <v>2477</v>
      </c>
      <c r="C453" s="2" t="s">
        <v>2956</v>
      </c>
      <c r="D453" s="2">
        <v>152.0</v>
      </c>
      <c r="E453" s="2">
        <v>1.0</v>
      </c>
      <c r="F453" s="2">
        <v>118.0</v>
      </c>
      <c r="G453" s="2">
        <v>250000.0</v>
      </c>
    </row>
    <row r="454" ht="14.25" customHeight="1">
      <c r="A454" s="2">
        <v>453.0</v>
      </c>
      <c r="B454" s="2" t="s">
        <v>2636</v>
      </c>
      <c r="C454" s="2" t="s">
        <v>2957</v>
      </c>
      <c r="D454" s="2">
        <v>145.0</v>
      </c>
      <c r="E454" s="2">
        <v>1.0</v>
      </c>
      <c r="F454" s="2">
        <v>75.0</v>
      </c>
      <c r="G454" s="2">
        <v>249900.0</v>
      </c>
    </row>
    <row r="455" ht="14.25" customHeight="1">
      <c r="A455" s="2">
        <v>454.0</v>
      </c>
      <c r="B455" s="2" t="s">
        <v>2553</v>
      </c>
      <c r="C455" s="2" t="s">
        <v>2958</v>
      </c>
      <c r="D455" s="2">
        <v>187.0</v>
      </c>
      <c r="E455" s="2">
        <v>1.0</v>
      </c>
      <c r="F455" s="2">
        <v>75.0</v>
      </c>
      <c r="G455" s="2">
        <v>249900.0</v>
      </c>
    </row>
    <row r="456" ht="14.25" customHeight="1">
      <c r="A456" s="2">
        <v>455.0</v>
      </c>
      <c r="B456" s="2" t="s">
        <v>2488</v>
      </c>
      <c r="C456" s="2" t="s">
        <v>2959</v>
      </c>
      <c r="D456" s="2">
        <v>333.0</v>
      </c>
      <c r="E456" s="2">
        <v>1.0</v>
      </c>
      <c r="F456" s="2">
        <v>70.0</v>
      </c>
      <c r="G456" s="2">
        <v>249700.0</v>
      </c>
    </row>
    <row r="457" ht="14.25" customHeight="1">
      <c r="A457" s="2">
        <v>456.0</v>
      </c>
      <c r="B457" s="2" t="s">
        <v>2512</v>
      </c>
      <c r="C457" s="2" t="s">
        <v>2960</v>
      </c>
      <c r="D457" s="2">
        <v>153.0</v>
      </c>
      <c r="E457" s="2">
        <v>1.0</v>
      </c>
      <c r="F457" s="2">
        <v>50.0</v>
      </c>
      <c r="G457" s="2">
        <v>249600.0</v>
      </c>
    </row>
    <row r="458" ht="14.25" customHeight="1">
      <c r="A458" s="2">
        <v>457.0</v>
      </c>
      <c r="B458" s="2" t="s">
        <v>2491</v>
      </c>
      <c r="C458" s="2" t="s">
        <v>2961</v>
      </c>
      <c r="D458" s="2">
        <v>116.0</v>
      </c>
      <c r="E458" s="2">
        <v>1.0</v>
      </c>
      <c r="F458" s="2">
        <v>150.0</v>
      </c>
      <c r="G458" s="2">
        <v>249300.0</v>
      </c>
    </row>
    <row r="459" ht="14.25" customHeight="1">
      <c r="A459" s="2">
        <v>458.0</v>
      </c>
      <c r="B459" s="2" t="s">
        <v>2558</v>
      </c>
      <c r="C459" s="2" t="s">
        <v>2962</v>
      </c>
      <c r="D459" s="2">
        <v>357.0</v>
      </c>
      <c r="E459" s="2">
        <v>1.0</v>
      </c>
      <c r="F459" s="2">
        <v>85.0</v>
      </c>
      <c r="G459" s="2">
        <v>249200.0</v>
      </c>
    </row>
    <row r="460" ht="14.25" customHeight="1">
      <c r="A460" s="2">
        <v>459.0</v>
      </c>
      <c r="B460" s="2" t="s">
        <v>2505</v>
      </c>
      <c r="C460" s="2" t="s">
        <v>2963</v>
      </c>
      <c r="D460" s="2">
        <v>429.0</v>
      </c>
      <c r="E460" s="2">
        <v>1.0</v>
      </c>
      <c r="F460" s="2">
        <v>117.0</v>
      </c>
      <c r="G460" s="2">
        <v>249200.0</v>
      </c>
    </row>
    <row r="461" ht="14.25" customHeight="1">
      <c r="A461" s="2">
        <v>460.0</v>
      </c>
      <c r="B461" s="2" t="s">
        <v>2491</v>
      </c>
      <c r="C461" s="2" t="s">
        <v>2964</v>
      </c>
      <c r="D461" s="2">
        <v>116.0</v>
      </c>
      <c r="E461" s="2">
        <v>1.0</v>
      </c>
      <c r="F461" s="2">
        <v>100.0</v>
      </c>
      <c r="G461" s="2">
        <v>248800.0</v>
      </c>
    </row>
    <row r="462" ht="14.25" customHeight="1">
      <c r="A462" s="2">
        <v>461.0</v>
      </c>
      <c r="B462" s="2" t="s">
        <v>2518</v>
      </c>
      <c r="C462" s="2" t="s">
        <v>2965</v>
      </c>
      <c r="D462" s="2">
        <v>161.0</v>
      </c>
      <c r="E462" s="2">
        <v>1.0</v>
      </c>
      <c r="F462" s="2">
        <v>75.0</v>
      </c>
      <c r="G462" s="2">
        <v>248800.0</v>
      </c>
    </row>
    <row r="463" ht="14.25" customHeight="1">
      <c r="A463" s="2">
        <v>462.0</v>
      </c>
      <c r="B463" s="2" t="s">
        <v>2488</v>
      </c>
      <c r="C463" s="2" t="s">
        <v>2966</v>
      </c>
      <c r="D463" s="2">
        <v>333.0</v>
      </c>
      <c r="E463" s="2">
        <v>1.0</v>
      </c>
      <c r="F463" s="2">
        <v>100.0</v>
      </c>
      <c r="G463" s="2">
        <v>248800.0</v>
      </c>
    </row>
    <row r="464" ht="14.25" customHeight="1">
      <c r="A464" s="2">
        <v>463.0</v>
      </c>
      <c r="B464" s="2" t="s">
        <v>2491</v>
      </c>
      <c r="C464" s="2" t="s">
        <v>2967</v>
      </c>
      <c r="D464" s="2">
        <v>116.0</v>
      </c>
      <c r="E464" s="2">
        <v>1.0</v>
      </c>
      <c r="F464" s="2">
        <v>90.0</v>
      </c>
      <c r="G464" s="2">
        <v>248700.0</v>
      </c>
    </row>
    <row r="465" ht="14.25" customHeight="1">
      <c r="A465" s="2">
        <v>464.0</v>
      </c>
      <c r="B465" s="2" t="s">
        <v>2503</v>
      </c>
      <c r="C465" s="2" t="s">
        <v>2968</v>
      </c>
      <c r="D465" s="2">
        <v>105.0</v>
      </c>
      <c r="E465" s="2">
        <v>1.0</v>
      </c>
      <c r="F465" s="2">
        <v>120.0</v>
      </c>
      <c r="G465" s="2">
        <v>248300.0</v>
      </c>
    </row>
    <row r="466" ht="14.25" customHeight="1">
      <c r="A466" s="2">
        <v>465.0</v>
      </c>
      <c r="B466" s="2" t="s">
        <v>2558</v>
      </c>
      <c r="C466" s="2" t="s">
        <v>2969</v>
      </c>
      <c r="D466" s="2">
        <v>357.0</v>
      </c>
      <c r="E466" s="2">
        <v>1.0</v>
      </c>
      <c r="F466" s="2">
        <v>85.0</v>
      </c>
      <c r="G466" s="2">
        <v>248200.0</v>
      </c>
    </row>
    <row r="467" ht="14.25" customHeight="1">
      <c r="A467" s="2">
        <v>466.0</v>
      </c>
      <c r="B467" s="2" t="s">
        <v>2491</v>
      </c>
      <c r="C467" s="2" t="s">
        <v>2970</v>
      </c>
      <c r="D467" s="2">
        <v>116.0</v>
      </c>
      <c r="E467" s="2">
        <v>1.0</v>
      </c>
      <c r="F467" s="2">
        <v>175.0</v>
      </c>
      <c r="G467" s="2">
        <v>248000.0</v>
      </c>
    </row>
    <row r="468" ht="14.25" customHeight="1">
      <c r="A468" s="2">
        <v>467.0</v>
      </c>
      <c r="B468" s="2" t="s">
        <v>2477</v>
      </c>
      <c r="C468" s="2" t="s">
        <v>2971</v>
      </c>
      <c r="D468" s="2">
        <v>152.0</v>
      </c>
      <c r="E468" s="2">
        <v>1.0</v>
      </c>
      <c r="F468" s="2">
        <v>100.0</v>
      </c>
      <c r="G468" s="2">
        <v>248000.0</v>
      </c>
    </row>
    <row r="469" ht="14.25" customHeight="1">
      <c r="A469" s="2">
        <v>468.0</v>
      </c>
      <c r="B469" s="2" t="s">
        <v>2686</v>
      </c>
      <c r="C469" s="2" t="s">
        <v>2972</v>
      </c>
      <c r="D469" s="2">
        <v>127.0</v>
      </c>
      <c r="E469" s="2">
        <v>1.0</v>
      </c>
      <c r="F469" s="2">
        <v>132.0</v>
      </c>
      <c r="G469" s="2">
        <v>247900.0</v>
      </c>
    </row>
    <row r="470" ht="14.25" customHeight="1">
      <c r="A470" s="2">
        <v>469.0</v>
      </c>
      <c r="B470" s="2" t="s">
        <v>2501</v>
      </c>
      <c r="C470" s="2" t="s">
        <v>2973</v>
      </c>
      <c r="D470" s="2">
        <v>199.0</v>
      </c>
      <c r="E470" s="2">
        <v>1.0</v>
      </c>
      <c r="F470" s="2">
        <v>54.0</v>
      </c>
      <c r="G470" s="2">
        <v>247600.0</v>
      </c>
    </row>
    <row r="471" ht="14.25" customHeight="1">
      <c r="A471" s="2">
        <v>470.0</v>
      </c>
      <c r="B471" s="2" t="s">
        <v>2558</v>
      </c>
      <c r="C471" s="2" t="s">
        <v>2974</v>
      </c>
      <c r="D471" s="2">
        <v>357.0</v>
      </c>
      <c r="E471" s="2">
        <v>1.0</v>
      </c>
      <c r="F471" s="2">
        <v>88.0</v>
      </c>
      <c r="G471" s="2">
        <v>247300.0</v>
      </c>
    </row>
    <row r="472" ht="14.25" customHeight="1">
      <c r="A472" s="2">
        <v>471.0</v>
      </c>
      <c r="B472" s="2" t="s">
        <v>2512</v>
      </c>
      <c r="C472" s="2" t="s">
        <v>2975</v>
      </c>
      <c r="D472" s="2">
        <v>153.0</v>
      </c>
      <c r="E472" s="2">
        <v>1.0</v>
      </c>
      <c r="F472" s="2">
        <v>100.0</v>
      </c>
      <c r="G472" s="2">
        <v>247200.0</v>
      </c>
    </row>
    <row r="473" ht="14.25" customHeight="1">
      <c r="A473" s="2">
        <v>472.0</v>
      </c>
      <c r="B473" s="2" t="s">
        <v>2524</v>
      </c>
      <c r="C473" s="2" t="s">
        <v>2976</v>
      </c>
      <c r="D473" s="2">
        <v>331.0</v>
      </c>
      <c r="E473" s="2">
        <v>1.0</v>
      </c>
      <c r="F473" s="2">
        <v>100.0</v>
      </c>
      <c r="G473" s="2">
        <v>247100.0</v>
      </c>
    </row>
    <row r="474" ht="14.25" customHeight="1">
      <c r="A474" s="2">
        <v>473.0</v>
      </c>
      <c r="B474" s="2" t="s">
        <v>2488</v>
      </c>
      <c r="C474" s="2" t="s">
        <v>2977</v>
      </c>
      <c r="D474" s="2">
        <v>333.0</v>
      </c>
      <c r="E474" s="2">
        <v>1.0</v>
      </c>
      <c r="F474" s="2">
        <v>45.0</v>
      </c>
      <c r="G474" s="2">
        <v>246900.0</v>
      </c>
    </row>
    <row r="475" ht="14.25" customHeight="1">
      <c r="A475" s="2">
        <v>474.0</v>
      </c>
      <c r="B475" s="2" t="s">
        <v>2621</v>
      </c>
      <c r="C475" s="2" t="s">
        <v>2978</v>
      </c>
      <c r="D475" s="2">
        <v>403.0</v>
      </c>
      <c r="E475" s="2">
        <v>1.0</v>
      </c>
      <c r="F475" s="2">
        <v>150.0</v>
      </c>
      <c r="G475" s="2">
        <v>246700.0</v>
      </c>
    </row>
    <row r="476" ht="14.25" customHeight="1">
      <c r="A476" s="2">
        <v>475.0</v>
      </c>
      <c r="B476" s="2" t="s">
        <v>2945</v>
      </c>
      <c r="C476" s="2" t="s">
        <v>2979</v>
      </c>
      <c r="D476" s="2">
        <v>619.0</v>
      </c>
      <c r="E476" s="2">
        <v>1.0</v>
      </c>
      <c r="F476" s="2">
        <v>55.0</v>
      </c>
      <c r="G476" s="2">
        <v>246600.0</v>
      </c>
    </row>
    <row r="477" ht="14.25" customHeight="1">
      <c r="A477" s="2">
        <v>476.0</v>
      </c>
      <c r="B477" s="2" t="s">
        <v>2491</v>
      </c>
      <c r="C477" s="2" t="s">
        <v>2980</v>
      </c>
      <c r="D477" s="2">
        <v>116.0</v>
      </c>
      <c r="E477" s="2">
        <v>1.0</v>
      </c>
      <c r="F477" s="2">
        <v>160.0</v>
      </c>
      <c r="G477" s="2">
        <v>246400.0</v>
      </c>
    </row>
    <row r="478" ht="14.25" customHeight="1">
      <c r="A478" s="2">
        <v>477.0</v>
      </c>
      <c r="B478" s="2" t="s">
        <v>2477</v>
      </c>
      <c r="C478" s="2" t="s">
        <v>2981</v>
      </c>
      <c r="D478" s="2">
        <v>152.0</v>
      </c>
      <c r="E478" s="2">
        <v>1.0</v>
      </c>
      <c r="F478" s="2">
        <v>60.0</v>
      </c>
      <c r="G478" s="2">
        <v>246300.0</v>
      </c>
    </row>
    <row r="479" ht="14.25" customHeight="1">
      <c r="A479" s="2">
        <v>478.0</v>
      </c>
      <c r="B479" s="2" t="s">
        <v>2686</v>
      </c>
      <c r="C479" s="2" t="s">
        <v>2982</v>
      </c>
      <c r="D479" s="2">
        <v>127.0</v>
      </c>
      <c r="E479" s="2">
        <v>1.0</v>
      </c>
      <c r="F479" s="2">
        <v>150.0</v>
      </c>
      <c r="G479" s="2">
        <v>246000.0</v>
      </c>
    </row>
    <row r="480" ht="14.25" customHeight="1">
      <c r="A480" s="2">
        <v>479.0</v>
      </c>
      <c r="B480" s="2" t="s">
        <v>2488</v>
      </c>
      <c r="C480" s="2" t="s">
        <v>2983</v>
      </c>
      <c r="D480" s="2">
        <v>333.0</v>
      </c>
      <c r="E480" s="2">
        <v>1.0</v>
      </c>
      <c r="F480" s="2">
        <v>75.0</v>
      </c>
      <c r="G480" s="2">
        <v>245900.0</v>
      </c>
    </row>
    <row r="481" ht="14.25" customHeight="1">
      <c r="A481" s="2">
        <v>480.0</v>
      </c>
      <c r="B481" s="2" t="s">
        <v>2501</v>
      </c>
      <c r="C481" s="2" t="s">
        <v>2984</v>
      </c>
      <c r="D481" s="2">
        <v>199.0</v>
      </c>
      <c r="E481" s="2">
        <v>1.0</v>
      </c>
      <c r="F481" s="2">
        <v>100.0</v>
      </c>
      <c r="G481" s="2">
        <v>245800.0</v>
      </c>
    </row>
    <row r="482" ht="14.25" customHeight="1">
      <c r="A482" s="2">
        <v>481.0</v>
      </c>
      <c r="B482" s="2" t="s">
        <v>2686</v>
      </c>
      <c r="C482" s="2" t="s">
        <v>2985</v>
      </c>
      <c r="D482" s="2">
        <v>127.0</v>
      </c>
      <c r="E482" s="2">
        <v>1.0</v>
      </c>
      <c r="F482" s="2">
        <v>120.0</v>
      </c>
      <c r="G482" s="2">
        <v>245300.0</v>
      </c>
    </row>
    <row r="483" ht="14.25" customHeight="1">
      <c r="A483" s="2">
        <v>482.0</v>
      </c>
      <c r="B483" s="2" t="s">
        <v>2561</v>
      </c>
      <c r="C483" s="2" t="s">
        <v>2986</v>
      </c>
      <c r="D483" s="2">
        <v>162.0</v>
      </c>
      <c r="E483" s="2">
        <v>1.0</v>
      </c>
      <c r="F483" s="2">
        <v>75.0</v>
      </c>
      <c r="G483" s="2">
        <v>245300.0</v>
      </c>
    </row>
    <row r="484" ht="14.25" customHeight="1">
      <c r="A484" s="2">
        <v>483.0</v>
      </c>
      <c r="B484" s="2" t="s">
        <v>2497</v>
      </c>
      <c r="C484" s="2" t="s">
        <v>2987</v>
      </c>
      <c r="D484" s="2">
        <v>151.0</v>
      </c>
      <c r="E484" s="2">
        <v>1.0</v>
      </c>
      <c r="F484" s="2">
        <v>99.0</v>
      </c>
      <c r="G484" s="2">
        <v>244600.0</v>
      </c>
    </row>
    <row r="485" ht="14.25" customHeight="1">
      <c r="A485" s="2">
        <v>484.0</v>
      </c>
      <c r="B485" s="2" t="s">
        <v>2524</v>
      </c>
      <c r="C485" s="2" t="s">
        <v>2988</v>
      </c>
      <c r="D485" s="2">
        <v>331.0</v>
      </c>
      <c r="E485" s="2">
        <v>1.0</v>
      </c>
      <c r="F485" s="2">
        <v>75.0</v>
      </c>
      <c r="G485" s="2">
        <v>244600.0</v>
      </c>
    </row>
    <row r="486" ht="14.25" customHeight="1">
      <c r="A486" s="2">
        <v>485.0</v>
      </c>
      <c r="B486" s="2" t="s">
        <v>2524</v>
      </c>
      <c r="C486" s="2" t="s">
        <v>2989</v>
      </c>
      <c r="D486" s="2">
        <v>331.0</v>
      </c>
      <c r="E486" s="2">
        <v>1.0</v>
      </c>
      <c r="F486" s="2">
        <v>120.0</v>
      </c>
      <c r="G486" s="2">
        <v>244200.0</v>
      </c>
    </row>
    <row r="487" ht="14.25" customHeight="1">
      <c r="A487" s="2">
        <v>486.0</v>
      </c>
      <c r="B487" s="2" t="s">
        <v>2534</v>
      </c>
      <c r="C487" s="2" t="s">
        <v>2990</v>
      </c>
      <c r="D487" s="2">
        <v>188.0</v>
      </c>
      <c r="E487" s="2">
        <v>1.0</v>
      </c>
      <c r="F487" s="2">
        <v>150.0</v>
      </c>
      <c r="G487" s="2">
        <v>244100.0</v>
      </c>
    </row>
    <row r="488" ht="14.25" customHeight="1">
      <c r="A488" s="2">
        <v>487.0</v>
      </c>
      <c r="B488" s="2" t="s">
        <v>2518</v>
      </c>
      <c r="C488" s="2" t="s">
        <v>2991</v>
      </c>
      <c r="D488" s="2">
        <v>161.0</v>
      </c>
      <c r="E488" s="2">
        <v>1.0</v>
      </c>
      <c r="F488" s="2">
        <v>100.0</v>
      </c>
      <c r="G488" s="2">
        <v>244000.0</v>
      </c>
    </row>
    <row r="489" ht="14.25" customHeight="1">
      <c r="A489" s="2">
        <v>488.0</v>
      </c>
      <c r="B489" s="2" t="s">
        <v>2518</v>
      </c>
      <c r="C489" s="2" t="s">
        <v>2992</v>
      </c>
      <c r="D489" s="2">
        <v>161.0</v>
      </c>
      <c r="E489" s="2">
        <v>1.0</v>
      </c>
      <c r="F489" s="2">
        <v>100.0</v>
      </c>
      <c r="G489" s="2">
        <v>243900.0</v>
      </c>
    </row>
    <row r="490" ht="14.25" customHeight="1">
      <c r="A490" s="2">
        <v>489.0</v>
      </c>
      <c r="B490" s="2" t="s">
        <v>2501</v>
      </c>
      <c r="C490" s="2" t="s">
        <v>2993</v>
      </c>
      <c r="D490" s="2">
        <v>199.0</v>
      </c>
      <c r="E490" s="2">
        <v>1.0</v>
      </c>
      <c r="F490" s="2">
        <v>100.0</v>
      </c>
      <c r="G490" s="2">
        <v>243900.0</v>
      </c>
    </row>
    <row r="491" ht="14.25" customHeight="1">
      <c r="A491" s="2">
        <v>490.0</v>
      </c>
      <c r="B491" s="2" t="s">
        <v>2501</v>
      </c>
      <c r="C491" s="2" t="s">
        <v>2994</v>
      </c>
      <c r="D491" s="2">
        <v>199.0</v>
      </c>
      <c r="E491" s="2">
        <v>1.0</v>
      </c>
      <c r="F491" s="2">
        <v>66.0</v>
      </c>
      <c r="G491" s="2">
        <v>243800.0</v>
      </c>
    </row>
    <row r="492" ht="14.25" customHeight="1">
      <c r="A492" s="2">
        <v>491.0</v>
      </c>
      <c r="B492" s="2" t="s">
        <v>2582</v>
      </c>
      <c r="C492" s="2" t="s">
        <v>2995</v>
      </c>
      <c r="D492" s="2">
        <v>183.0</v>
      </c>
      <c r="E492" s="2">
        <v>1.0</v>
      </c>
      <c r="F492" s="2">
        <v>130.0</v>
      </c>
      <c r="G492" s="2">
        <v>243700.0</v>
      </c>
    </row>
    <row r="493" ht="14.25" customHeight="1">
      <c r="A493" s="2">
        <v>492.0</v>
      </c>
      <c r="B493" s="2" t="s">
        <v>2501</v>
      </c>
      <c r="C493" s="2" t="s">
        <v>2996</v>
      </c>
      <c r="D493" s="2">
        <v>199.0</v>
      </c>
      <c r="E493" s="2">
        <v>1.0</v>
      </c>
      <c r="F493" s="2">
        <v>165.0</v>
      </c>
      <c r="G493" s="2">
        <v>243300.0</v>
      </c>
    </row>
    <row r="494" ht="14.25" customHeight="1">
      <c r="A494" s="2">
        <v>493.0</v>
      </c>
      <c r="B494" s="2" t="s">
        <v>2477</v>
      </c>
      <c r="C494" s="2" t="s">
        <v>2997</v>
      </c>
      <c r="D494" s="2">
        <v>152.0</v>
      </c>
      <c r="E494" s="2">
        <v>1.0</v>
      </c>
      <c r="F494" s="2">
        <v>60.0</v>
      </c>
      <c r="G494" s="2">
        <v>242900.0</v>
      </c>
    </row>
    <row r="495" ht="14.25" customHeight="1">
      <c r="A495" s="2">
        <v>494.0</v>
      </c>
      <c r="B495" s="2" t="s">
        <v>2479</v>
      </c>
      <c r="C495" s="2" t="s">
        <v>2998</v>
      </c>
      <c r="D495" s="2">
        <v>182.0</v>
      </c>
      <c r="E495" s="2">
        <v>1.0</v>
      </c>
      <c r="F495" s="2">
        <v>70.0</v>
      </c>
      <c r="G495" s="2">
        <v>242800.0</v>
      </c>
    </row>
    <row r="496" ht="14.25" customHeight="1">
      <c r="A496" s="2">
        <v>495.0</v>
      </c>
      <c r="B496" s="2" t="s">
        <v>2582</v>
      </c>
      <c r="C496" s="2" t="s">
        <v>2999</v>
      </c>
      <c r="D496" s="2">
        <v>183.0</v>
      </c>
      <c r="E496" s="2">
        <v>1.0</v>
      </c>
      <c r="F496" s="2">
        <v>110.0</v>
      </c>
      <c r="G496" s="2">
        <v>242600.0</v>
      </c>
    </row>
    <row r="497" ht="14.25" customHeight="1">
      <c r="A497" s="2">
        <v>496.0</v>
      </c>
      <c r="B497" s="2" t="s">
        <v>2518</v>
      </c>
      <c r="C497" s="2" t="s">
        <v>3000</v>
      </c>
      <c r="D497" s="2">
        <v>161.0</v>
      </c>
      <c r="E497" s="2">
        <v>1.0</v>
      </c>
      <c r="F497" s="2">
        <v>100.0</v>
      </c>
      <c r="G497" s="2">
        <v>242500.0</v>
      </c>
    </row>
    <row r="498" ht="14.25" customHeight="1">
      <c r="A498" s="2">
        <v>497.0</v>
      </c>
      <c r="B498" s="2" t="s">
        <v>2686</v>
      </c>
      <c r="C498" s="2" t="s">
        <v>3001</v>
      </c>
      <c r="D498" s="2">
        <v>127.0</v>
      </c>
      <c r="E498" s="2">
        <v>1.0</v>
      </c>
      <c r="F498" s="2">
        <v>60.0</v>
      </c>
      <c r="G498" s="2">
        <v>242400.0</v>
      </c>
    </row>
    <row r="499" ht="14.25" customHeight="1">
      <c r="A499" s="2">
        <v>498.0</v>
      </c>
      <c r="B499" s="2" t="s">
        <v>2491</v>
      </c>
      <c r="C499" s="2" t="s">
        <v>3002</v>
      </c>
      <c r="D499" s="2">
        <v>116.0</v>
      </c>
      <c r="E499" s="2">
        <v>1.0</v>
      </c>
      <c r="F499" s="2">
        <v>120.0</v>
      </c>
      <c r="G499" s="2">
        <v>241800.0</v>
      </c>
    </row>
    <row r="500" ht="14.25" customHeight="1">
      <c r="A500" s="2">
        <v>499.0</v>
      </c>
      <c r="B500" s="2" t="s">
        <v>2475</v>
      </c>
      <c r="C500" s="2" t="s">
        <v>3003</v>
      </c>
      <c r="D500" s="2">
        <v>143.0</v>
      </c>
      <c r="E500" s="2">
        <v>1.0</v>
      </c>
      <c r="F500" s="2">
        <v>100.0</v>
      </c>
      <c r="G500" s="2">
        <v>241800.0</v>
      </c>
    </row>
    <row r="501" ht="14.25" customHeight="1">
      <c r="A501" s="2">
        <v>500.0</v>
      </c>
      <c r="B501" s="2" t="s">
        <v>2524</v>
      </c>
      <c r="C501" s="2" t="s">
        <v>3004</v>
      </c>
      <c r="D501" s="2">
        <v>331.0</v>
      </c>
      <c r="E501" s="2">
        <v>1.0</v>
      </c>
      <c r="F501" s="2">
        <v>100.0</v>
      </c>
      <c r="G501" s="2">
        <v>241400.0</v>
      </c>
    </row>
    <row r="502" ht="14.25" customHeight="1">
      <c r="A502" s="2">
        <v>501.0</v>
      </c>
      <c r="B502" s="2" t="s">
        <v>2479</v>
      </c>
      <c r="C502" s="2" t="s">
        <v>3005</v>
      </c>
      <c r="D502" s="2">
        <v>182.0</v>
      </c>
      <c r="E502" s="2">
        <v>1.0</v>
      </c>
      <c r="F502" s="2">
        <v>125.0</v>
      </c>
      <c r="G502" s="2">
        <v>241000.0</v>
      </c>
    </row>
    <row r="503" ht="14.25" customHeight="1">
      <c r="A503" s="2">
        <v>502.0</v>
      </c>
      <c r="B503" s="2" t="s">
        <v>2558</v>
      </c>
      <c r="C503" s="2" t="s">
        <v>3006</v>
      </c>
      <c r="D503" s="2">
        <v>357.0</v>
      </c>
      <c r="E503" s="2">
        <v>1.0</v>
      </c>
      <c r="F503" s="2">
        <v>75.0</v>
      </c>
      <c r="G503" s="2">
        <v>240900.0</v>
      </c>
    </row>
    <row r="504" ht="14.25" customHeight="1">
      <c r="A504" s="2">
        <v>503.0</v>
      </c>
      <c r="B504" s="2" t="s">
        <v>2549</v>
      </c>
      <c r="C504" s="2" t="s">
        <v>3007</v>
      </c>
      <c r="D504" s="2">
        <v>115.0</v>
      </c>
      <c r="E504" s="2">
        <v>1.0</v>
      </c>
      <c r="F504" s="2">
        <v>150.0</v>
      </c>
      <c r="G504" s="2">
        <v>240800.0</v>
      </c>
    </row>
    <row r="505" ht="14.25" customHeight="1">
      <c r="A505" s="2">
        <v>504.0</v>
      </c>
      <c r="B505" s="2" t="s">
        <v>2497</v>
      </c>
      <c r="C505" s="2" t="s">
        <v>3008</v>
      </c>
      <c r="D505" s="2">
        <v>151.0</v>
      </c>
      <c r="E505" s="2">
        <v>1.0</v>
      </c>
      <c r="F505" s="2">
        <v>150.0</v>
      </c>
      <c r="G505" s="2">
        <v>240600.0</v>
      </c>
    </row>
    <row r="506" ht="14.25" customHeight="1">
      <c r="A506" s="2">
        <v>505.0</v>
      </c>
      <c r="B506" s="2" t="s">
        <v>2501</v>
      </c>
      <c r="C506" s="2" t="s">
        <v>3009</v>
      </c>
      <c r="D506" s="2">
        <v>199.0</v>
      </c>
      <c r="E506" s="2">
        <v>1.0</v>
      </c>
      <c r="F506" s="2">
        <v>66.0</v>
      </c>
      <c r="G506" s="2">
        <v>240200.0</v>
      </c>
    </row>
    <row r="507" ht="14.25" customHeight="1">
      <c r="A507" s="2">
        <v>506.0</v>
      </c>
      <c r="B507" s="2" t="s">
        <v>2491</v>
      </c>
      <c r="C507" s="2" t="s">
        <v>3010</v>
      </c>
      <c r="D507" s="2">
        <v>116.0</v>
      </c>
      <c r="E507" s="2">
        <v>1.0</v>
      </c>
      <c r="F507" s="2">
        <v>90.0</v>
      </c>
      <c r="G507" s="2">
        <v>240100.0</v>
      </c>
    </row>
    <row r="508" ht="14.25" customHeight="1">
      <c r="A508" s="2">
        <v>507.0</v>
      </c>
      <c r="B508" s="2" t="s">
        <v>2512</v>
      </c>
      <c r="C508" s="2" t="s">
        <v>3011</v>
      </c>
      <c r="D508" s="2">
        <v>153.0</v>
      </c>
      <c r="E508" s="2">
        <v>1.0</v>
      </c>
      <c r="F508" s="2">
        <v>150.0</v>
      </c>
      <c r="G508" s="2">
        <v>240100.0</v>
      </c>
    </row>
    <row r="509" ht="14.25" customHeight="1">
      <c r="A509" s="2">
        <v>508.0</v>
      </c>
      <c r="B509" s="2" t="s">
        <v>2477</v>
      </c>
      <c r="C509" s="2" t="s">
        <v>3012</v>
      </c>
      <c r="D509" s="2">
        <v>152.0</v>
      </c>
      <c r="E509" s="2">
        <v>1.0</v>
      </c>
      <c r="F509" s="2">
        <v>90.0</v>
      </c>
      <c r="G509" s="2">
        <v>240000.0</v>
      </c>
    </row>
    <row r="510" ht="14.25" customHeight="1">
      <c r="A510" s="2">
        <v>509.0</v>
      </c>
      <c r="B510" s="2" t="s">
        <v>2479</v>
      </c>
      <c r="C510" s="2" t="s">
        <v>3013</v>
      </c>
      <c r="D510" s="2">
        <v>182.0</v>
      </c>
      <c r="E510" s="2">
        <v>1.0</v>
      </c>
      <c r="F510" s="2">
        <v>100.0</v>
      </c>
      <c r="G510" s="2">
        <v>240000.0</v>
      </c>
    </row>
    <row r="511" ht="14.25" customHeight="1">
      <c r="A511" s="2">
        <v>510.0</v>
      </c>
      <c r="B511" s="2" t="s">
        <v>2558</v>
      </c>
      <c r="C511" s="2" t="s">
        <v>3014</v>
      </c>
      <c r="D511" s="2">
        <v>357.0</v>
      </c>
      <c r="E511" s="2">
        <v>1.0</v>
      </c>
      <c r="F511" s="2">
        <v>80.0</v>
      </c>
      <c r="G511" s="2">
        <v>240000.0</v>
      </c>
    </row>
    <row r="512" ht="14.25" customHeight="1">
      <c r="A512" s="2">
        <v>511.0</v>
      </c>
      <c r="B512" s="2" t="s">
        <v>2686</v>
      </c>
      <c r="C512" s="2" t="s">
        <v>3015</v>
      </c>
      <c r="D512" s="2">
        <v>127.0</v>
      </c>
      <c r="E512" s="2">
        <v>1.0</v>
      </c>
      <c r="F512" s="2">
        <v>120.0</v>
      </c>
      <c r="G512" s="2">
        <v>239700.0</v>
      </c>
    </row>
    <row r="513" ht="14.25" customHeight="1">
      <c r="A513" s="2">
        <v>512.0</v>
      </c>
      <c r="B513" s="2" t="s">
        <v>2594</v>
      </c>
      <c r="C513" s="2" t="s">
        <v>3016</v>
      </c>
      <c r="D513" s="2">
        <v>184.0</v>
      </c>
      <c r="E513" s="2">
        <v>1.0</v>
      </c>
      <c r="F513" s="2">
        <v>70.0</v>
      </c>
      <c r="G513" s="2">
        <v>239700.0</v>
      </c>
    </row>
    <row r="514" ht="14.25" customHeight="1">
      <c r="A514" s="2">
        <v>513.0</v>
      </c>
      <c r="B514" s="2" t="s">
        <v>2497</v>
      </c>
      <c r="C514" s="2" t="s">
        <v>3017</v>
      </c>
      <c r="D514" s="2">
        <v>151.0</v>
      </c>
      <c r="E514" s="2">
        <v>1.0</v>
      </c>
      <c r="F514" s="2">
        <v>150.0</v>
      </c>
      <c r="G514" s="2">
        <v>239500.0</v>
      </c>
    </row>
    <row r="515" ht="14.25" customHeight="1">
      <c r="A515" s="2">
        <v>514.0</v>
      </c>
      <c r="B515" s="2" t="s">
        <v>2571</v>
      </c>
      <c r="C515" s="2" t="s">
        <v>3018</v>
      </c>
      <c r="D515" s="2">
        <v>185.0</v>
      </c>
      <c r="E515" s="2">
        <v>1.0</v>
      </c>
      <c r="F515" s="2">
        <v>70.0</v>
      </c>
      <c r="G515" s="2">
        <v>239400.0</v>
      </c>
    </row>
    <row r="516" ht="14.25" customHeight="1">
      <c r="A516" s="2">
        <v>515.0</v>
      </c>
      <c r="B516" s="2" t="s">
        <v>2488</v>
      </c>
      <c r="C516" s="2" t="s">
        <v>3019</v>
      </c>
      <c r="D516" s="2">
        <v>333.0</v>
      </c>
      <c r="E516" s="2">
        <v>1.0</v>
      </c>
      <c r="F516" s="2">
        <v>90.0</v>
      </c>
      <c r="G516" s="2">
        <v>239400.0</v>
      </c>
    </row>
    <row r="517" ht="14.25" customHeight="1">
      <c r="A517" s="2">
        <v>516.0</v>
      </c>
      <c r="B517" s="2" t="s">
        <v>2479</v>
      </c>
      <c r="C517" s="2" t="s">
        <v>3020</v>
      </c>
      <c r="D517" s="2">
        <v>182.0</v>
      </c>
      <c r="E517" s="2">
        <v>1.0</v>
      </c>
      <c r="F517" s="2">
        <v>75.0</v>
      </c>
      <c r="G517" s="2">
        <v>239100.0</v>
      </c>
    </row>
    <row r="518" ht="14.25" customHeight="1">
      <c r="A518" s="2">
        <v>517.0</v>
      </c>
      <c r="B518" s="2" t="s">
        <v>2582</v>
      </c>
      <c r="C518" s="2" t="s">
        <v>3021</v>
      </c>
      <c r="D518" s="2">
        <v>183.0</v>
      </c>
      <c r="E518" s="2">
        <v>1.0</v>
      </c>
      <c r="F518" s="2">
        <v>100.0</v>
      </c>
      <c r="G518" s="2">
        <v>239100.0</v>
      </c>
    </row>
    <row r="519" ht="14.25" customHeight="1">
      <c r="A519" s="2">
        <v>518.0</v>
      </c>
      <c r="B519" s="2" t="s">
        <v>2744</v>
      </c>
      <c r="C519" s="2" t="s">
        <v>3022</v>
      </c>
      <c r="D519" s="2">
        <v>169.0</v>
      </c>
      <c r="E519" s="2">
        <v>1.0</v>
      </c>
      <c r="F519" s="2">
        <v>65.0</v>
      </c>
      <c r="G519" s="2">
        <v>239000.0</v>
      </c>
    </row>
    <row r="520" ht="14.25" customHeight="1">
      <c r="A520" s="2">
        <v>519.0</v>
      </c>
      <c r="B520" s="2" t="s">
        <v>2534</v>
      </c>
      <c r="C520" s="2" t="s">
        <v>3023</v>
      </c>
      <c r="D520" s="2">
        <v>188.0</v>
      </c>
      <c r="E520" s="2">
        <v>1.0</v>
      </c>
      <c r="F520" s="2">
        <v>75.0</v>
      </c>
      <c r="G520" s="2">
        <v>238900.0</v>
      </c>
    </row>
    <row r="521" ht="14.25" customHeight="1">
      <c r="A521" s="2">
        <v>520.0</v>
      </c>
      <c r="B521" s="2" t="s">
        <v>2686</v>
      </c>
      <c r="C521" s="2" t="s">
        <v>3024</v>
      </c>
      <c r="D521" s="2">
        <v>127.0</v>
      </c>
      <c r="E521" s="2">
        <v>1.0</v>
      </c>
      <c r="F521" s="2">
        <v>100.0</v>
      </c>
      <c r="G521" s="2">
        <v>238800.0</v>
      </c>
    </row>
    <row r="522" ht="14.25" customHeight="1">
      <c r="A522" s="2">
        <v>521.0</v>
      </c>
      <c r="B522" s="2" t="s">
        <v>2524</v>
      </c>
      <c r="C522" s="2" t="s">
        <v>3025</v>
      </c>
      <c r="D522" s="2">
        <v>331.0</v>
      </c>
      <c r="E522" s="2">
        <v>1.0</v>
      </c>
      <c r="F522" s="2">
        <v>50.0</v>
      </c>
      <c r="G522" s="2">
        <v>238800.0</v>
      </c>
    </row>
    <row r="523" ht="14.25" customHeight="1">
      <c r="A523" s="2">
        <v>522.0</v>
      </c>
      <c r="B523" s="2" t="s">
        <v>2744</v>
      </c>
      <c r="C523" s="2" t="s">
        <v>3026</v>
      </c>
      <c r="D523" s="2">
        <v>169.0</v>
      </c>
      <c r="E523" s="2">
        <v>1.0</v>
      </c>
      <c r="F523" s="2">
        <v>120.0</v>
      </c>
      <c r="G523" s="2">
        <v>238700.0</v>
      </c>
    </row>
    <row r="524" ht="14.25" customHeight="1">
      <c r="A524" s="2">
        <v>523.0</v>
      </c>
      <c r="B524" s="2" t="s">
        <v>2477</v>
      </c>
      <c r="C524" s="2" t="s">
        <v>3027</v>
      </c>
      <c r="D524" s="2">
        <v>152.0</v>
      </c>
      <c r="E524" s="2">
        <v>1.0</v>
      </c>
      <c r="F524" s="2">
        <v>80.0</v>
      </c>
      <c r="G524" s="2">
        <v>238600.0</v>
      </c>
    </row>
    <row r="525" ht="14.25" customHeight="1">
      <c r="A525" s="2">
        <v>524.0</v>
      </c>
      <c r="B525" s="2" t="s">
        <v>2604</v>
      </c>
      <c r="C525" s="2" t="s">
        <v>3028</v>
      </c>
      <c r="D525" s="2">
        <v>200.0</v>
      </c>
      <c r="E525" s="2">
        <v>1.0</v>
      </c>
      <c r="F525" s="2">
        <v>125.0</v>
      </c>
      <c r="G525" s="2">
        <v>238600.0</v>
      </c>
    </row>
    <row r="526" ht="14.25" customHeight="1">
      <c r="A526" s="2">
        <v>525.0</v>
      </c>
      <c r="B526" s="2" t="s">
        <v>2497</v>
      </c>
      <c r="C526" s="2" t="s">
        <v>3029</v>
      </c>
      <c r="D526" s="2">
        <v>151.0</v>
      </c>
      <c r="E526" s="2">
        <v>1.0</v>
      </c>
      <c r="F526" s="2">
        <v>85.0</v>
      </c>
      <c r="G526" s="2">
        <v>238400.0</v>
      </c>
    </row>
    <row r="527" ht="14.25" customHeight="1">
      <c r="A527" s="2">
        <v>526.0</v>
      </c>
      <c r="B527" s="2" t="s">
        <v>2524</v>
      </c>
      <c r="C527" s="2" t="s">
        <v>3030</v>
      </c>
      <c r="D527" s="2">
        <v>331.0</v>
      </c>
      <c r="E527" s="2">
        <v>1.0</v>
      </c>
      <c r="F527" s="2">
        <v>100.0</v>
      </c>
      <c r="G527" s="2">
        <v>238200.0</v>
      </c>
    </row>
    <row r="528" ht="14.25" customHeight="1">
      <c r="A528" s="2">
        <v>527.0</v>
      </c>
      <c r="B528" s="2" t="s">
        <v>2488</v>
      </c>
      <c r="C528" s="2" t="s">
        <v>3031</v>
      </c>
      <c r="D528" s="2">
        <v>333.0</v>
      </c>
      <c r="E528" s="2">
        <v>1.0</v>
      </c>
      <c r="F528" s="2">
        <v>90.0</v>
      </c>
      <c r="G528" s="2">
        <v>237900.0</v>
      </c>
    </row>
    <row r="529" ht="14.25" customHeight="1">
      <c r="A529" s="2">
        <v>528.0</v>
      </c>
      <c r="B529" s="2" t="s">
        <v>2621</v>
      </c>
      <c r="C529" s="2" t="s">
        <v>3032</v>
      </c>
      <c r="D529" s="2">
        <v>403.0</v>
      </c>
      <c r="E529" s="2">
        <v>1.0</v>
      </c>
      <c r="F529" s="2">
        <v>132.0</v>
      </c>
      <c r="G529" s="2">
        <v>237900.0</v>
      </c>
    </row>
    <row r="530" ht="14.25" customHeight="1">
      <c r="A530" s="2">
        <v>529.0</v>
      </c>
      <c r="B530" s="2" t="s">
        <v>2477</v>
      </c>
      <c r="C530" s="2" t="s">
        <v>3033</v>
      </c>
      <c r="D530" s="2">
        <v>152.0</v>
      </c>
      <c r="E530" s="2">
        <v>1.0</v>
      </c>
      <c r="F530" s="2">
        <v>100.0</v>
      </c>
      <c r="G530" s="2">
        <v>237700.0</v>
      </c>
    </row>
    <row r="531" ht="14.25" customHeight="1">
      <c r="A531" s="2">
        <v>530.0</v>
      </c>
      <c r="B531" s="2" t="s">
        <v>2524</v>
      </c>
      <c r="C531" s="2" t="s">
        <v>3034</v>
      </c>
      <c r="D531" s="2">
        <v>331.0</v>
      </c>
      <c r="E531" s="2">
        <v>1.0</v>
      </c>
      <c r="F531" s="2">
        <v>100.0</v>
      </c>
      <c r="G531" s="2">
        <v>237700.0</v>
      </c>
    </row>
    <row r="532" ht="14.25" customHeight="1">
      <c r="A532" s="2">
        <v>531.0</v>
      </c>
      <c r="B532" s="2" t="s">
        <v>2491</v>
      </c>
      <c r="C532" s="2" t="s">
        <v>3035</v>
      </c>
      <c r="D532" s="2">
        <v>116.0</v>
      </c>
      <c r="E532" s="2">
        <v>1.0</v>
      </c>
      <c r="F532" s="2">
        <v>90.0</v>
      </c>
      <c r="G532" s="2">
        <v>237600.0</v>
      </c>
    </row>
    <row r="533" ht="14.25" customHeight="1">
      <c r="A533" s="2">
        <v>532.0</v>
      </c>
      <c r="B533" s="2" t="s">
        <v>2475</v>
      </c>
      <c r="C533" s="2" t="s">
        <v>3036</v>
      </c>
      <c r="D533" s="2">
        <v>143.0</v>
      </c>
      <c r="E533" s="2">
        <v>1.0</v>
      </c>
      <c r="F533" s="2">
        <v>60.0</v>
      </c>
      <c r="G533" s="2">
        <v>237500.0</v>
      </c>
    </row>
    <row r="534" ht="14.25" customHeight="1">
      <c r="A534" s="2">
        <v>533.0</v>
      </c>
      <c r="B534" s="2" t="s">
        <v>2479</v>
      </c>
      <c r="C534" s="2" t="s">
        <v>3037</v>
      </c>
      <c r="D534" s="2">
        <v>182.0</v>
      </c>
      <c r="E534" s="2">
        <v>1.0</v>
      </c>
      <c r="F534" s="2">
        <v>100.0</v>
      </c>
      <c r="G534" s="2">
        <v>237500.0</v>
      </c>
    </row>
    <row r="535" ht="14.25" customHeight="1">
      <c r="A535" s="2">
        <v>534.0</v>
      </c>
      <c r="B535" s="2" t="s">
        <v>2491</v>
      </c>
      <c r="C535" s="2" t="s">
        <v>3038</v>
      </c>
      <c r="D535" s="2">
        <v>116.0</v>
      </c>
      <c r="E535" s="2">
        <v>1.0</v>
      </c>
      <c r="F535" s="2">
        <v>125.0</v>
      </c>
      <c r="G535" s="2">
        <v>237400.0</v>
      </c>
    </row>
    <row r="536" ht="14.25" customHeight="1">
      <c r="A536" s="2">
        <v>535.0</v>
      </c>
      <c r="B536" s="2" t="s">
        <v>2505</v>
      </c>
      <c r="C536" s="2" t="s">
        <v>3039</v>
      </c>
      <c r="D536" s="2">
        <v>429.0</v>
      </c>
      <c r="E536" s="2">
        <v>1.0</v>
      </c>
      <c r="F536" s="2">
        <v>165.0</v>
      </c>
      <c r="G536" s="2">
        <v>237300.0</v>
      </c>
    </row>
    <row r="537" ht="14.25" customHeight="1">
      <c r="A537" s="2">
        <v>536.0</v>
      </c>
      <c r="B537" s="2" t="s">
        <v>2477</v>
      </c>
      <c r="C537" s="2" t="s">
        <v>3040</v>
      </c>
      <c r="D537" s="2">
        <v>152.0</v>
      </c>
      <c r="E537" s="2">
        <v>1.0</v>
      </c>
      <c r="F537" s="2">
        <v>200.0</v>
      </c>
      <c r="G537" s="2">
        <v>237000.0</v>
      </c>
    </row>
    <row r="538" ht="14.25" customHeight="1">
      <c r="A538" s="2">
        <v>537.0</v>
      </c>
      <c r="B538" s="2" t="s">
        <v>2561</v>
      </c>
      <c r="C538" s="2" t="s">
        <v>3041</v>
      </c>
      <c r="D538" s="2">
        <v>162.0</v>
      </c>
      <c r="E538" s="2">
        <v>1.0</v>
      </c>
      <c r="F538" s="2">
        <v>160.0</v>
      </c>
      <c r="G538" s="2">
        <v>237000.0</v>
      </c>
    </row>
    <row r="539" ht="14.25" customHeight="1">
      <c r="A539" s="2">
        <v>538.0</v>
      </c>
      <c r="B539" s="2" t="s">
        <v>2534</v>
      </c>
      <c r="C539" s="2" t="s">
        <v>3042</v>
      </c>
      <c r="D539" s="2">
        <v>188.0</v>
      </c>
      <c r="E539" s="2">
        <v>1.0</v>
      </c>
      <c r="F539" s="2">
        <v>125.0</v>
      </c>
      <c r="G539" s="2">
        <v>236800.0</v>
      </c>
    </row>
    <row r="540" ht="14.25" customHeight="1">
      <c r="A540" s="2">
        <v>539.0</v>
      </c>
      <c r="B540" s="2" t="s">
        <v>2604</v>
      </c>
      <c r="C540" s="2" t="s">
        <v>3043</v>
      </c>
      <c r="D540" s="2">
        <v>200.0</v>
      </c>
      <c r="E540" s="2">
        <v>1.0</v>
      </c>
      <c r="F540" s="2">
        <v>200.0</v>
      </c>
      <c r="G540" s="2">
        <v>236700.0</v>
      </c>
    </row>
    <row r="541" ht="14.25" customHeight="1">
      <c r="A541" s="2">
        <v>540.0</v>
      </c>
      <c r="B541" s="2" t="s">
        <v>2512</v>
      </c>
      <c r="C541" s="2" t="s">
        <v>3044</v>
      </c>
      <c r="D541" s="2">
        <v>153.0</v>
      </c>
      <c r="E541" s="2">
        <v>1.0</v>
      </c>
      <c r="F541" s="2">
        <v>100.0</v>
      </c>
      <c r="G541" s="2">
        <v>236300.0</v>
      </c>
    </row>
    <row r="542" ht="14.25" customHeight="1">
      <c r="A542" s="2">
        <v>541.0</v>
      </c>
      <c r="B542" s="2" t="s">
        <v>2558</v>
      </c>
      <c r="C542" s="2" t="s">
        <v>3045</v>
      </c>
      <c r="D542" s="2">
        <v>357.0</v>
      </c>
      <c r="E542" s="2">
        <v>1.0</v>
      </c>
      <c r="F542" s="2">
        <v>80.0</v>
      </c>
      <c r="G542" s="2">
        <v>236100.0</v>
      </c>
    </row>
    <row r="543" ht="14.25" customHeight="1">
      <c r="A543" s="2">
        <v>542.0</v>
      </c>
      <c r="B543" s="2" t="s">
        <v>2686</v>
      </c>
      <c r="C543" s="2" t="s">
        <v>3046</v>
      </c>
      <c r="D543" s="2">
        <v>127.0</v>
      </c>
      <c r="E543" s="2">
        <v>1.0</v>
      </c>
      <c r="F543" s="2">
        <v>120.0</v>
      </c>
      <c r="G543" s="2">
        <v>236000.0</v>
      </c>
    </row>
    <row r="544" ht="14.25" customHeight="1">
      <c r="A544" s="2">
        <v>543.0</v>
      </c>
      <c r="B544" s="2" t="s">
        <v>2512</v>
      </c>
      <c r="C544" s="2" t="s">
        <v>3047</v>
      </c>
      <c r="D544" s="2">
        <v>153.0</v>
      </c>
      <c r="E544" s="2">
        <v>1.0</v>
      </c>
      <c r="F544" s="2">
        <v>100.0</v>
      </c>
      <c r="G544" s="2">
        <v>235800.0</v>
      </c>
    </row>
    <row r="545" ht="14.25" customHeight="1">
      <c r="A545" s="2">
        <v>544.0</v>
      </c>
      <c r="B545" s="2" t="s">
        <v>2501</v>
      </c>
      <c r="C545" s="2" t="s">
        <v>3048</v>
      </c>
      <c r="D545" s="2">
        <v>199.0</v>
      </c>
      <c r="E545" s="2">
        <v>1.0</v>
      </c>
      <c r="F545" s="2">
        <v>120.0</v>
      </c>
      <c r="G545" s="2">
        <v>235700.0</v>
      </c>
    </row>
    <row r="546" ht="14.25" customHeight="1">
      <c r="A546" s="2">
        <v>545.0</v>
      </c>
      <c r="B546" s="2" t="s">
        <v>2477</v>
      </c>
      <c r="C546" s="2" t="s">
        <v>3049</v>
      </c>
      <c r="D546" s="2">
        <v>152.0</v>
      </c>
      <c r="E546" s="2">
        <v>1.0</v>
      </c>
      <c r="F546" s="2">
        <v>60.0</v>
      </c>
      <c r="G546" s="2">
        <v>235500.0</v>
      </c>
    </row>
    <row r="547" ht="14.25" customHeight="1">
      <c r="A547" s="2">
        <v>546.0</v>
      </c>
      <c r="B547" s="2" t="s">
        <v>2524</v>
      </c>
      <c r="C547" s="2" t="s">
        <v>3050</v>
      </c>
      <c r="D547" s="2">
        <v>331.0</v>
      </c>
      <c r="E547" s="2">
        <v>1.0</v>
      </c>
      <c r="F547" s="2">
        <v>100.0</v>
      </c>
      <c r="G547" s="2">
        <v>235500.0</v>
      </c>
    </row>
    <row r="548" ht="14.25" customHeight="1">
      <c r="A548" s="2">
        <v>547.0</v>
      </c>
      <c r="B548" s="2" t="s">
        <v>2744</v>
      </c>
      <c r="C548" s="2" t="s">
        <v>3051</v>
      </c>
      <c r="D548" s="2">
        <v>169.0</v>
      </c>
      <c r="E548" s="2">
        <v>1.0</v>
      </c>
      <c r="F548" s="2">
        <v>75.0</v>
      </c>
      <c r="G548" s="2">
        <v>235400.0</v>
      </c>
    </row>
    <row r="549" ht="14.25" customHeight="1">
      <c r="A549" s="2">
        <v>548.0</v>
      </c>
      <c r="B549" s="2" t="s">
        <v>2651</v>
      </c>
      <c r="C549" s="2" t="s">
        <v>3052</v>
      </c>
      <c r="D549" s="2">
        <v>347.0</v>
      </c>
      <c r="E549" s="2">
        <v>1.0</v>
      </c>
      <c r="F549" s="2">
        <v>132.0</v>
      </c>
      <c r="G549" s="2">
        <v>235200.0</v>
      </c>
    </row>
    <row r="550" ht="14.25" customHeight="1">
      <c r="A550" s="2">
        <v>549.0</v>
      </c>
      <c r="B550" s="2" t="s">
        <v>2491</v>
      </c>
      <c r="C550" s="2" t="s">
        <v>3053</v>
      </c>
      <c r="D550" s="2">
        <v>116.0</v>
      </c>
      <c r="E550" s="2">
        <v>1.0</v>
      </c>
      <c r="F550" s="2">
        <v>150.0</v>
      </c>
      <c r="G550" s="2">
        <v>235100.0</v>
      </c>
    </row>
    <row r="551" ht="14.25" customHeight="1">
      <c r="A551" s="2">
        <v>550.0</v>
      </c>
      <c r="B551" s="2" t="s">
        <v>2594</v>
      </c>
      <c r="C551" s="2" t="s">
        <v>3054</v>
      </c>
      <c r="D551" s="2">
        <v>184.0</v>
      </c>
      <c r="E551" s="2">
        <v>1.0</v>
      </c>
      <c r="F551" s="2">
        <v>80.0</v>
      </c>
      <c r="G551" s="2">
        <v>235000.0</v>
      </c>
    </row>
    <row r="552" ht="14.25" customHeight="1">
      <c r="A552" s="2">
        <v>551.0</v>
      </c>
      <c r="B552" s="2" t="s">
        <v>2491</v>
      </c>
      <c r="C552" s="2" t="s">
        <v>3055</v>
      </c>
      <c r="D552" s="2">
        <v>116.0</v>
      </c>
      <c r="E552" s="2">
        <v>1.0</v>
      </c>
      <c r="F552" s="2">
        <v>100.0</v>
      </c>
      <c r="G552" s="2">
        <v>234600.0</v>
      </c>
    </row>
    <row r="553" ht="14.25" customHeight="1">
      <c r="A553" s="2">
        <v>552.0</v>
      </c>
      <c r="B553" s="2" t="s">
        <v>2604</v>
      </c>
      <c r="C553" s="2" t="s">
        <v>3056</v>
      </c>
      <c r="D553" s="2">
        <v>200.0</v>
      </c>
      <c r="E553" s="2">
        <v>1.0</v>
      </c>
      <c r="F553" s="2">
        <v>100.0</v>
      </c>
      <c r="G553" s="2">
        <v>234600.0</v>
      </c>
    </row>
    <row r="554" ht="14.25" customHeight="1">
      <c r="A554" s="2">
        <v>553.0</v>
      </c>
      <c r="B554" s="2" t="s">
        <v>2503</v>
      </c>
      <c r="C554" s="2" t="s">
        <v>3057</v>
      </c>
      <c r="D554" s="2">
        <v>105.0</v>
      </c>
      <c r="E554" s="2">
        <v>1.0</v>
      </c>
      <c r="F554" s="2">
        <v>100.0</v>
      </c>
      <c r="G554" s="2">
        <v>234400.0</v>
      </c>
    </row>
    <row r="555" ht="14.25" customHeight="1">
      <c r="A555" s="2">
        <v>554.0</v>
      </c>
      <c r="B555" s="2" t="s">
        <v>2475</v>
      </c>
      <c r="C555" s="2" t="s">
        <v>3058</v>
      </c>
      <c r="D555" s="2">
        <v>143.0</v>
      </c>
      <c r="E555" s="2">
        <v>1.0</v>
      </c>
      <c r="F555" s="2">
        <v>50.0</v>
      </c>
      <c r="G555" s="2">
        <v>234100.0</v>
      </c>
    </row>
    <row r="556" ht="14.25" customHeight="1">
      <c r="A556" s="2">
        <v>555.0</v>
      </c>
      <c r="B556" s="2" t="s">
        <v>2541</v>
      </c>
      <c r="C556" s="2" t="s">
        <v>3059</v>
      </c>
      <c r="D556" s="2">
        <v>195.0</v>
      </c>
      <c r="E556" s="2">
        <v>1.0</v>
      </c>
      <c r="F556" s="2">
        <v>75.0</v>
      </c>
      <c r="G556" s="2">
        <v>233900.0</v>
      </c>
    </row>
    <row r="557" ht="14.25" customHeight="1">
      <c r="A557" s="2">
        <v>556.0</v>
      </c>
      <c r="B557" s="2" t="s">
        <v>2541</v>
      </c>
      <c r="C557" s="2" t="s">
        <v>3060</v>
      </c>
      <c r="D557" s="2">
        <v>195.0</v>
      </c>
      <c r="E557" s="2">
        <v>1.0</v>
      </c>
      <c r="F557" s="2">
        <v>80.0</v>
      </c>
      <c r="G557" s="2">
        <v>233900.0</v>
      </c>
    </row>
    <row r="558" ht="14.25" customHeight="1">
      <c r="A558" s="2">
        <v>557.0</v>
      </c>
      <c r="B558" s="2" t="s">
        <v>2558</v>
      </c>
      <c r="C558" s="2" t="s">
        <v>3061</v>
      </c>
      <c r="D558" s="2">
        <v>357.0</v>
      </c>
      <c r="E558" s="2">
        <v>1.0</v>
      </c>
      <c r="F558" s="2">
        <v>88.0</v>
      </c>
      <c r="G558" s="2">
        <v>233900.0</v>
      </c>
    </row>
    <row r="559" ht="14.25" customHeight="1">
      <c r="A559" s="2">
        <v>558.0</v>
      </c>
      <c r="B559" s="2" t="s">
        <v>2475</v>
      </c>
      <c r="C559" s="2" t="s">
        <v>3062</v>
      </c>
      <c r="D559" s="2">
        <v>143.0</v>
      </c>
      <c r="E559" s="2">
        <v>1.0</v>
      </c>
      <c r="F559" s="2">
        <v>50.0</v>
      </c>
      <c r="G559" s="2">
        <v>233700.0</v>
      </c>
    </row>
    <row r="560" ht="14.25" customHeight="1">
      <c r="A560" s="2">
        <v>559.0</v>
      </c>
      <c r="B560" s="2" t="s">
        <v>2553</v>
      </c>
      <c r="C560" s="2" t="s">
        <v>3063</v>
      </c>
      <c r="D560" s="2">
        <v>187.0</v>
      </c>
      <c r="E560" s="2">
        <v>1.0</v>
      </c>
      <c r="F560" s="2">
        <v>75.0</v>
      </c>
      <c r="G560" s="2">
        <v>233500.0</v>
      </c>
    </row>
    <row r="561" ht="14.25" customHeight="1">
      <c r="A561" s="2">
        <v>560.0</v>
      </c>
      <c r="B561" s="2" t="s">
        <v>2534</v>
      </c>
      <c r="C561" s="2" t="s">
        <v>3064</v>
      </c>
      <c r="D561" s="2">
        <v>188.0</v>
      </c>
      <c r="E561" s="2">
        <v>1.0</v>
      </c>
      <c r="F561" s="2">
        <v>50.0</v>
      </c>
      <c r="G561" s="2">
        <v>233500.0</v>
      </c>
    </row>
    <row r="562" ht="14.25" customHeight="1">
      <c r="A562" s="2">
        <v>561.0</v>
      </c>
      <c r="B562" s="2" t="s">
        <v>2501</v>
      </c>
      <c r="C562" s="2" t="s">
        <v>3065</v>
      </c>
      <c r="D562" s="2">
        <v>199.0</v>
      </c>
      <c r="E562" s="2">
        <v>1.0</v>
      </c>
      <c r="F562" s="2">
        <v>50.0</v>
      </c>
      <c r="G562" s="2">
        <v>233400.0</v>
      </c>
    </row>
    <row r="563" ht="14.25" customHeight="1">
      <c r="A563" s="2">
        <v>562.0</v>
      </c>
      <c r="B563" s="2" t="s">
        <v>2503</v>
      </c>
      <c r="C563" s="2" t="s">
        <v>3066</v>
      </c>
      <c r="D563" s="2">
        <v>105.0</v>
      </c>
      <c r="E563" s="2">
        <v>1.0</v>
      </c>
      <c r="F563" s="2">
        <v>100.0</v>
      </c>
      <c r="G563" s="2">
        <v>233300.0</v>
      </c>
    </row>
    <row r="564" ht="14.25" customHeight="1">
      <c r="A564" s="2">
        <v>563.0</v>
      </c>
      <c r="B564" s="2" t="s">
        <v>2477</v>
      </c>
      <c r="C564" s="2" t="s">
        <v>3067</v>
      </c>
      <c r="D564" s="2">
        <v>152.0</v>
      </c>
      <c r="E564" s="2">
        <v>1.0</v>
      </c>
      <c r="F564" s="2">
        <v>100.0</v>
      </c>
      <c r="G564" s="2">
        <v>233300.0</v>
      </c>
    </row>
    <row r="565" ht="14.25" customHeight="1">
      <c r="A565" s="2">
        <v>564.0</v>
      </c>
      <c r="B565" s="2" t="s">
        <v>2571</v>
      </c>
      <c r="C565" s="2" t="s">
        <v>3068</v>
      </c>
      <c r="D565" s="2">
        <v>185.0</v>
      </c>
      <c r="E565" s="2">
        <v>1.0</v>
      </c>
      <c r="F565" s="2">
        <v>145.0</v>
      </c>
      <c r="G565" s="2">
        <v>233100.0</v>
      </c>
    </row>
    <row r="566" ht="14.25" customHeight="1">
      <c r="A566" s="2">
        <v>565.0</v>
      </c>
      <c r="B566" s="2" t="s">
        <v>2571</v>
      </c>
      <c r="C566" s="2" t="s">
        <v>3069</v>
      </c>
      <c r="D566" s="2">
        <v>185.0</v>
      </c>
      <c r="E566" s="2">
        <v>1.0</v>
      </c>
      <c r="F566" s="2">
        <v>75.0</v>
      </c>
      <c r="G566" s="2">
        <v>233100.0</v>
      </c>
    </row>
    <row r="567" ht="14.25" customHeight="1">
      <c r="A567" s="2">
        <v>566.0</v>
      </c>
      <c r="B567" s="2" t="s">
        <v>2553</v>
      </c>
      <c r="C567" s="2" t="s">
        <v>3070</v>
      </c>
      <c r="D567" s="2">
        <v>187.0</v>
      </c>
      <c r="E567" s="2">
        <v>1.0</v>
      </c>
      <c r="F567" s="2">
        <v>175.0</v>
      </c>
      <c r="G567" s="2">
        <v>233100.0</v>
      </c>
    </row>
    <row r="568" ht="14.25" customHeight="1">
      <c r="A568" s="2">
        <v>567.0</v>
      </c>
      <c r="B568" s="2" t="s">
        <v>2558</v>
      </c>
      <c r="C568" s="2" t="s">
        <v>3071</v>
      </c>
      <c r="D568" s="2">
        <v>357.0</v>
      </c>
      <c r="E568" s="2">
        <v>1.0</v>
      </c>
      <c r="F568" s="2">
        <v>80.0</v>
      </c>
      <c r="G568" s="2">
        <v>233100.0</v>
      </c>
    </row>
    <row r="569" ht="14.25" customHeight="1">
      <c r="A569" s="2">
        <v>568.0</v>
      </c>
      <c r="B569" s="2" t="s">
        <v>2558</v>
      </c>
      <c r="C569" s="2" t="s">
        <v>3072</v>
      </c>
      <c r="D569" s="2">
        <v>357.0</v>
      </c>
      <c r="E569" s="2">
        <v>1.0</v>
      </c>
      <c r="F569" s="2">
        <v>75.0</v>
      </c>
      <c r="G569" s="2">
        <v>233000.0</v>
      </c>
    </row>
    <row r="570" ht="14.25" customHeight="1">
      <c r="A570" s="2">
        <v>569.0</v>
      </c>
      <c r="B570" s="2" t="s">
        <v>2491</v>
      </c>
      <c r="C570" s="2" t="s">
        <v>3073</v>
      </c>
      <c r="D570" s="2">
        <v>116.0</v>
      </c>
      <c r="E570" s="2">
        <v>1.0</v>
      </c>
      <c r="F570" s="2">
        <v>150.0</v>
      </c>
      <c r="G570" s="2">
        <v>232500.0</v>
      </c>
    </row>
    <row r="571" ht="14.25" customHeight="1">
      <c r="A571" s="2">
        <v>570.0</v>
      </c>
      <c r="B571" s="2" t="s">
        <v>2497</v>
      </c>
      <c r="C571" s="2" t="s">
        <v>3074</v>
      </c>
      <c r="D571" s="2">
        <v>151.0</v>
      </c>
      <c r="E571" s="2">
        <v>1.0</v>
      </c>
      <c r="F571" s="2">
        <v>70.0</v>
      </c>
      <c r="G571" s="2">
        <v>232500.0</v>
      </c>
    </row>
    <row r="572" ht="14.25" customHeight="1">
      <c r="A572" s="2">
        <v>571.0</v>
      </c>
      <c r="B572" s="2" t="s">
        <v>2477</v>
      </c>
      <c r="C572" s="2" t="s">
        <v>3075</v>
      </c>
      <c r="D572" s="2">
        <v>152.0</v>
      </c>
      <c r="E572" s="2">
        <v>1.0</v>
      </c>
      <c r="F572" s="2">
        <v>118.0</v>
      </c>
      <c r="G572" s="2">
        <v>232500.0</v>
      </c>
    </row>
    <row r="573" ht="14.25" customHeight="1">
      <c r="A573" s="2">
        <v>572.0</v>
      </c>
      <c r="B573" s="2" t="s">
        <v>2744</v>
      </c>
      <c r="C573" s="2" t="s">
        <v>3076</v>
      </c>
      <c r="D573" s="2">
        <v>169.0</v>
      </c>
      <c r="E573" s="2">
        <v>1.0</v>
      </c>
      <c r="F573" s="2">
        <v>80.0</v>
      </c>
      <c r="G573" s="2">
        <v>232500.0</v>
      </c>
    </row>
    <row r="574" ht="14.25" customHeight="1">
      <c r="A574" s="2">
        <v>573.0</v>
      </c>
      <c r="B574" s="2" t="s">
        <v>2576</v>
      </c>
      <c r="C574" s="2" t="s">
        <v>3077</v>
      </c>
      <c r="D574" s="2">
        <v>197.0</v>
      </c>
      <c r="E574" s="2">
        <v>1.0</v>
      </c>
      <c r="F574" s="2">
        <v>80.0</v>
      </c>
      <c r="G574" s="2">
        <v>232400.0</v>
      </c>
    </row>
    <row r="575" ht="14.25" customHeight="1">
      <c r="A575" s="2">
        <v>574.0</v>
      </c>
      <c r="B575" s="2" t="s">
        <v>2621</v>
      </c>
      <c r="C575" s="2" t="s">
        <v>3078</v>
      </c>
      <c r="D575" s="2">
        <v>403.0</v>
      </c>
      <c r="E575" s="2">
        <v>1.0</v>
      </c>
      <c r="F575" s="2">
        <v>150.0</v>
      </c>
      <c r="G575" s="2">
        <v>232400.0</v>
      </c>
    </row>
    <row r="576" ht="14.25" customHeight="1">
      <c r="A576" s="2">
        <v>575.0</v>
      </c>
      <c r="B576" s="2" t="s">
        <v>2558</v>
      </c>
      <c r="C576" s="2" t="s">
        <v>3079</v>
      </c>
      <c r="D576" s="2">
        <v>357.0</v>
      </c>
      <c r="E576" s="2">
        <v>1.0</v>
      </c>
      <c r="F576" s="2">
        <v>66.0</v>
      </c>
      <c r="G576" s="2">
        <v>232200.0</v>
      </c>
    </row>
    <row r="577" ht="14.25" customHeight="1">
      <c r="A577" s="2">
        <v>576.0</v>
      </c>
      <c r="B577" s="2" t="s">
        <v>2501</v>
      </c>
      <c r="C577" s="2" t="s">
        <v>3080</v>
      </c>
      <c r="D577" s="2">
        <v>199.0</v>
      </c>
      <c r="E577" s="2">
        <v>1.0</v>
      </c>
      <c r="F577" s="2">
        <v>112.5</v>
      </c>
      <c r="G577" s="2">
        <v>232100.0</v>
      </c>
    </row>
    <row r="578" ht="14.25" customHeight="1">
      <c r="A578" s="2">
        <v>577.0</v>
      </c>
      <c r="B578" s="2" t="s">
        <v>2558</v>
      </c>
      <c r="C578" s="2" t="s">
        <v>3081</v>
      </c>
      <c r="D578" s="2">
        <v>357.0</v>
      </c>
      <c r="E578" s="2">
        <v>1.0</v>
      </c>
      <c r="F578" s="2">
        <v>85.0</v>
      </c>
      <c r="G578" s="2">
        <v>231900.0</v>
      </c>
    </row>
    <row r="579" ht="14.25" customHeight="1">
      <c r="A579" s="2">
        <v>578.0</v>
      </c>
      <c r="B579" s="2" t="s">
        <v>2945</v>
      </c>
      <c r="C579" s="2" t="s">
        <v>3082</v>
      </c>
      <c r="D579" s="2">
        <v>619.0</v>
      </c>
      <c r="E579" s="2">
        <v>1.0</v>
      </c>
      <c r="F579" s="2">
        <v>60.0</v>
      </c>
      <c r="G579" s="2">
        <v>231900.0</v>
      </c>
    </row>
    <row r="580" ht="14.25" customHeight="1">
      <c r="A580" s="2">
        <v>579.0</v>
      </c>
      <c r="B580" s="2" t="s">
        <v>2501</v>
      </c>
      <c r="C580" s="2" t="s">
        <v>3083</v>
      </c>
      <c r="D580" s="2">
        <v>199.0</v>
      </c>
      <c r="E580" s="2">
        <v>1.0</v>
      </c>
      <c r="F580" s="2">
        <v>80.0</v>
      </c>
      <c r="G580" s="2">
        <v>231800.0</v>
      </c>
    </row>
    <row r="581" ht="14.25" customHeight="1">
      <c r="A581" s="2">
        <v>580.0</v>
      </c>
      <c r="B581" s="2" t="s">
        <v>2479</v>
      </c>
      <c r="C581" s="2" t="s">
        <v>3084</v>
      </c>
      <c r="D581" s="2">
        <v>182.0</v>
      </c>
      <c r="E581" s="2">
        <v>1.0</v>
      </c>
      <c r="F581" s="2">
        <v>100.0</v>
      </c>
      <c r="G581" s="2">
        <v>231500.0</v>
      </c>
    </row>
    <row r="582" ht="14.25" customHeight="1">
      <c r="A582" s="2">
        <v>581.0</v>
      </c>
      <c r="B582" s="2" t="s">
        <v>2558</v>
      </c>
      <c r="C582" s="2" t="s">
        <v>3085</v>
      </c>
      <c r="D582" s="2">
        <v>357.0</v>
      </c>
      <c r="E582" s="2">
        <v>1.0</v>
      </c>
      <c r="F582" s="2">
        <v>50.0</v>
      </c>
      <c r="G582" s="2">
        <v>231500.0</v>
      </c>
    </row>
    <row r="583" ht="14.25" customHeight="1">
      <c r="A583" s="2">
        <v>582.0</v>
      </c>
      <c r="B583" s="2" t="s">
        <v>2475</v>
      </c>
      <c r="C583" s="2" t="s">
        <v>3086</v>
      </c>
      <c r="D583" s="2">
        <v>143.0</v>
      </c>
      <c r="E583" s="2">
        <v>1.0</v>
      </c>
      <c r="F583" s="2">
        <v>75.0</v>
      </c>
      <c r="G583" s="2">
        <v>231100.0</v>
      </c>
    </row>
    <row r="584" ht="14.25" customHeight="1">
      <c r="A584" s="2">
        <v>583.0</v>
      </c>
      <c r="B584" s="2" t="s">
        <v>2604</v>
      </c>
      <c r="C584" s="2" t="s">
        <v>3087</v>
      </c>
      <c r="D584" s="2">
        <v>200.0</v>
      </c>
      <c r="E584" s="2">
        <v>1.0</v>
      </c>
      <c r="F584" s="2">
        <v>100.0</v>
      </c>
      <c r="G584" s="2">
        <v>231000.0</v>
      </c>
    </row>
    <row r="585" ht="14.25" customHeight="1">
      <c r="A585" s="2">
        <v>584.0</v>
      </c>
      <c r="B585" s="2" t="s">
        <v>2488</v>
      </c>
      <c r="C585" s="2" t="s">
        <v>3088</v>
      </c>
      <c r="D585" s="2">
        <v>333.0</v>
      </c>
      <c r="E585" s="2">
        <v>1.0</v>
      </c>
      <c r="F585" s="2">
        <v>80.0</v>
      </c>
      <c r="G585" s="2">
        <v>230900.0</v>
      </c>
    </row>
    <row r="586" ht="14.25" customHeight="1">
      <c r="A586" s="2">
        <v>585.0</v>
      </c>
      <c r="B586" s="2" t="s">
        <v>2558</v>
      </c>
      <c r="C586" s="2" t="s">
        <v>3089</v>
      </c>
      <c r="D586" s="2">
        <v>357.0</v>
      </c>
      <c r="E586" s="2">
        <v>1.0</v>
      </c>
      <c r="F586" s="2">
        <v>66.0</v>
      </c>
      <c r="G586" s="2">
        <v>230800.0</v>
      </c>
    </row>
    <row r="587" ht="14.25" customHeight="1">
      <c r="A587" s="2">
        <v>586.0</v>
      </c>
      <c r="B587" s="2" t="s">
        <v>2945</v>
      </c>
      <c r="C587" s="2" t="s">
        <v>3090</v>
      </c>
      <c r="D587" s="2">
        <v>619.0</v>
      </c>
      <c r="E587" s="2">
        <v>1.0</v>
      </c>
      <c r="F587" s="2">
        <v>60.0</v>
      </c>
      <c r="G587" s="2">
        <v>230800.0</v>
      </c>
    </row>
    <row r="588" ht="14.25" customHeight="1">
      <c r="A588" s="2">
        <v>587.0</v>
      </c>
      <c r="B588" s="2" t="s">
        <v>2945</v>
      </c>
      <c r="C588" s="2" t="s">
        <v>3091</v>
      </c>
      <c r="D588" s="2">
        <v>619.0</v>
      </c>
      <c r="E588" s="2">
        <v>1.0</v>
      </c>
      <c r="F588" s="2">
        <v>60.0</v>
      </c>
      <c r="G588" s="2">
        <v>230800.0</v>
      </c>
    </row>
    <row r="589" ht="14.25" customHeight="1">
      <c r="A589" s="2">
        <v>588.0</v>
      </c>
      <c r="B589" s="2" t="s">
        <v>2534</v>
      </c>
      <c r="C589" s="2" t="s">
        <v>3092</v>
      </c>
      <c r="D589" s="2">
        <v>188.0</v>
      </c>
      <c r="E589" s="2">
        <v>1.0</v>
      </c>
      <c r="F589" s="2">
        <v>75.0</v>
      </c>
      <c r="G589" s="2">
        <v>230700.0</v>
      </c>
    </row>
    <row r="590" ht="14.25" customHeight="1">
      <c r="A590" s="2">
        <v>589.0</v>
      </c>
      <c r="B590" s="2" t="s">
        <v>2604</v>
      </c>
      <c r="C590" s="2" t="s">
        <v>3093</v>
      </c>
      <c r="D590" s="2">
        <v>200.0</v>
      </c>
      <c r="E590" s="2">
        <v>1.0</v>
      </c>
      <c r="F590" s="2">
        <v>100.0</v>
      </c>
      <c r="G590" s="2">
        <v>230700.0</v>
      </c>
    </row>
    <row r="591" ht="14.25" customHeight="1">
      <c r="A591" s="2">
        <v>590.0</v>
      </c>
      <c r="B591" s="2" t="s">
        <v>2561</v>
      </c>
      <c r="C591" s="2" t="s">
        <v>3094</v>
      </c>
      <c r="D591" s="2">
        <v>162.0</v>
      </c>
      <c r="E591" s="2">
        <v>1.0</v>
      </c>
      <c r="F591" s="2">
        <v>130.0</v>
      </c>
      <c r="G591" s="2">
        <v>230600.0</v>
      </c>
    </row>
    <row r="592" ht="14.25" customHeight="1">
      <c r="A592" s="2">
        <v>591.0</v>
      </c>
      <c r="B592" s="2" t="s">
        <v>2491</v>
      </c>
      <c r="C592" s="2" t="s">
        <v>3095</v>
      </c>
      <c r="D592" s="2">
        <v>116.0</v>
      </c>
      <c r="E592" s="2">
        <v>1.0</v>
      </c>
      <c r="F592" s="2">
        <v>100.0</v>
      </c>
      <c r="G592" s="2">
        <v>230500.0</v>
      </c>
    </row>
    <row r="593" ht="14.25" customHeight="1">
      <c r="A593" s="2">
        <v>592.0</v>
      </c>
      <c r="B593" s="2" t="s">
        <v>2497</v>
      </c>
      <c r="C593" s="2" t="s">
        <v>3096</v>
      </c>
      <c r="D593" s="2">
        <v>151.0</v>
      </c>
      <c r="E593" s="2">
        <v>1.0</v>
      </c>
      <c r="F593" s="2">
        <v>75.0</v>
      </c>
      <c r="G593" s="2">
        <v>230500.0</v>
      </c>
    </row>
    <row r="594" ht="14.25" customHeight="1">
      <c r="A594" s="2">
        <v>593.0</v>
      </c>
      <c r="B594" s="2" t="s">
        <v>2488</v>
      </c>
      <c r="C594" s="2" t="s">
        <v>3097</v>
      </c>
      <c r="D594" s="2">
        <v>333.0</v>
      </c>
      <c r="E594" s="2">
        <v>1.0</v>
      </c>
      <c r="F594" s="2">
        <v>90.0</v>
      </c>
      <c r="G594" s="2">
        <v>230500.0</v>
      </c>
    </row>
    <row r="595" ht="14.25" customHeight="1">
      <c r="A595" s="2">
        <v>594.0</v>
      </c>
      <c r="B595" s="2" t="s">
        <v>2686</v>
      </c>
      <c r="C595" s="2" t="s">
        <v>3098</v>
      </c>
      <c r="D595" s="2">
        <v>127.0</v>
      </c>
      <c r="E595" s="2">
        <v>1.0</v>
      </c>
      <c r="F595" s="2">
        <v>120.0</v>
      </c>
      <c r="G595" s="2">
        <v>230400.0</v>
      </c>
    </row>
    <row r="596" ht="14.25" customHeight="1">
      <c r="A596" s="2">
        <v>595.0</v>
      </c>
      <c r="B596" s="2" t="s">
        <v>2497</v>
      </c>
      <c r="C596" s="2" t="s">
        <v>3099</v>
      </c>
      <c r="D596" s="2">
        <v>151.0</v>
      </c>
      <c r="E596" s="2">
        <v>1.0</v>
      </c>
      <c r="F596" s="2">
        <v>100.0</v>
      </c>
      <c r="G596" s="2">
        <v>230400.0</v>
      </c>
    </row>
    <row r="597" ht="14.25" customHeight="1">
      <c r="A597" s="2">
        <v>596.0</v>
      </c>
      <c r="B597" s="2" t="s">
        <v>2501</v>
      </c>
      <c r="C597" s="2" t="s">
        <v>3100</v>
      </c>
      <c r="D597" s="2">
        <v>199.0</v>
      </c>
      <c r="E597" s="2">
        <v>1.0</v>
      </c>
      <c r="F597" s="2">
        <v>105.0</v>
      </c>
      <c r="G597" s="2">
        <v>230300.0</v>
      </c>
    </row>
    <row r="598" ht="14.25" customHeight="1">
      <c r="A598" s="2">
        <v>597.0</v>
      </c>
      <c r="B598" s="2" t="s">
        <v>2488</v>
      </c>
      <c r="C598" s="2" t="s">
        <v>3101</v>
      </c>
      <c r="D598" s="2">
        <v>333.0</v>
      </c>
      <c r="E598" s="2">
        <v>1.0</v>
      </c>
      <c r="F598" s="2">
        <v>70.0</v>
      </c>
      <c r="G598" s="2">
        <v>230200.0</v>
      </c>
    </row>
    <row r="599" ht="14.25" customHeight="1">
      <c r="A599" s="2">
        <v>598.0</v>
      </c>
      <c r="B599" s="2" t="s">
        <v>2561</v>
      </c>
      <c r="C599" s="2" t="s">
        <v>3102</v>
      </c>
      <c r="D599" s="2">
        <v>162.0</v>
      </c>
      <c r="E599" s="2">
        <v>1.0</v>
      </c>
      <c r="F599" s="2">
        <v>130.0</v>
      </c>
      <c r="G599" s="2">
        <v>230100.0</v>
      </c>
    </row>
    <row r="600" ht="14.25" customHeight="1">
      <c r="A600" s="2">
        <v>599.0</v>
      </c>
      <c r="B600" s="2" t="s">
        <v>2491</v>
      </c>
      <c r="C600" s="2" t="s">
        <v>3103</v>
      </c>
      <c r="D600" s="2">
        <v>116.0</v>
      </c>
      <c r="E600" s="2">
        <v>1.0</v>
      </c>
      <c r="F600" s="2">
        <v>100.0</v>
      </c>
      <c r="G600" s="2">
        <v>230000.0</v>
      </c>
    </row>
    <row r="601" ht="14.25" customHeight="1">
      <c r="A601" s="2">
        <v>600.0</v>
      </c>
      <c r="B601" s="2" t="s">
        <v>2582</v>
      </c>
      <c r="C601" s="2" t="s">
        <v>3104</v>
      </c>
      <c r="D601" s="2">
        <v>183.0</v>
      </c>
      <c r="E601" s="2">
        <v>1.0</v>
      </c>
      <c r="F601" s="2">
        <v>145.0</v>
      </c>
      <c r="G601" s="2">
        <v>229600.0</v>
      </c>
    </row>
    <row r="602" ht="14.25" customHeight="1">
      <c r="A602" s="2">
        <v>601.0</v>
      </c>
      <c r="B602" s="2" t="s">
        <v>2488</v>
      </c>
      <c r="C602" s="2" t="s">
        <v>3105</v>
      </c>
      <c r="D602" s="2">
        <v>333.0</v>
      </c>
      <c r="E602" s="2">
        <v>1.0</v>
      </c>
      <c r="F602" s="2">
        <v>85.0</v>
      </c>
      <c r="G602" s="2">
        <v>229500.0</v>
      </c>
    </row>
    <row r="603" ht="14.25" customHeight="1">
      <c r="A603" s="2">
        <v>602.0</v>
      </c>
      <c r="B603" s="2" t="s">
        <v>2558</v>
      </c>
      <c r="C603" s="2" t="s">
        <v>3106</v>
      </c>
      <c r="D603" s="2">
        <v>357.0</v>
      </c>
      <c r="E603" s="2">
        <v>1.0</v>
      </c>
      <c r="F603" s="2">
        <v>66.0</v>
      </c>
      <c r="G603" s="2">
        <v>229500.0</v>
      </c>
    </row>
    <row r="604" ht="14.25" customHeight="1">
      <c r="A604" s="2">
        <v>603.0</v>
      </c>
      <c r="B604" s="2" t="s">
        <v>2491</v>
      </c>
      <c r="C604" s="2" t="s">
        <v>3107</v>
      </c>
      <c r="D604" s="2">
        <v>116.0</v>
      </c>
      <c r="E604" s="2">
        <v>1.0</v>
      </c>
      <c r="F604" s="2">
        <v>100.0</v>
      </c>
      <c r="G604" s="2">
        <v>229300.0</v>
      </c>
    </row>
    <row r="605" ht="14.25" customHeight="1">
      <c r="A605" s="2">
        <v>604.0</v>
      </c>
      <c r="B605" s="2" t="s">
        <v>2488</v>
      </c>
      <c r="C605" s="2" t="s">
        <v>3108</v>
      </c>
      <c r="D605" s="2">
        <v>333.0</v>
      </c>
      <c r="E605" s="2">
        <v>1.0</v>
      </c>
      <c r="F605" s="2">
        <v>85.0</v>
      </c>
      <c r="G605" s="2">
        <v>229200.0</v>
      </c>
    </row>
    <row r="606" ht="14.25" customHeight="1">
      <c r="A606" s="2">
        <v>605.0</v>
      </c>
      <c r="B606" s="2" t="s">
        <v>2501</v>
      </c>
      <c r="C606" s="2" t="s">
        <v>3109</v>
      </c>
      <c r="D606" s="2">
        <v>199.0</v>
      </c>
      <c r="E606" s="2">
        <v>1.0</v>
      </c>
      <c r="F606" s="2">
        <v>105.0</v>
      </c>
      <c r="G606" s="2">
        <v>229100.0</v>
      </c>
    </row>
    <row r="607" ht="14.25" customHeight="1">
      <c r="A607" s="2">
        <v>606.0</v>
      </c>
      <c r="B607" s="2" t="s">
        <v>2491</v>
      </c>
      <c r="C607" s="2" t="s">
        <v>3110</v>
      </c>
      <c r="D607" s="2">
        <v>116.0</v>
      </c>
      <c r="E607" s="2">
        <v>1.0</v>
      </c>
      <c r="F607" s="2">
        <v>90.0</v>
      </c>
      <c r="G607" s="2">
        <v>229000.0</v>
      </c>
    </row>
    <row r="608" ht="14.25" customHeight="1">
      <c r="A608" s="2">
        <v>607.0</v>
      </c>
      <c r="B608" s="2" t="s">
        <v>2501</v>
      </c>
      <c r="C608" s="2" t="s">
        <v>3111</v>
      </c>
      <c r="D608" s="2">
        <v>199.0</v>
      </c>
      <c r="E608" s="2">
        <v>1.0</v>
      </c>
      <c r="F608" s="2">
        <v>150.0</v>
      </c>
      <c r="G608" s="2">
        <v>229000.0</v>
      </c>
    </row>
    <row r="609" ht="14.25" customHeight="1">
      <c r="A609" s="2">
        <v>608.0</v>
      </c>
      <c r="B609" s="2" t="s">
        <v>2558</v>
      </c>
      <c r="C609" s="2" t="s">
        <v>3112</v>
      </c>
      <c r="D609" s="2">
        <v>357.0</v>
      </c>
      <c r="E609" s="2">
        <v>1.0</v>
      </c>
      <c r="F609" s="2">
        <v>99.0</v>
      </c>
      <c r="G609" s="2">
        <v>228900.0</v>
      </c>
    </row>
    <row r="610" ht="14.25" customHeight="1">
      <c r="A610" s="2">
        <v>609.0</v>
      </c>
      <c r="B610" s="2" t="s">
        <v>2512</v>
      </c>
      <c r="C610" s="2" t="s">
        <v>3113</v>
      </c>
      <c r="D610" s="2">
        <v>153.0</v>
      </c>
      <c r="E610" s="2">
        <v>1.0</v>
      </c>
      <c r="F610" s="2">
        <v>75.0</v>
      </c>
      <c r="G610" s="2">
        <v>228800.0</v>
      </c>
    </row>
    <row r="611" ht="14.25" customHeight="1">
      <c r="A611" s="2">
        <v>610.0</v>
      </c>
      <c r="B611" s="2" t="s">
        <v>2491</v>
      </c>
      <c r="C611" s="2" t="s">
        <v>3114</v>
      </c>
      <c r="D611" s="2">
        <v>116.0</v>
      </c>
      <c r="E611" s="2">
        <v>1.0</v>
      </c>
      <c r="F611" s="2">
        <v>100.0</v>
      </c>
      <c r="G611" s="2">
        <v>228500.0</v>
      </c>
    </row>
    <row r="612" ht="14.25" customHeight="1">
      <c r="A612" s="2">
        <v>611.0</v>
      </c>
      <c r="B612" s="2" t="s">
        <v>2479</v>
      </c>
      <c r="C612" s="2" t="s">
        <v>3115</v>
      </c>
      <c r="D612" s="2">
        <v>182.0</v>
      </c>
      <c r="E612" s="2">
        <v>1.0</v>
      </c>
      <c r="F612" s="2">
        <v>75.0</v>
      </c>
      <c r="G612" s="2">
        <v>228500.0</v>
      </c>
    </row>
    <row r="613" ht="14.25" customHeight="1">
      <c r="A613" s="2">
        <v>612.0</v>
      </c>
      <c r="B613" s="2" t="s">
        <v>2571</v>
      </c>
      <c r="C613" s="2" t="s">
        <v>3116</v>
      </c>
      <c r="D613" s="2">
        <v>185.0</v>
      </c>
      <c r="E613" s="2">
        <v>1.0</v>
      </c>
      <c r="F613" s="2">
        <v>75.0</v>
      </c>
      <c r="G613" s="2">
        <v>228500.0</v>
      </c>
    </row>
    <row r="614" ht="14.25" customHeight="1">
      <c r="A614" s="2">
        <v>613.0</v>
      </c>
      <c r="B614" s="2" t="s">
        <v>2512</v>
      </c>
      <c r="C614" s="2" t="s">
        <v>3117</v>
      </c>
      <c r="D614" s="2">
        <v>153.0</v>
      </c>
      <c r="E614" s="2">
        <v>1.0</v>
      </c>
      <c r="F614" s="2">
        <v>100.0</v>
      </c>
      <c r="G614" s="2">
        <v>228400.0</v>
      </c>
    </row>
    <row r="615" ht="14.25" customHeight="1">
      <c r="A615" s="2">
        <v>614.0</v>
      </c>
      <c r="B615" s="2" t="s">
        <v>2512</v>
      </c>
      <c r="C615" s="2" t="s">
        <v>3118</v>
      </c>
      <c r="D615" s="2">
        <v>153.0</v>
      </c>
      <c r="E615" s="2">
        <v>1.0</v>
      </c>
      <c r="F615" s="2">
        <v>100.0</v>
      </c>
      <c r="G615" s="2">
        <v>228400.0</v>
      </c>
    </row>
    <row r="616" ht="14.25" customHeight="1">
      <c r="A616" s="2">
        <v>615.0</v>
      </c>
      <c r="B616" s="2" t="s">
        <v>2512</v>
      </c>
      <c r="C616" s="2" t="s">
        <v>3119</v>
      </c>
      <c r="D616" s="2">
        <v>153.0</v>
      </c>
      <c r="E616" s="2">
        <v>1.0</v>
      </c>
      <c r="F616" s="2">
        <v>100.0</v>
      </c>
      <c r="G616" s="2">
        <v>228300.0</v>
      </c>
    </row>
    <row r="617" ht="14.25" customHeight="1">
      <c r="A617" s="2">
        <v>616.0</v>
      </c>
      <c r="B617" s="2" t="s">
        <v>2488</v>
      </c>
      <c r="C617" s="2" t="s">
        <v>3120</v>
      </c>
      <c r="D617" s="2">
        <v>333.0</v>
      </c>
      <c r="E617" s="2">
        <v>1.0</v>
      </c>
      <c r="F617" s="2">
        <v>80.0</v>
      </c>
      <c r="G617" s="2">
        <v>228300.0</v>
      </c>
    </row>
    <row r="618" ht="14.25" customHeight="1">
      <c r="A618" s="2">
        <v>617.0</v>
      </c>
      <c r="B618" s="2" t="s">
        <v>2503</v>
      </c>
      <c r="C618" s="2" t="s">
        <v>3121</v>
      </c>
      <c r="D618" s="2">
        <v>105.0</v>
      </c>
      <c r="E618" s="2">
        <v>1.0</v>
      </c>
      <c r="F618" s="2">
        <v>130.0</v>
      </c>
      <c r="G618" s="2">
        <v>227800.0</v>
      </c>
    </row>
    <row r="619" ht="14.25" customHeight="1">
      <c r="A619" s="2">
        <v>618.0</v>
      </c>
      <c r="B619" s="2" t="s">
        <v>2518</v>
      </c>
      <c r="C619" s="2" t="s">
        <v>3122</v>
      </c>
      <c r="D619" s="2">
        <v>161.0</v>
      </c>
      <c r="E619" s="2">
        <v>1.0</v>
      </c>
      <c r="F619" s="2">
        <v>100.0</v>
      </c>
      <c r="G619" s="2">
        <v>227600.0</v>
      </c>
    </row>
    <row r="620" ht="14.25" customHeight="1">
      <c r="A620" s="2">
        <v>619.0</v>
      </c>
      <c r="B620" s="2" t="s">
        <v>2507</v>
      </c>
      <c r="C620" s="2" t="s">
        <v>3123</v>
      </c>
      <c r="D620" s="2">
        <v>205.0</v>
      </c>
      <c r="E620" s="2">
        <v>1.0</v>
      </c>
      <c r="F620" s="2">
        <v>100.0</v>
      </c>
      <c r="G620" s="2">
        <v>227600.0</v>
      </c>
    </row>
    <row r="621" ht="14.25" customHeight="1">
      <c r="A621" s="2">
        <v>620.0</v>
      </c>
      <c r="B621" s="2" t="s">
        <v>2534</v>
      </c>
      <c r="C621" s="2" t="s">
        <v>3124</v>
      </c>
      <c r="D621" s="2">
        <v>188.0</v>
      </c>
      <c r="E621" s="2">
        <v>1.0</v>
      </c>
      <c r="F621" s="2">
        <v>75.0</v>
      </c>
      <c r="G621" s="2">
        <v>227400.0</v>
      </c>
    </row>
    <row r="622" ht="14.25" customHeight="1">
      <c r="A622" s="2">
        <v>621.0</v>
      </c>
      <c r="B622" s="2" t="s">
        <v>2636</v>
      </c>
      <c r="C622" s="2" t="s">
        <v>3125</v>
      </c>
      <c r="D622" s="2">
        <v>145.0</v>
      </c>
      <c r="E622" s="2">
        <v>1.0</v>
      </c>
      <c r="F622" s="2">
        <v>160.0</v>
      </c>
      <c r="G622" s="2">
        <v>227100.0</v>
      </c>
    </row>
    <row r="623" ht="14.25" customHeight="1">
      <c r="A623" s="2">
        <v>622.0</v>
      </c>
      <c r="B623" s="2" t="s">
        <v>2477</v>
      </c>
      <c r="C623" s="2" t="s">
        <v>3126</v>
      </c>
      <c r="D623" s="2">
        <v>152.0</v>
      </c>
      <c r="E623" s="2">
        <v>1.0</v>
      </c>
      <c r="F623" s="2">
        <v>130.0</v>
      </c>
      <c r="G623" s="2">
        <v>227100.0</v>
      </c>
    </row>
    <row r="624" ht="14.25" customHeight="1">
      <c r="A624" s="2">
        <v>623.0</v>
      </c>
      <c r="B624" s="2" t="s">
        <v>2505</v>
      </c>
      <c r="C624" s="2" t="s">
        <v>3127</v>
      </c>
      <c r="D624" s="2">
        <v>429.0</v>
      </c>
      <c r="E624" s="2">
        <v>1.0</v>
      </c>
      <c r="F624" s="2">
        <v>150.0</v>
      </c>
      <c r="G624" s="2">
        <v>227000.0</v>
      </c>
    </row>
    <row r="625" ht="14.25" customHeight="1">
      <c r="A625" s="2">
        <v>624.0</v>
      </c>
      <c r="B625" s="2" t="s">
        <v>2651</v>
      </c>
      <c r="C625" s="2" t="s">
        <v>3128</v>
      </c>
      <c r="D625" s="2">
        <v>347.0</v>
      </c>
      <c r="E625" s="2">
        <v>1.0</v>
      </c>
      <c r="F625" s="2">
        <v>80.0</v>
      </c>
      <c r="G625" s="2">
        <v>226900.0</v>
      </c>
    </row>
    <row r="626" ht="14.25" customHeight="1">
      <c r="A626" s="2">
        <v>625.0</v>
      </c>
      <c r="B626" s="2" t="s">
        <v>2518</v>
      </c>
      <c r="C626" s="2" t="s">
        <v>3129</v>
      </c>
      <c r="D626" s="2">
        <v>161.0</v>
      </c>
      <c r="E626" s="2">
        <v>1.0</v>
      </c>
      <c r="F626" s="2">
        <v>75.0</v>
      </c>
      <c r="G626" s="2">
        <v>226800.0</v>
      </c>
    </row>
    <row r="627" ht="14.25" customHeight="1">
      <c r="A627" s="2">
        <v>626.0</v>
      </c>
      <c r="B627" s="2" t="s">
        <v>2512</v>
      </c>
      <c r="C627" s="2" t="s">
        <v>3130</v>
      </c>
      <c r="D627" s="2">
        <v>153.0</v>
      </c>
      <c r="E627" s="2">
        <v>1.0</v>
      </c>
      <c r="F627" s="2">
        <v>100.0</v>
      </c>
      <c r="G627" s="2">
        <v>226700.0</v>
      </c>
    </row>
    <row r="628" ht="14.25" customHeight="1">
      <c r="A628" s="2">
        <v>627.0</v>
      </c>
      <c r="B628" s="2" t="s">
        <v>2488</v>
      </c>
      <c r="C628" s="2" t="s">
        <v>3131</v>
      </c>
      <c r="D628" s="2">
        <v>333.0</v>
      </c>
      <c r="E628" s="2">
        <v>1.0</v>
      </c>
      <c r="F628" s="2">
        <v>60.0</v>
      </c>
      <c r="G628" s="2">
        <v>226700.0</v>
      </c>
    </row>
    <row r="629" ht="14.25" customHeight="1">
      <c r="A629" s="2">
        <v>628.0</v>
      </c>
      <c r="B629" s="2" t="s">
        <v>2561</v>
      </c>
      <c r="C629" s="2" t="s">
        <v>3132</v>
      </c>
      <c r="D629" s="2">
        <v>162.0</v>
      </c>
      <c r="E629" s="2">
        <v>1.0</v>
      </c>
      <c r="F629" s="2">
        <v>75.0</v>
      </c>
      <c r="G629" s="2">
        <v>226200.0</v>
      </c>
    </row>
    <row r="630" ht="14.25" customHeight="1">
      <c r="A630" s="2">
        <v>629.0</v>
      </c>
      <c r="B630" s="2" t="s">
        <v>2491</v>
      </c>
      <c r="C630" s="2" t="s">
        <v>3133</v>
      </c>
      <c r="D630" s="2">
        <v>116.0</v>
      </c>
      <c r="E630" s="2">
        <v>1.0</v>
      </c>
      <c r="F630" s="2">
        <v>100.0</v>
      </c>
      <c r="G630" s="2">
        <v>226100.0</v>
      </c>
    </row>
    <row r="631" ht="14.25" customHeight="1">
      <c r="A631" s="2">
        <v>630.0</v>
      </c>
      <c r="B631" s="2" t="s">
        <v>2475</v>
      </c>
      <c r="C631" s="2" t="s">
        <v>3134</v>
      </c>
      <c r="D631" s="2">
        <v>143.0</v>
      </c>
      <c r="E631" s="2">
        <v>1.0</v>
      </c>
      <c r="F631" s="2">
        <v>60.0</v>
      </c>
      <c r="G631" s="2">
        <v>226100.0</v>
      </c>
    </row>
    <row r="632" ht="14.25" customHeight="1">
      <c r="A632" s="2">
        <v>631.0</v>
      </c>
      <c r="B632" s="2" t="s">
        <v>2491</v>
      </c>
      <c r="C632" s="2" t="s">
        <v>3135</v>
      </c>
      <c r="D632" s="2">
        <v>116.0</v>
      </c>
      <c r="E632" s="2">
        <v>1.0</v>
      </c>
      <c r="F632" s="2">
        <v>90.0</v>
      </c>
      <c r="G632" s="2">
        <v>226000.0</v>
      </c>
    </row>
    <row r="633" ht="14.25" customHeight="1">
      <c r="A633" s="2">
        <v>632.0</v>
      </c>
      <c r="B633" s="2" t="s">
        <v>2594</v>
      </c>
      <c r="C633" s="2" t="s">
        <v>3136</v>
      </c>
      <c r="D633" s="2">
        <v>184.0</v>
      </c>
      <c r="E633" s="2">
        <v>1.0</v>
      </c>
      <c r="F633" s="2">
        <v>66.0</v>
      </c>
      <c r="G633" s="2">
        <v>226000.0</v>
      </c>
    </row>
    <row r="634" ht="14.25" customHeight="1">
      <c r="A634" s="2">
        <v>633.0</v>
      </c>
      <c r="B634" s="2" t="s">
        <v>2501</v>
      </c>
      <c r="C634" s="2" t="s">
        <v>3137</v>
      </c>
      <c r="D634" s="2">
        <v>199.0</v>
      </c>
      <c r="E634" s="2">
        <v>1.0</v>
      </c>
      <c r="F634" s="2">
        <v>50.0</v>
      </c>
      <c r="G634" s="2">
        <v>225800.0</v>
      </c>
    </row>
    <row r="635" ht="14.25" customHeight="1">
      <c r="A635" s="2">
        <v>634.0</v>
      </c>
      <c r="B635" s="2" t="s">
        <v>2945</v>
      </c>
      <c r="C635" s="2" t="s">
        <v>3138</v>
      </c>
      <c r="D635" s="2">
        <v>619.0</v>
      </c>
      <c r="E635" s="2">
        <v>1.0</v>
      </c>
      <c r="F635" s="2">
        <v>60.0</v>
      </c>
      <c r="G635" s="2">
        <v>225800.0</v>
      </c>
    </row>
    <row r="636" ht="14.25" customHeight="1">
      <c r="A636" s="2">
        <v>635.0</v>
      </c>
      <c r="B636" s="2" t="s">
        <v>2501</v>
      </c>
      <c r="C636" s="2" t="s">
        <v>3139</v>
      </c>
      <c r="D636" s="2">
        <v>199.0</v>
      </c>
      <c r="E636" s="2">
        <v>1.0</v>
      </c>
      <c r="F636" s="2">
        <v>200.0</v>
      </c>
      <c r="G636" s="2">
        <v>225700.0</v>
      </c>
    </row>
    <row r="637" ht="14.25" customHeight="1">
      <c r="A637" s="2">
        <v>636.0</v>
      </c>
      <c r="B637" s="2" t="s">
        <v>2505</v>
      </c>
      <c r="C637" s="2" t="s">
        <v>3140</v>
      </c>
      <c r="D637" s="2">
        <v>429.0</v>
      </c>
      <c r="E637" s="2">
        <v>1.0</v>
      </c>
      <c r="F637" s="2">
        <v>100.0</v>
      </c>
      <c r="G637" s="2">
        <v>225700.0</v>
      </c>
    </row>
    <row r="638" ht="14.25" customHeight="1">
      <c r="A638" s="2">
        <v>637.0</v>
      </c>
      <c r="B638" s="2" t="s">
        <v>2582</v>
      </c>
      <c r="C638" s="2" t="s">
        <v>3141</v>
      </c>
      <c r="D638" s="2">
        <v>183.0</v>
      </c>
      <c r="E638" s="2">
        <v>1.0</v>
      </c>
      <c r="F638" s="2">
        <v>100.1</v>
      </c>
      <c r="G638" s="2">
        <v>225400.0</v>
      </c>
    </row>
    <row r="639" ht="14.25" customHeight="1">
      <c r="A639" s="2">
        <v>638.0</v>
      </c>
      <c r="B639" s="2" t="s">
        <v>2479</v>
      </c>
      <c r="C639" s="2" t="s">
        <v>3142</v>
      </c>
      <c r="D639" s="2">
        <v>182.0</v>
      </c>
      <c r="E639" s="2">
        <v>1.0</v>
      </c>
      <c r="F639" s="2">
        <v>130.0</v>
      </c>
      <c r="G639" s="2">
        <v>225200.0</v>
      </c>
    </row>
    <row r="640" ht="14.25" customHeight="1">
      <c r="A640" s="2">
        <v>639.0</v>
      </c>
      <c r="B640" s="2" t="s">
        <v>2541</v>
      </c>
      <c r="C640" s="2" t="s">
        <v>3143</v>
      </c>
      <c r="D640" s="2">
        <v>195.0</v>
      </c>
      <c r="E640" s="2">
        <v>1.0</v>
      </c>
      <c r="F640" s="2">
        <v>100.0</v>
      </c>
      <c r="G640" s="2">
        <v>225200.0</v>
      </c>
    </row>
    <row r="641" ht="14.25" customHeight="1">
      <c r="A641" s="2">
        <v>640.0</v>
      </c>
      <c r="B641" s="2" t="s">
        <v>2505</v>
      </c>
      <c r="C641" s="2" t="s">
        <v>3144</v>
      </c>
      <c r="D641" s="2">
        <v>429.0</v>
      </c>
      <c r="E641" s="2">
        <v>1.0</v>
      </c>
      <c r="F641" s="2">
        <v>100.0</v>
      </c>
      <c r="G641" s="2">
        <v>225100.0</v>
      </c>
    </row>
    <row r="642" ht="14.25" customHeight="1">
      <c r="A642" s="2">
        <v>641.0</v>
      </c>
      <c r="B642" s="2" t="s">
        <v>2524</v>
      </c>
      <c r="C642" s="2" t="s">
        <v>3145</v>
      </c>
      <c r="D642" s="2">
        <v>331.0</v>
      </c>
      <c r="E642" s="2">
        <v>1.0</v>
      </c>
      <c r="F642" s="2">
        <v>75.0</v>
      </c>
      <c r="G642" s="2">
        <v>225000.0</v>
      </c>
    </row>
    <row r="643" ht="14.25" customHeight="1">
      <c r="A643" s="2">
        <v>642.0</v>
      </c>
      <c r="B643" s="2" t="s">
        <v>2488</v>
      </c>
      <c r="C643" s="2" t="s">
        <v>3146</v>
      </c>
      <c r="D643" s="2">
        <v>333.0</v>
      </c>
      <c r="E643" s="2">
        <v>1.0</v>
      </c>
      <c r="F643" s="2">
        <v>75.0</v>
      </c>
      <c r="G643" s="2">
        <v>224800.0</v>
      </c>
    </row>
    <row r="644" ht="14.25" customHeight="1">
      <c r="A644" s="2">
        <v>643.0</v>
      </c>
      <c r="B644" s="2" t="s">
        <v>2477</v>
      </c>
      <c r="C644" s="2" t="s">
        <v>3147</v>
      </c>
      <c r="D644" s="2">
        <v>152.0</v>
      </c>
      <c r="E644" s="2">
        <v>1.0</v>
      </c>
      <c r="F644" s="2">
        <v>118.0</v>
      </c>
      <c r="G644" s="2">
        <v>224700.0</v>
      </c>
    </row>
    <row r="645" ht="14.25" customHeight="1">
      <c r="A645" s="2">
        <v>644.0</v>
      </c>
      <c r="B645" s="2" t="s">
        <v>2945</v>
      </c>
      <c r="C645" s="2" t="s">
        <v>3148</v>
      </c>
      <c r="D645" s="2">
        <v>619.0</v>
      </c>
      <c r="E645" s="2">
        <v>1.0</v>
      </c>
      <c r="F645" s="2">
        <v>60.0</v>
      </c>
      <c r="G645" s="2">
        <v>224700.0</v>
      </c>
    </row>
    <row r="646" ht="14.25" customHeight="1">
      <c r="A646" s="2">
        <v>645.0</v>
      </c>
      <c r="B646" s="2" t="s">
        <v>2945</v>
      </c>
      <c r="C646" s="2" t="s">
        <v>3149</v>
      </c>
      <c r="D646" s="2">
        <v>619.0</v>
      </c>
      <c r="E646" s="2">
        <v>1.0</v>
      </c>
      <c r="F646" s="2">
        <v>60.0</v>
      </c>
      <c r="G646" s="2">
        <v>224700.0</v>
      </c>
    </row>
    <row r="647" ht="14.25" customHeight="1">
      <c r="A647" s="2">
        <v>646.0</v>
      </c>
      <c r="B647" s="2" t="s">
        <v>2497</v>
      </c>
      <c r="C647" s="2" t="s">
        <v>3150</v>
      </c>
      <c r="D647" s="2">
        <v>151.0</v>
      </c>
      <c r="E647" s="2">
        <v>1.0</v>
      </c>
      <c r="F647" s="2">
        <v>70.0</v>
      </c>
      <c r="G647" s="2">
        <v>224600.0</v>
      </c>
    </row>
    <row r="648" ht="14.25" customHeight="1">
      <c r="A648" s="2">
        <v>647.0</v>
      </c>
      <c r="B648" s="2" t="s">
        <v>2686</v>
      </c>
      <c r="C648" s="2" t="s">
        <v>3151</v>
      </c>
      <c r="D648" s="2">
        <v>127.0</v>
      </c>
      <c r="E648" s="2">
        <v>1.0</v>
      </c>
      <c r="F648" s="2">
        <v>120.0</v>
      </c>
      <c r="G648" s="2">
        <v>224500.0</v>
      </c>
    </row>
    <row r="649" ht="14.25" customHeight="1">
      <c r="A649" s="2">
        <v>648.0</v>
      </c>
      <c r="B649" s="2" t="s">
        <v>2518</v>
      </c>
      <c r="C649" s="2" t="s">
        <v>3152</v>
      </c>
      <c r="D649" s="2">
        <v>161.0</v>
      </c>
      <c r="E649" s="2">
        <v>1.0</v>
      </c>
      <c r="F649" s="2">
        <v>75.0</v>
      </c>
      <c r="G649" s="2">
        <v>224500.0</v>
      </c>
    </row>
    <row r="650" ht="14.25" customHeight="1">
      <c r="A650" s="2">
        <v>649.0</v>
      </c>
      <c r="B650" s="2" t="s">
        <v>2571</v>
      </c>
      <c r="C650" s="2" t="s">
        <v>3153</v>
      </c>
      <c r="D650" s="2">
        <v>185.0</v>
      </c>
      <c r="E650" s="2">
        <v>1.0</v>
      </c>
      <c r="F650" s="2">
        <v>75.0</v>
      </c>
      <c r="G650" s="2">
        <v>224400.0</v>
      </c>
    </row>
    <row r="651" ht="14.25" customHeight="1">
      <c r="A651" s="2">
        <v>650.0</v>
      </c>
      <c r="B651" s="2" t="s">
        <v>2491</v>
      </c>
      <c r="C651" s="2" t="s">
        <v>3154</v>
      </c>
      <c r="D651" s="2">
        <v>116.0</v>
      </c>
      <c r="E651" s="2">
        <v>1.0</v>
      </c>
      <c r="F651" s="2">
        <v>100.0</v>
      </c>
      <c r="G651" s="2">
        <v>224300.0</v>
      </c>
    </row>
    <row r="652" ht="14.25" customHeight="1">
      <c r="A652" s="2">
        <v>651.0</v>
      </c>
      <c r="B652" s="2" t="s">
        <v>2501</v>
      </c>
      <c r="C652" s="2" t="s">
        <v>3155</v>
      </c>
      <c r="D652" s="2">
        <v>199.0</v>
      </c>
      <c r="E652" s="2">
        <v>1.0</v>
      </c>
      <c r="F652" s="2">
        <v>100.0</v>
      </c>
      <c r="G652" s="2">
        <v>224300.0</v>
      </c>
    </row>
    <row r="653" ht="14.25" customHeight="1">
      <c r="A653" s="2">
        <v>652.0</v>
      </c>
      <c r="B653" s="2" t="s">
        <v>2491</v>
      </c>
      <c r="C653" s="2" t="s">
        <v>3156</v>
      </c>
      <c r="D653" s="2">
        <v>116.0</v>
      </c>
      <c r="E653" s="2">
        <v>1.0</v>
      </c>
      <c r="F653" s="2">
        <v>150.0</v>
      </c>
      <c r="G653" s="2">
        <v>224200.0</v>
      </c>
    </row>
    <row r="654" ht="14.25" customHeight="1">
      <c r="A654" s="2">
        <v>653.0</v>
      </c>
      <c r="B654" s="2" t="s">
        <v>2512</v>
      </c>
      <c r="C654" s="2" t="s">
        <v>3157</v>
      </c>
      <c r="D654" s="2">
        <v>153.0</v>
      </c>
      <c r="E654" s="2">
        <v>1.0</v>
      </c>
      <c r="F654" s="2">
        <v>50.0</v>
      </c>
      <c r="G654" s="2">
        <v>224000.0</v>
      </c>
    </row>
    <row r="655" ht="14.25" customHeight="1">
      <c r="A655" s="2">
        <v>654.0</v>
      </c>
      <c r="B655" s="2" t="s">
        <v>2503</v>
      </c>
      <c r="C655" s="2" t="s">
        <v>3158</v>
      </c>
      <c r="D655" s="2">
        <v>105.0</v>
      </c>
      <c r="E655" s="2">
        <v>1.0</v>
      </c>
      <c r="F655" s="2">
        <v>120.0</v>
      </c>
      <c r="G655" s="2">
        <v>223900.0</v>
      </c>
    </row>
    <row r="656" ht="14.25" customHeight="1">
      <c r="A656" s="2">
        <v>655.0</v>
      </c>
      <c r="B656" s="2" t="s">
        <v>2501</v>
      </c>
      <c r="C656" s="2" t="s">
        <v>3159</v>
      </c>
      <c r="D656" s="2">
        <v>199.0</v>
      </c>
      <c r="E656" s="2">
        <v>1.0</v>
      </c>
      <c r="F656" s="2">
        <v>150.0</v>
      </c>
      <c r="G656" s="2">
        <v>223800.0</v>
      </c>
    </row>
    <row r="657" ht="14.25" customHeight="1">
      <c r="A657" s="2">
        <v>656.0</v>
      </c>
      <c r="B657" s="2" t="s">
        <v>2488</v>
      </c>
      <c r="C657" s="2" t="s">
        <v>3160</v>
      </c>
      <c r="D657" s="2">
        <v>333.0</v>
      </c>
      <c r="E657" s="2">
        <v>1.0</v>
      </c>
      <c r="F657" s="2">
        <v>100.0</v>
      </c>
      <c r="G657" s="2">
        <v>223400.0</v>
      </c>
    </row>
    <row r="658" ht="14.25" customHeight="1">
      <c r="A658" s="2">
        <v>657.0</v>
      </c>
      <c r="B658" s="2" t="s">
        <v>2541</v>
      </c>
      <c r="C658" s="2" t="s">
        <v>3161</v>
      </c>
      <c r="D658" s="2">
        <v>195.0</v>
      </c>
      <c r="E658" s="2">
        <v>1.0</v>
      </c>
      <c r="F658" s="2">
        <v>75.0</v>
      </c>
      <c r="G658" s="2">
        <v>223300.0</v>
      </c>
    </row>
    <row r="659" ht="14.25" customHeight="1">
      <c r="A659" s="2">
        <v>658.0</v>
      </c>
      <c r="B659" s="2" t="s">
        <v>2651</v>
      </c>
      <c r="C659" s="2" t="s">
        <v>3162</v>
      </c>
      <c r="D659" s="2">
        <v>347.0</v>
      </c>
      <c r="E659" s="2">
        <v>1.0</v>
      </c>
      <c r="F659" s="2">
        <v>120.0</v>
      </c>
      <c r="G659" s="2">
        <v>223100.0</v>
      </c>
    </row>
    <row r="660" ht="14.25" customHeight="1">
      <c r="A660" s="2">
        <v>659.0</v>
      </c>
      <c r="B660" s="2" t="s">
        <v>2945</v>
      </c>
      <c r="C660" s="2" t="s">
        <v>3163</v>
      </c>
      <c r="D660" s="2">
        <v>619.0</v>
      </c>
      <c r="E660" s="2">
        <v>1.0</v>
      </c>
      <c r="F660" s="2">
        <v>60.0</v>
      </c>
      <c r="G660" s="2">
        <v>223100.0</v>
      </c>
    </row>
    <row r="661" ht="14.25" customHeight="1">
      <c r="A661" s="2">
        <v>660.0</v>
      </c>
      <c r="B661" s="2" t="s">
        <v>2945</v>
      </c>
      <c r="C661" s="2" t="s">
        <v>3164</v>
      </c>
      <c r="D661" s="2">
        <v>619.0</v>
      </c>
      <c r="E661" s="2">
        <v>1.0</v>
      </c>
      <c r="F661" s="2">
        <v>60.0</v>
      </c>
      <c r="G661" s="2">
        <v>223100.0</v>
      </c>
    </row>
    <row r="662" ht="14.25" customHeight="1">
      <c r="A662" s="2">
        <v>661.0</v>
      </c>
      <c r="B662" s="2" t="s">
        <v>2571</v>
      </c>
      <c r="C662" s="2" t="s">
        <v>3165</v>
      </c>
      <c r="D662" s="2">
        <v>185.0</v>
      </c>
      <c r="E662" s="2">
        <v>1.0</v>
      </c>
      <c r="F662" s="2">
        <v>90.0</v>
      </c>
      <c r="G662" s="2">
        <v>223000.0</v>
      </c>
    </row>
    <row r="663" ht="14.25" customHeight="1">
      <c r="A663" s="2">
        <v>662.0</v>
      </c>
      <c r="B663" s="2" t="s">
        <v>2501</v>
      </c>
      <c r="C663" s="2" t="s">
        <v>3166</v>
      </c>
      <c r="D663" s="2">
        <v>199.0</v>
      </c>
      <c r="E663" s="2">
        <v>1.0</v>
      </c>
      <c r="F663" s="2">
        <v>75.0</v>
      </c>
      <c r="G663" s="2">
        <v>223000.0</v>
      </c>
    </row>
    <row r="664" ht="14.25" customHeight="1">
      <c r="A664" s="2">
        <v>663.0</v>
      </c>
      <c r="B664" s="2" t="s">
        <v>2651</v>
      </c>
      <c r="C664" s="2" t="s">
        <v>3167</v>
      </c>
      <c r="D664" s="2">
        <v>347.0</v>
      </c>
      <c r="E664" s="2">
        <v>1.0</v>
      </c>
      <c r="F664" s="2">
        <v>120.0</v>
      </c>
      <c r="G664" s="2">
        <v>223000.0</v>
      </c>
    </row>
    <row r="665" ht="14.25" customHeight="1">
      <c r="A665" s="2">
        <v>664.0</v>
      </c>
      <c r="B665" s="2" t="s">
        <v>2518</v>
      </c>
      <c r="C665" s="2" t="s">
        <v>3168</v>
      </c>
      <c r="D665" s="2">
        <v>161.0</v>
      </c>
      <c r="E665" s="2">
        <v>1.0</v>
      </c>
      <c r="F665" s="2">
        <v>75.0</v>
      </c>
      <c r="G665" s="2">
        <v>222800.0</v>
      </c>
    </row>
    <row r="666" ht="14.25" customHeight="1">
      <c r="A666" s="2">
        <v>665.0</v>
      </c>
      <c r="B666" s="2" t="s">
        <v>2561</v>
      </c>
      <c r="C666" s="2" t="s">
        <v>3169</v>
      </c>
      <c r="D666" s="2">
        <v>162.0</v>
      </c>
      <c r="E666" s="2">
        <v>1.0</v>
      </c>
      <c r="F666" s="2">
        <v>150.0</v>
      </c>
      <c r="G666" s="2">
        <v>222800.0</v>
      </c>
    </row>
    <row r="667" ht="14.25" customHeight="1">
      <c r="A667" s="2">
        <v>666.0</v>
      </c>
      <c r="B667" s="2" t="s">
        <v>2558</v>
      </c>
      <c r="C667" s="2" t="s">
        <v>3170</v>
      </c>
      <c r="D667" s="2">
        <v>357.0</v>
      </c>
      <c r="E667" s="2">
        <v>1.0</v>
      </c>
      <c r="F667" s="2">
        <v>75.0</v>
      </c>
      <c r="G667" s="2">
        <v>222400.0</v>
      </c>
    </row>
    <row r="668" ht="14.25" customHeight="1">
      <c r="A668" s="2">
        <v>667.0</v>
      </c>
      <c r="B668" s="2" t="s">
        <v>2491</v>
      </c>
      <c r="C668" s="2" t="s">
        <v>3171</v>
      </c>
      <c r="D668" s="2">
        <v>116.0</v>
      </c>
      <c r="E668" s="2">
        <v>1.0</v>
      </c>
      <c r="F668" s="2">
        <v>90.0</v>
      </c>
      <c r="G668" s="2">
        <v>222300.0</v>
      </c>
    </row>
    <row r="669" ht="14.25" customHeight="1">
      <c r="A669" s="2">
        <v>668.0</v>
      </c>
      <c r="B669" s="2" t="s">
        <v>2475</v>
      </c>
      <c r="C669" s="2" t="s">
        <v>3172</v>
      </c>
      <c r="D669" s="2">
        <v>143.0</v>
      </c>
      <c r="E669" s="2">
        <v>1.0</v>
      </c>
      <c r="F669" s="2">
        <v>75.0</v>
      </c>
      <c r="G669" s="2">
        <v>222200.0</v>
      </c>
    </row>
    <row r="670" ht="14.25" customHeight="1">
      <c r="A670" s="2">
        <v>669.0</v>
      </c>
      <c r="B670" s="2" t="s">
        <v>2477</v>
      </c>
      <c r="C670" s="2" t="s">
        <v>3173</v>
      </c>
      <c r="D670" s="2">
        <v>152.0</v>
      </c>
      <c r="E670" s="2">
        <v>1.0</v>
      </c>
      <c r="F670" s="2">
        <v>100.0</v>
      </c>
      <c r="G670" s="2">
        <v>222200.0</v>
      </c>
    </row>
    <row r="671" ht="14.25" customHeight="1">
      <c r="A671" s="2">
        <v>670.0</v>
      </c>
      <c r="B671" s="2" t="s">
        <v>2524</v>
      </c>
      <c r="C671" s="2" t="s">
        <v>3174</v>
      </c>
      <c r="D671" s="2">
        <v>331.0</v>
      </c>
      <c r="E671" s="2">
        <v>1.0</v>
      </c>
      <c r="F671" s="2">
        <v>100.0</v>
      </c>
      <c r="G671" s="2">
        <v>222200.0</v>
      </c>
    </row>
    <row r="672" ht="14.25" customHeight="1">
      <c r="A672" s="2">
        <v>671.0</v>
      </c>
      <c r="B672" s="2" t="s">
        <v>2558</v>
      </c>
      <c r="C672" s="2" t="s">
        <v>3175</v>
      </c>
      <c r="D672" s="2">
        <v>357.0</v>
      </c>
      <c r="E672" s="2">
        <v>1.0</v>
      </c>
      <c r="F672" s="2">
        <v>120.0</v>
      </c>
      <c r="G672" s="2">
        <v>222100.0</v>
      </c>
    </row>
    <row r="673" ht="14.25" customHeight="1">
      <c r="A673" s="2">
        <v>672.0</v>
      </c>
      <c r="B673" s="2" t="s">
        <v>2744</v>
      </c>
      <c r="C673" s="2" t="s">
        <v>3176</v>
      </c>
      <c r="D673" s="2">
        <v>169.0</v>
      </c>
      <c r="E673" s="2">
        <v>1.0</v>
      </c>
      <c r="F673" s="2">
        <v>80.0</v>
      </c>
      <c r="G673" s="2">
        <v>221800.0</v>
      </c>
    </row>
    <row r="674" ht="14.25" customHeight="1">
      <c r="A674" s="2">
        <v>673.0</v>
      </c>
      <c r="B674" s="2" t="s">
        <v>2477</v>
      </c>
      <c r="C674" s="2" t="s">
        <v>3177</v>
      </c>
      <c r="D674" s="2">
        <v>152.0</v>
      </c>
      <c r="E674" s="2">
        <v>1.0</v>
      </c>
      <c r="F674" s="2">
        <v>118.0</v>
      </c>
      <c r="G674" s="2">
        <v>221700.0</v>
      </c>
    </row>
    <row r="675" ht="14.25" customHeight="1">
      <c r="A675" s="2">
        <v>674.0</v>
      </c>
      <c r="B675" s="2" t="s">
        <v>2945</v>
      </c>
      <c r="C675" s="2" t="s">
        <v>3178</v>
      </c>
      <c r="D675" s="2">
        <v>619.0</v>
      </c>
      <c r="E675" s="2">
        <v>1.0</v>
      </c>
      <c r="F675" s="2">
        <v>60.0</v>
      </c>
      <c r="G675" s="2">
        <v>221700.0</v>
      </c>
    </row>
    <row r="676" ht="14.25" customHeight="1">
      <c r="A676" s="2">
        <v>675.0</v>
      </c>
      <c r="B676" s="2" t="s">
        <v>2491</v>
      </c>
      <c r="C676" s="2" t="s">
        <v>3179</v>
      </c>
      <c r="D676" s="2">
        <v>116.0</v>
      </c>
      <c r="E676" s="2">
        <v>1.0</v>
      </c>
      <c r="F676" s="2">
        <v>120.0</v>
      </c>
      <c r="G676" s="2">
        <v>221600.0</v>
      </c>
    </row>
    <row r="677" ht="14.25" customHeight="1">
      <c r="A677" s="2">
        <v>676.0</v>
      </c>
      <c r="B677" s="2" t="s">
        <v>2558</v>
      </c>
      <c r="C677" s="2" t="s">
        <v>3180</v>
      </c>
      <c r="D677" s="2">
        <v>357.0</v>
      </c>
      <c r="E677" s="2">
        <v>1.0</v>
      </c>
      <c r="F677" s="2">
        <v>99.0</v>
      </c>
      <c r="G677" s="2">
        <v>221600.0</v>
      </c>
    </row>
    <row r="678" ht="14.25" customHeight="1">
      <c r="A678" s="2">
        <v>677.0</v>
      </c>
      <c r="B678" s="2" t="s">
        <v>2558</v>
      </c>
      <c r="C678" s="2" t="s">
        <v>3181</v>
      </c>
      <c r="D678" s="2">
        <v>357.0</v>
      </c>
      <c r="E678" s="2">
        <v>1.0</v>
      </c>
      <c r="F678" s="2">
        <v>132.0</v>
      </c>
      <c r="G678" s="2">
        <v>221500.0</v>
      </c>
    </row>
    <row r="679" ht="14.25" customHeight="1">
      <c r="A679" s="2">
        <v>678.0</v>
      </c>
      <c r="B679" s="2" t="s">
        <v>2576</v>
      </c>
      <c r="C679" s="2" t="s">
        <v>3182</v>
      </c>
      <c r="D679" s="2">
        <v>197.0</v>
      </c>
      <c r="E679" s="2">
        <v>1.0</v>
      </c>
      <c r="F679" s="2">
        <v>100.0</v>
      </c>
      <c r="G679" s="2">
        <v>221400.0</v>
      </c>
    </row>
    <row r="680" ht="14.25" customHeight="1">
      <c r="A680" s="2">
        <v>679.0</v>
      </c>
      <c r="B680" s="2" t="s">
        <v>2945</v>
      </c>
      <c r="C680" s="2" t="s">
        <v>3183</v>
      </c>
      <c r="D680" s="2">
        <v>619.0</v>
      </c>
      <c r="E680" s="2">
        <v>1.0</v>
      </c>
      <c r="F680" s="2">
        <v>60.0</v>
      </c>
      <c r="G680" s="2">
        <v>221400.0</v>
      </c>
    </row>
    <row r="681" ht="14.25" customHeight="1">
      <c r="A681" s="2">
        <v>680.0</v>
      </c>
      <c r="B681" s="2" t="s">
        <v>2945</v>
      </c>
      <c r="C681" s="2" t="s">
        <v>3184</v>
      </c>
      <c r="D681" s="2">
        <v>619.0</v>
      </c>
      <c r="E681" s="2">
        <v>1.0</v>
      </c>
      <c r="F681" s="2">
        <v>60.0</v>
      </c>
      <c r="G681" s="2">
        <v>221400.0</v>
      </c>
    </row>
    <row r="682" ht="14.25" customHeight="1">
      <c r="A682" s="2">
        <v>681.0</v>
      </c>
      <c r="B682" s="2" t="s">
        <v>2561</v>
      </c>
      <c r="C682" s="2" t="s">
        <v>3185</v>
      </c>
      <c r="D682" s="2">
        <v>162.0</v>
      </c>
      <c r="E682" s="2">
        <v>1.0</v>
      </c>
      <c r="F682" s="2">
        <v>100.0</v>
      </c>
      <c r="G682" s="2">
        <v>221300.0</v>
      </c>
    </row>
    <row r="683" ht="14.25" customHeight="1">
      <c r="A683" s="2">
        <v>682.0</v>
      </c>
      <c r="B683" s="2" t="s">
        <v>2497</v>
      </c>
      <c r="C683" s="2" t="s">
        <v>3186</v>
      </c>
      <c r="D683" s="2">
        <v>151.0</v>
      </c>
      <c r="E683" s="2">
        <v>1.0</v>
      </c>
      <c r="F683" s="2">
        <v>150.0</v>
      </c>
      <c r="G683" s="2">
        <v>221200.0</v>
      </c>
    </row>
    <row r="684" ht="14.25" customHeight="1">
      <c r="A684" s="2">
        <v>683.0</v>
      </c>
      <c r="B684" s="2" t="s">
        <v>2534</v>
      </c>
      <c r="C684" s="2" t="s">
        <v>3187</v>
      </c>
      <c r="D684" s="2">
        <v>188.0</v>
      </c>
      <c r="E684" s="2">
        <v>1.0</v>
      </c>
      <c r="F684" s="2">
        <v>75.0</v>
      </c>
      <c r="G684" s="2">
        <v>221200.0</v>
      </c>
    </row>
    <row r="685" ht="14.25" customHeight="1">
      <c r="A685" s="2">
        <v>684.0</v>
      </c>
      <c r="B685" s="2" t="s">
        <v>2488</v>
      </c>
      <c r="C685" s="2" t="s">
        <v>3188</v>
      </c>
      <c r="D685" s="2">
        <v>333.0</v>
      </c>
      <c r="E685" s="2">
        <v>1.0</v>
      </c>
      <c r="F685" s="2">
        <v>50.0</v>
      </c>
      <c r="G685" s="2">
        <v>221100.0</v>
      </c>
    </row>
    <row r="686" ht="14.25" customHeight="1">
      <c r="A686" s="2">
        <v>685.0</v>
      </c>
      <c r="B686" s="2" t="s">
        <v>2534</v>
      </c>
      <c r="C686" s="2" t="s">
        <v>3189</v>
      </c>
      <c r="D686" s="2">
        <v>188.0</v>
      </c>
      <c r="E686" s="2">
        <v>1.0</v>
      </c>
      <c r="F686" s="2">
        <v>100.0</v>
      </c>
      <c r="G686" s="2">
        <v>221000.0</v>
      </c>
    </row>
    <row r="687" ht="14.25" customHeight="1">
      <c r="A687" s="2">
        <v>686.0</v>
      </c>
      <c r="B687" s="2" t="s">
        <v>2497</v>
      </c>
      <c r="C687" s="2" t="s">
        <v>3190</v>
      </c>
      <c r="D687" s="2">
        <v>151.0</v>
      </c>
      <c r="E687" s="2">
        <v>1.0</v>
      </c>
      <c r="F687" s="2">
        <v>70.0</v>
      </c>
      <c r="G687" s="2">
        <v>220900.0</v>
      </c>
    </row>
    <row r="688" ht="14.25" customHeight="1">
      <c r="A688" s="2">
        <v>687.0</v>
      </c>
      <c r="B688" s="2" t="s">
        <v>2582</v>
      </c>
      <c r="C688" s="2" t="s">
        <v>3191</v>
      </c>
      <c r="D688" s="2">
        <v>183.0</v>
      </c>
      <c r="E688" s="2">
        <v>1.0</v>
      </c>
      <c r="F688" s="2">
        <v>100.0</v>
      </c>
      <c r="G688" s="2">
        <v>220900.0</v>
      </c>
    </row>
    <row r="689" ht="14.25" customHeight="1">
      <c r="A689" s="2">
        <v>688.0</v>
      </c>
      <c r="B689" s="2" t="s">
        <v>2553</v>
      </c>
      <c r="C689" s="2" t="s">
        <v>3192</v>
      </c>
      <c r="D689" s="2">
        <v>187.0</v>
      </c>
      <c r="E689" s="2">
        <v>1.0</v>
      </c>
      <c r="F689" s="2">
        <v>100.0</v>
      </c>
      <c r="G689" s="2">
        <v>220900.0</v>
      </c>
    </row>
    <row r="690" ht="14.25" customHeight="1">
      <c r="A690" s="2">
        <v>689.0</v>
      </c>
      <c r="B690" s="2" t="s">
        <v>2651</v>
      </c>
      <c r="C690" s="2" t="s">
        <v>3193</v>
      </c>
      <c r="D690" s="2">
        <v>347.0</v>
      </c>
      <c r="E690" s="2">
        <v>1.0</v>
      </c>
      <c r="F690" s="2">
        <v>75.0</v>
      </c>
      <c r="G690" s="2">
        <v>220900.0</v>
      </c>
    </row>
    <row r="691" ht="14.25" customHeight="1">
      <c r="A691" s="2">
        <v>690.0</v>
      </c>
      <c r="B691" s="2" t="s">
        <v>2541</v>
      </c>
      <c r="C691" s="2" t="s">
        <v>3194</v>
      </c>
      <c r="D691" s="2">
        <v>195.0</v>
      </c>
      <c r="E691" s="2">
        <v>1.0</v>
      </c>
      <c r="F691" s="2">
        <v>50.0</v>
      </c>
      <c r="G691" s="2">
        <v>220800.0</v>
      </c>
    </row>
    <row r="692" ht="14.25" customHeight="1">
      <c r="A692" s="2">
        <v>691.0</v>
      </c>
      <c r="B692" s="2" t="s">
        <v>2541</v>
      </c>
      <c r="C692" s="2" t="s">
        <v>3195</v>
      </c>
      <c r="D692" s="2">
        <v>195.0</v>
      </c>
      <c r="E692" s="2">
        <v>1.0</v>
      </c>
      <c r="F692" s="2">
        <v>50.0</v>
      </c>
      <c r="G692" s="2">
        <v>220800.0</v>
      </c>
    </row>
    <row r="693" ht="14.25" customHeight="1">
      <c r="A693" s="2">
        <v>692.0</v>
      </c>
      <c r="B693" s="2" t="s">
        <v>2491</v>
      </c>
      <c r="C693" s="2" t="s">
        <v>3196</v>
      </c>
      <c r="D693" s="2">
        <v>116.0</v>
      </c>
      <c r="E693" s="2">
        <v>1.0</v>
      </c>
      <c r="F693" s="2">
        <v>150.0</v>
      </c>
      <c r="G693" s="2">
        <v>220700.0</v>
      </c>
    </row>
    <row r="694" ht="14.25" customHeight="1">
      <c r="A694" s="2">
        <v>693.0</v>
      </c>
      <c r="B694" s="2" t="s">
        <v>2477</v>
      </c>
      <c r="C694" s="2" t="s">
        <v>3197</v>
      </c>
      <c r="D694" s="2">
        <v>152.0</v>
      </c>
      <c r="E694" s="2">
        <v>1.0</v>
      </c>
      <c r="F694" s="2">
        <v>100.0</v>
      </c>
      <c r="G694" s="2">
        <v>220700.0</v>
      </c>
    </row>
    <row r="695" ht="14.25" customHeight="1">
      <c r="A695" s="2">
        <v>694.0</v>
      </c>
      <c r="B695" s="2" t="s">
        <v>2491</v>
      </c>
      <c r="C695" s="2" t="s">
        <v>3198</v>
      </c>
      <c r="D695" s="2">
        <v>116.0</v>
      </c>
      <c r="E695" s="2">
        <v>1.0</v>
      </c>
      <c r="F695" s="2">
        <v>125.0</v>
      </c>
      <c r="G695" s="2">
        <v>220600.0</v>
      </c>
    </row>
    <row r="696" ht="14.25" customHeight="1">
      <c r="A696" s="2">
        <v>695.0</v>
      </c>
      <c r="B696" s="2" t="s">
        <v>2534</v>
      </c>
      <c r="C696" s="2" t="s">
        <v>3199</v>
      </c>
      <c r="D696" s="2">
        <v>188.0</v>
      </c>
      <c r="E696" s="2">
        <v>1.0</v>
      </c>
      <c r="F696" s="2">
        <v>100.0</v>
      </c>
      <c r="G696" s="2">
        <v>220600.0</v>
      </c>
    </row>
    <row r="697" ht="14.25" customHeight="1">
      <c r="A697" s="2">
        <v>696.0</v>
      </c>
      <c r="B697" s="2" t="s">
        <v>2541</v>
      </c>
      <c r="C697" s="2" t="s">
        <v>3200</v>
      </c>
      <c r="D697" s="2">
        <v>195.0</v>
      </c>
      <c r="E697" s="2">
        <v>1.0</v>
      </c>
      <c r="F697" s="2">
        <v>50.0</v>
      </c>
      <c r="G697" s="2">
        <v>220500.0</v>
      </c>
    </row>
    <row r="698" ht="14.25" customHeight="1">
      <c r="A698" s="2">
        <v>697.0</v>
      </c>
      <c r="B698" s="2" t="s">
        <v>2686</v>
      </c>
      <c r="C698" s="2" t="s">
        <v>3201</v>
      </c>
      <c r="D698" s="2">
        <v>127.0</v>
      </c>
      <c r="E698" s="2">
        <v>1.0</v>
      </c>
      <c r="F698" s="2">
        <v>120.0</v>
      </c>
      <c r="G698" s="2">
        <v>220400.0</v>
      </c>
    </row>
    <row r="699" ht="14.25" customHeight="1">
      <c r="A699" s="2">
        <v>698.0</v>
      </c>
      <c r="B699" s="2" t="s">
        <v>2501</v>
      </c>
      <c r="C699" s="2" t="s">
        <v>3202</v>
      </c>
      <c r="D699" s="2">
        <v>199.0</v>
      </c>
      <c r="E699" s="2">
        <v>1.0</v>
      </c>
      <c r="F699" s="2">
        <v>145.0</v>
      </c>
      <c r="G699" s="2">
        <v>220300.0</v>
      </c>
    </row>
    <row r="700" ht="14.25" customHeight="1">
      <c r="A700" s="2">
        <v>699.0</v>
      </c>
      <c r="B700" s="2" t="s">
        <v>2541</v>
      </c>
      <c r="C700" s="2" t="s">
        <v>3203</v>
      </c>
      <c r="D700" s="2">
        <v>195.0</v>
      </c>
      <c r="E700" s="2">
        <v>1.0</v>
      </c>
      <c r="F700" s="2">
        <v>50.0</v>
      </c>
      <c r="G700" s="2">
        <v>220200.0</v>
      </c>
    </row>
    <row r="701" ht="14.25" customHeight="1">
      <c r="A701" s="2">
        <v>700.0</v>
      </c>
      <c r="B701" s="2" t="s">
        <v>2524</v>
      </c>
      <c r="C701" s="2" t="s">
        <v>3204</v>
      </c>
      <c r="D701" s="2">
        <v>331.0</v>
      </c>
      <c r="E701" s="2">
        <v>1.0</v>
      </c>
      <c r="F701" s="2">
        <v>65.0</v>
      </c>
      <c r="G701" s="2">
        <v>220200.0</v>
      </c>
    </row>
    <row r="702" ht="14.25" customHeight="1">
      <c r="A702" s="2">
        <v>701.0</v>
      </c>
      <c r="B702" s="2" t="s">
        <v>2558</v>
      </c>
      <c r="C702" s="2" t="s">
        <v>3205</v>
      </c>
      <c r="D702" s="2">
        <v>357.0</v>
      </c>
      <c r="E702" s="2">
        <v>1.0</v>
      </c>
      <c r="F702" s="2">
        <v>120.0</v>
      </c>
      <c r="G702" s="2">
        <v>220000.0</v>
      </c>
    </row>
    <row r="703" ht="14.25" customHeight="1">
      <c r="A703" s="2">
        <v>702.0</v>
      </c>
      <c r="B703" s="2" t="s">
        <v>2549</v>
      </c>
      <c r="C703" s="2" t="s">
        <v>3206</v>
      </c>
      <c r="D703" s="2">
        <v>115.0</v>
      </c>
      <c r="E703" s="2">
        <v>1.0</v>
      </c>
      <c r="F703" s="2">
        <v>50.0</v>
      </c>
      <c r="G703" s="2">
        <v>219900.0</v>
      </c>
    </row>
    <row r="704" ht="14.25" customHeight="1">
      <c r="A704" s="2">
        <v>703.0</v>
      </c>
      <c r="B704" s="2" t="s">
        <v>2512</v>
      </c>
      <c r="C704" s="2" t="s">
        <v>3207</v>
      </c>
      <c r="D704" s="2">
        <v>153.0</v>
      </c>
      <c r="E704" s="2">
        <v>1.0</v>
      </c>
      <c r="F704" s="2">
        <v>75.0</v>
      </c>
      <c r="G704" s="2">
        <v>219900.0</v>
      </c>
    </row>
    <row r="705" ht="14.25" customHeight="1">
      <c r="A705" s="2">
        <v>704.0</v>
      </c>
      <c r="B705" s="2" t="s">
        <v>2479</v>
      </c>
      <c r="C705" s="2" t="s">
        <v>3208</v>
      </c>
      <c r="D705" s="2">
        <v>182.0</v>
      </c>
      <c r="E705" s="2">
        <v>1.0</v>
      </c>
      <c r="F705" s="2">
        <v>100.0</v>
      </c>
      <c r="G705" s="2">
        <v>219900.0</v>
      </c>
    </row>
    <row r="706" ht="14.25" customHeight="1">
      <c r="A706" s="2">
        <v>705.0</v>
      </c>
      <c r="B706" s="2" t="s">
        <v>2475</v>
      </c>
      <c r="C706" s="2" t="s">
        <v>3209</v>
      </c>
      <c r="D706" s="2">
        <v>143.0</v>
      </c>
      <c r="E706" s="2">
        <v>1.0</v>
      </c>
      <c r="F706" s="2">
        <v>100.0</v>
      </c>
      <c r="G706" s="2">
        <v>219800.0</v>
      </c>
    </row>
    <row r="707" ht="14.25" customHeight="1">
      <c r="A707" s="2">
        <v>706.0</v>
      </c>
      <c r="B707" s="2" t="s">
        <v>2501</v>
      </c>
      <c r="C707" s="2" t="s">
        <v>3210</v>
      </c>
      <c r="D707" s="2">
        <v>199.0</v>
      </c>
      <c r="E707" s="2">
        <v>1.0</v>
      </c>
      <c r="F707" s="2">
        <v>100.0</v>
      </c>
      <c r="G707" s="2">
        <v>219700.0</v>
      </c>
    </row>
    <row r="708" ht="14.25" customHeight="1">
      <c r="A708" s="2">
        <v>707.0</v>
      </c>
      <c r="B708" s="2" t="s">
        <v>2561</v>
      </c>
      <c r="C708" s="2" t="s">
        <v>3211</v>
      </c>
      <c r="D708" s="2">
        <v>162.0</v>
      </c>
      <c r="E708" s="2">
        <v>1.0</v>
      </c>
      <c r="F708" s="2">
        <v>100.0</v>
      </c>
      <c r="G708" s="2">
        <v>219500.0</v>
      </c>
    </row>
    <row r="709" ht="14.25" customHeight="1">
      <c r="A709" s="2">
        <v>708.0</v>
      </c>
      <c r="B709" s="2" t="s">
        <v>2501</v>
      </c>
      <c r="C709" s="2" t="s">
        <v>3212</v>
      </c>
      <c r="D709" s="2">
        <v>199.0</v>
      </c>
      <c r="E709" s="2">
        <v>1.0</v>
      </c>
      <c r="F709" s="2">
        <v>125.0</v>
      </c>
      <c r="G709" s="2">
        <v>219500.0</v>
      </c>
    </row>
    <row r="710" ht="14.25" customHeight="1">
      <c r="A710" s="2">
        <v>709.0</v>
      </c>
      <c r="B710" s="2" t="s">
        <v>2549</v>
      </c>
      <c r="C710" s="2" t="s">
        <v>3213</v>
      </c>
      <c r="D710" s="2">
        <v>115.0</v>
      </c>
      <c r="E710" s="2">
        <v>1.0</v>
      </c>
      <c r="F710" s="2">
        <v>100.0</v>
      </c>
      <c r="G710" s="2">
        <v>219400.0</v>
      </c>
    </row>
    <row r="711" ht="14.25" customHeight="1">
      <c r="A711" s="2">
        <v>710.0</v>
      </c>
      <c r="B711" s="2" t="s">
        <v>2479</v>
      </c>
      <c r="C711" s="2" t="s">
        <v>3214</v>
      </c>
      <c r="D711" s="2">
        <v>182.0</v>
      </c>
      <c r="E711" s="2">
        <v>1.0</v>
      </c>
      <c r="F711" s="2">
        <v>100.0</v>
      </c>
      <c r="G711" s="2">
        <v>219400.0</v>
      </c>
    </row>
    <row r="712" ht="14.25" customHeight="1">
      <c r="A712" s="2">
        <v>711.0</v>
      </c>
      <c r="B712" s="2" t="s">
        <v>2636</v>
      </c>
      <c r="C712" s="2" t="s">
        <v>3215</v>
      </c>
      <c r="D712" s="2">
        <v>145.0</v>
      </c>
      <c r="E712" s="2">
        <v>1.0</v>
      </c>
      <c r="F712" s="2">
        <v>100.0</v>
      </c>
      <c r="G712" s="2">
        <v>219300.0</v>
      </c>
    </row>
    <row r="713" ht="14.25" customHeight="1">
      <c r="A713" s="2">
        <v>712.0</v>
      </c>
      <c r="B713" s="2" t="s">
        <v>2576</v>
      </c>
      <c r="C713" s="2" t="s">
        <v>3216</v>
      </c>
      <c r="D713" s="2">
        <v>197.0</v>
      </c>
      <c r="E713" s="2">
        <v>1.0</v>
      </c>
      <c r="F713" s="2">
        <v>130.0</v>
      </c>
      <c r="G713" s="2">
        <v>219300.0</v>
      </c>
    </row>
    <row r="714" ht="14.25" customHeight="1">
      <c r="A714" s="2">
        <v>713.0</v>
      </c>
      <c r="B714" s="2" t="s">
        <v>2576</v>
      </c>
      <c r="C714" s="2" t="s">
        <v>3217</v>
      </c>
      <c r="D714" s="2">
        <v>197.0</v>
      </c>
      <c r="E714" s="2">
        <v>1.0</v>
      </c>
      <c r="F714" s="2">
        <v>75.0</v>
      </c>
      <c r="G714" s="2">
        <v>219300.0</v>
      </c>
    </row>
    <row r="715" ht="14.25" customHeight="1">
      <c r="A715" s="2">
        <v>714.0</v>
      </c>
      <c r="B715" s="2" t="s">
        <v>2512</v>
      </c>
      <c r="C715" s="2" t="s">
        <v>3218</v>
      </c>
      <c r="D715" s="2">
        <v>153.0</v>
      </c>
      <c r="E715" s="2">
        <v>1.0</v>
      </c>
      <c r="F715" s="2">
        <v>75.0</v>
      </c>
      <c r="G715" s="2">
        <v>219100.0</v>
      </c>
    </row>
    <row r="716" ht="14.25" customHeight="1">
      <c r="A716" s="2">
        <v>715.0</v>
      </c>
      <c r="B716" s="2" t="s">
        <v>2534</v>
      </c>
      <c r="C716" s="2" t="s">
        <v>3219</v>
      </c>
      <c r="D716" s="2">
        <v>188.0</v>
      </c>
      <c r="E716" s="2">
        <v>1.0</v>
      </c>
      <c r="F716" s="2">
        <v>75.0</v>
      </c>
      <c r="G716" s="2">
        <v>218700.0</v>
      </c>
    </row>
    <row r="717" ht="14.25" customHeight="1">
      <c r="A717" s="2">
        <v>716.0</v>
      </c>
      <c r="B717" s="2" t="s">
        <v>2541</v>
      </c>
      <c r="C717" s="2" t="s">
        <v>3220</v>
      </c>
      <c r="D717" s="2">
        <v>195.0</v>
      </c>
      <c r="E717" s="2">
        <v>1.0</v>
      </c>
      <c r="F717" s="2">
        <v>100.0</v>
      </c>
      <c r="G717" s="2">
        <v>218600.0</v>
      </c>
    </row>
    <row r="718" ht="14.25" customHeight="1">
      <c r="A718" s="2">
        <v>717.0</v>
      </c>
      <c r="B718" s="2" t="s">
        <v>2558</v>
      </c>
      <c r="C718" s="2" t="s">
        <v>3221</v>
      </c>
      <c r="D718" s="2">
        <v>357.0</v>
      </c>
      <c r="E718" s="2">
        <v>1.0</v>
      </c>
      <c r="F718" s="2">
        <v>66.0</v>
      </c>
      <c r="G718" s="2">
        <v>218600.0</v>
      </c>
    </row>
    <row r="719" ht="14.25" customHeight="1">
      <c r="A719" s="2">
        <v>718.0</v>
      </c>
      <c r="B719" s="2" t="s">
        <v>2475</v>
      </c>
      <c r="C719" s="2" t="s">
        <v>3222</v>
      </c>
      <c r="D719" s="2">
        <v>143.0</v>
      </c>
      <c r="E719" s="2">
        <v>1.0</v>
      </c>
      <c r="F719" s="2">
        <v>50.0</v>
      </c>
      <c r="G719" s="2">
        <v>218500.0</v>
      </c>
    </row>
    <row r="720" ht="14.25" customHeight="1">
      <c r="A720" s="2">
        <v>719.0</v>
      </c>
      <c r="B720" s="2" t="s">
        <v>2534</v>
      </c>
      <c r="C720" s="2" t="s">
        <v>3223</v>
      </c>
      <c r="D720" s="2">
        <v>188.0</v>
      </c>
      <c r="E720" s="2">
        <v>1.0</v>
      </c>
      <c r="F720" s="2">
        <v>125.0</v>
      </c>
      <c r="G720" s="2">
        <v>218500.0</v>
      </c>
    </row>
    <row r="721" ht="14.25" customHeight="1">
      <c r="A721" s="2">
        <v>720.0</v>
      </c>
      <c r="B721" s="2" t="s">
        <v>2477</v>
      </c>
      <c r="C721" s="2" t="s">
        <v>3224</v>
      </c>
      <c r="D721" s="2">
        <v>152.0</v>
      </c>
      <c r="E721" s="2">
        <v>1.0</v>
      </c>
      <c r="F721" s="2">
        <v>75.0</v>
      </c>
      <c r="G721" s="2">
        <v>218200.0</v>
      </c>
    </row>
    <row r="722" ht="14.25" customHeight="1">
      <c r="A722" s="2">
        <v>721.0</v>
      </c>
      <c r="B722" s="2" t="s">
        <v>2558</v>
      </c>
      <c r="C722" s="2" t="s">
        <v>3225</v>
      </c>
      <c r="D722" s="2">
        <v>357.0</v>
      </c>
      <c r="E722" s="2">
        <v>1.0</v>
      </c>
      <c r="F722" s="2">
        <v>132.0</v>
      </c>
      <c r="G722" s="2">
        <v>218200.0</v>
      </c>
    </row>
    <row r="723" ht="14.25" customHeight="1">
      <c r="A723" s="2">
        <v>722.0</v>
      </c>
      <c r="B723" s="2" t="s">
        <v>2475</v>
      </c>
      <c r="C723" s="2" t="s">
        <v>3226</v>
      </c>
      <c r="D723" s="2">
        <v>143.0</v>
      </c>
      <c r="E723" s="2">
        <v>1.0</v>
      </c>
      <c r="F723" s="2">
        <v>150.0</v>
      </c>
      <c r="G723" s="2">
        <v>218100.0</v>
      </c>
    </row>
    <row r="724" ht="14.25" customHeight="1">
      <c r="A724" s="2">
        <v>723.0</v>
      </c>
      <c r="B724" s="2" t="s">
        <v>2497</v>
      </c>
      <c r="C724" s="2" t="s">
        <v>3227</v>
      </c>
      <c r="D724" s="2">
        <v>151.0</v>
      </c>
      <c r="E724" s="2">
        <v>1.0</v>
      </c>
      <c r="F724" s="2">
        <v>75.0</v>
      </c>
      <c r="G724" s="2">
        <v>218000.0</v>
      </c>
    </row>
    <row r="725" ht="14.25" customHeight="1">
      <c r="A725" s="2">
        <v>724.0</v>
      </c>
      <c r="B725" s="2" t="s">
        <v>2744</v>
      </c>
      <c r="C725" s="2" t="s">
        <v>3228</v>
      </c>
      <c r="D725" s="2">
        <v>169.0</v>
      </c>
      <c r="E725" s="2">
        <v>1.0</v>
      </c>
      <c r="F725" s="2">
        <v>80.0</v>
      </c>
      <c r="G725" s="2">
        <v>218000.0</v>
      </c>
    </row>
    <row r="726" ht="14.25" customHeight="1">
      <c r="A726" s="2">
        <v>725.0</v>
      </c>
      <c r="B726" s="2" t="s">
        <v>2512</v>
      </c>
      <c r="C726" s="2" t="s">
        <v>3229</v>
      </c>
      <c r="D726" s="2">
        <v>153.0</v>
      </c>
      <c r="E726" s="2">
        <v>1.0</v>
      </c>
      <c r="F726" s="2">
        <v>65.0</v>
      </c>
      <c r="G726" s="2">
        <v>217900.0</v>
      </c>
    </row>
    <row r="727" ht="14.25" customHeight="1">
      <c r="A727" s="2">
        <v>726.0</v>
      </c>
      <c r="B727" s="2" t="s">
        <v>2475</v>
      </c>
      <c r="C727" s="2" t="s">
        <v>3230</v>
      </c>
      <c r="D727" s="2">
        <v>143.0</v>
      </c>
      <c r="E727" s="2">
        <v>1.0</v>
      </c>
      <c r="F727" s="2">
        <v>50.0</v>
      </c>
      <c r="G727" s="2">
        <v>217700.0</v>
      </c>
    </row>
    <row r="728" ht="14.25" customHeight="1">
      <c r="A728" s="2">
        <v>727.0</v>
      </c>
      <c r="B728" s="2" t="s">
        <v>2479</v>
      </c>
      <c r="C728" s="2" t="s">
        <v>3231</v>
      </c>
      <c r="D728" s="2">
        <v>182.0</v>
      </c>
      <c r="E728" s="2">
        <v>1.0</v>
      </c>
      <c r="F728" s="2">
        <v>50.0</v>
      </c>
      <c r="G728" s="2">
        <v>217700.0</v>
      </c>
    </row>
    <row r="729" ht="14.25" customHeight="1">
      <c r="A729" s="2">
        <v>728.0</v>
      </c>
      <c r="B729" s="2" t="s">
        <v>2497</v>
      </c>
      <c r="C729" s="2" t="s">
        <v>3232</v>
      </c>
      <c r="D729" s="2">
        <v>151.0</v>
      </c>
      <c r="E729" s="2">
        <v>1.0</v>
      </c>
      <c r="F729" s="2">
        <v>75.0</v>
      </c>
      <c r="G729" s="2">
        <v>217200.0</v>
      </c>
    </row>
    <row r="730" ht="14.25" customHeight="1">
      <c r="A730" s="2">
        <v>729.0</v>
      </c>
      <c r="B730" s="2" t="s">
        <v>2507</v>
      </c>
      <c r="C730" s="2" t="s">
        <v>3233</v>
      </c>
      <c r="D730" s="2">
        <v>205.0</v>
      </c>
      <c r="E730" s="2">
        <v>1.0</v>
      </c>
      <c r="F730" s="2">
        <v>100.0</v>
      </c>
      <c r="G730" s="2">
        <v>217200.0</v>
      </c>
    </row>
    <row r="731" ht="14.25" customHeight="1">
      <c r="A731" s="2">
        <v>730.0</v>
      </c>
      <c r="B731" s="2" t="s">
        <v>2518</v>
      </c>
      <c r="C731" s="2" t="s">
        <v>3234</v>
      </c>
      <c r="D731" s="2">
        <v>161.0</v>
      </c>
      <c r="E731" s="2">
        <v>1.0</v>
      </c>
      <c r="F731" s="2">
        <v>250.0</v>
      </c>
      <c r="G731" s="2">
        <v>217100.0</v>
      </c>
    </row>
    <row r="732" ht="14.25" customHeight="1">
      <c r="A732" s="2">
        <v>731.0</v>
      </c>
      <c r="B732" s="2" t="s">
        <v>2534</v>
      </c>
      <c r="C732" s="2" t="s">
        <v>3235</v>
      </c>
      <c r="D732" s="2">
        <v>188.0</v>
      </c>
      <c r="E732" s="2">
        <v>1.0</v>
      </c>
      <c r="F732" s="2">
        <v>100.0</v>
      </c>
      <c r="G732" s="2">
        <v>217100.0</v>
      </c>
    </row>
    <row r="733" ht="14.25" customHeight="1">
      <c r="A733" s="2">
        <v>732.0</v>
      </c>
      <c r="B733" s="2" t="s">
        <v>2558</v>
      </c>
      <c r="C733" s="2" t="s">
        <v>3236</v>
      </c>
      <c r="D733" s="2">
        <v>357.0</v>
      </c>
      <c r="E733" s="2">
        <v>1.0</v>
      </c>
      <c r="F733" s="2">
        <v>60.0</v>
      </c>
      <c r="G733" s="2">
        <v>216800.0</v>
      </c>
    </row>
    <row r="734" ht="14.25" customHeight="1">
      <c r="A734" s="2">
        <v>733.0</v>
      </c>
      <c r="B734" s="2" t="s">
        <v>2534</v>
      </c>
      <c r="C734" s="2" t="s">
        <v>3237</v>
      </c>
      <c r="D734" s="2">
        <v>188.0</v>
      </c>
      <c r="E734" s="2">
        <v>1.0</v>
      </c>
      <c r="F734" s="2">
        <v>75.0</v>
      </c>
      <c r="G734" s="2">
        <v>216700.0</v>
      </c>
    </row>
    <row r="735" ht="14.25" customHeight="1">
      <c r="A735" s="2">
        <v>734.0</v>
      </c>
      <c r="B735" s="2" t="s">
        <v>2541</v>
      </c>
      <c r="C735" s="2" t="s">
        <v>3238</v>
      </c>
      <c r="D735" s="2">
        <v>195.0</v>
      </c>
      <c r="E735" s="2">
        <v>1.0</v>
      </c>
      <c r="F735" s="2">
        <v>100.0</v>
      </c>
      <c r="G735" s="2">
        <v>216700.0</v>
      </c>
    </row>
    <row r="736" ht="14.25" customHeight="1">
      <c r="A736" s="2">
        <v>735.0</v>
      </c>
      <c r="B736" s="2" t="s">
        <v>2479</v>
      </c>
      <c r="C736" s="2" t="s">
        <v>3239</v>
      </c>
      <c r="D736" s="2">
        <v>182.0</v>
      </c>
      <c r="E736" s="2">
        <v>1.0</v>
      </c>
      <c r="F736" s="2">
        <v>100.0</v>
      </c>
      <c r="G736" s="2">
        <v>216600.0</v>
      </c>
    </row>
    <row r="737" ht="14.25" customHeight="1">
      <c r="A737" s="2">
        <v>736.0</v>
      </c>
      <c r="B737" s="2" t="s">
        <v>2518</v>
      </c>
      <c r="C737" s="2" t="s">
        <v>3240</v>
      </c>
      <c r="D737" s="2">
        <v>161.0</v>
      </c>
      <c r="E737" s="2">
        <v>1.0</v>
      </c>
      <c r="F737" s="2">
        <v>250.0</v>
      </c>
      <c r="G737" s="2">
        <v>216400.0</v>
      </c>
    </row>
    <row r="738" ht="14.25" customHeight="1">
      <c r="A738" s="2">
        <v>737.0</v>
      </c>
      <c r="B738" s="2" t="s">
        <v>2475</v>
      </c>
      <c r="C738" s="2" t="s">
        <v>3241</v>
      </c>
      <c r="D738" s="2">
        <v>143.0</v>
      </c>
      <c r="E738" s="2">
        <v>1.0</v>
      </c>
      <c r="F738" s="2">
        <v>85.0</v>
      </c>
      <c r="G738" s="2">
        <v>216300.0</v>
      </c>
    </row>
    <row r="739" ht="14.25" customHeight="1">
      <c r="A739" s="2">
        <v>738.0</v>
      </c>
      <c r="B739" s="2" t="s">
        <v>2497</v>
      </c>
      <c r="C739" s="2" t="s">
        <v>3242</v>
      </c>
      <c r="D739" s="2">
        <v>151.0</v>
      </c>
      <c r="E739" s="2">
        <v>1.0</v>
      </c>
      <c r="F739" s="2">
        <v>75.0</v>
      </c>
      <c r="G739" s="2">
        <v>216200.0</v>
      </c>
    </row>
    <row r="740" ht="14.25" customHeight="1">
      <c r="A740" s="2">
        <v>739.0</v>
      </c>
      <c r="B740" s="2" t="s">
        <v>2477</v>
      </c>
      <c r="C740" s="2" t="s">
        <v>3243</v>
      </c>
      <c r="D740" s="2">
        <v>152.0</v>
      </c>
      <c r="E740" s="2">
        <v>1.0</v>
      </c>
      <c r="F740" s="2">
        <v>200.0</v>
      </c>
      <c r="G740" s="2">
        <v>216200.0</v>
      </c>
    </row>
    <row r="741" ht="14.25" customHeight="1">
      <c r="A741" s="2">
        <v>740.0</v>
      </c>
      <c r="B741" s="2" t="s">
        <v>2501</v>
      </c>
      <c r="C741" s="2" t="s">
        <v>3244</v>
      </c>
      <c r="D741" s="2">
        <v>199.0</v>
      </c>
      <c r="E741" s="2">
        <v>1.0</v>
      </c>
      <c r="F741" s="2">
        <v>100.0</v>
      </c>
      <c r="G741" s="2">
        <v>216200.0</v>
      </c>
    </row>
    <row r="742" ht="14.25" customHeight="1">
      <c r="A742" s="2">
        <v>741.0</v>
      </c>
      <c r="B742" s="2" t="s">
        <v>2477</v>
      </c>
      <c r="C742" s="2" t="s">
        <v>3245</v>
      </c>
      <c r="D742" s="2">
        <v>152.0</v>
      </c>
      <c r="E742" s="2">
        <v>1.0</v>
      </c>
      <c r="F742" s="2">
        <v>118.0</v>
      </c>
      <c r="G742" s="2">
        <v>216100.0</v>
      </c>
    </row>
    <row r="743" ht="14.25" customHeight="1">
      <c r="A743" s="2">
        <v>742.0</v>
      </c>
      <c r="B743" s="2" t="s">
        <v>2561</v>
      </c>
      <c r="C743" s="2" t="s">
        <v>3246</v>
      </c>
      <c r="D743" s="2">
        <v>162.0</v>
      </c>
      <c r="E743" s="2">
        <v>1.0</v>
      </c>
      <c r="F743" s="2">
        <v>60.0</v>
      </c>
      <c r="G743" s="2">
        <v>216100.0</v>
      </c>
    </row>
    <row r="744" ht="14.25" customHeight="1">
      <c r="A744" s="2">
        <v>743.0</v>
      </c>
      <c r="B744" s="2" t="s">
        <v>2744</v>
      </c>
      <c r="C744" s="2" t="s">
        <v>3247</v>
      </c>
      <c r="D744" s="2">
        <v>169.0</v>
      </c>
      <c r="E744" s="2">
        <v>1.0</v>
      </c>
      <c r="F744" s="2">
        <v>100.0</v>
      </c>
      <c r="G744" s="2">
        <v>216100.0</v>
      </c>
    </row>
    <row r="745" ht="14.25" customHeight="1">
      <c r="A745" s="2">
        <v>744.0</v>
      </c>
      <c r="B745" s="2" t="s">
        <v>2501</v>
      </c>
      <c r="C745" s="2" t="s">
        <v>3248</v>
      </c>
      <c r="D745" s="2">
        <v>199.0</v>
      </c>
      <c r="E745" s="2">
        <v>1.0</v>
      </c>
      <c r="F745" s="2">
        <v>66.0</v>
      </c>
      <c r="G745" s="2">
        <v>216100.0</v>
      </c>
    </row>
    <row r="746" ht="14.25" customHeight="1">
      <c r="A746" s="2">
        <v>745.0</v>
      </c>
      <c r="B746" s="2" t="s">
        <v>2945</v>
      </c>
      <c r="C746" s="2" t="s">
        <v>3249</v>
      </c>
      <c r="D746" s="2">
        <v>619.0</v>
      </c>
      <c r="E746" s="2">
        <v>1.0</v>
      </c>
      <c r="F746" s="2">
        <v>60.0</v>
      </c>
      <c r="G746" s="2">
        <v>216100.0</v>
      </c>
    </row>
    <row r="747" ht="14.25" customHeight="1">
      <c r="A747" s="2">
        <v>746.0</v>
      </c>
      <c r="B747" s="2" t="s">
        <v>2503</v>
      </c>
      <c r="C747" s="2" t="s">
        <v>3250</v>
      </c>
      <c r="D747" s="2">
        <v>105.0</v>
      </c>
      <c r="E747" s="2">
        <v>1.0</v>
      </c>
      <c r="F747" s="2">
        <v>100.0</v>
      </c>
      <c r="G747" s="2">
        <v>215900.0</v>
      </c>
    </row>
    <row r="748" ht="14.25" customHeight="1">
      <c r="A748" s="2">
        <v>747.0</v>
      </c>
      <c r="B748" s="2" t="s">
        <v>2491</v>
      </c>
      <c r="C748" s="2" t="s">
        <v>3251</v>
      </c>
      <c r="D748" s="2">
        <v>116.0</v>
      </c>
      <c r="E748" s="2">
        <v>1.0</v>
      </c>
      <c r="F748" s="2">
        <v>100.0</v>
      </c>
      <c r="G748" s="2">
        <v>215900.0</v>
      </c>
    </row>
    <row r="749" ht="14.25" customHeight="1">
      <c r="A749" s="2">
        <v>748.0</v>
      </c>
      <c r="B749" s="2" t="s">
        <v>2488</v>
      </c>
      <c r="C749" s="2" t="s">
        <v>3252</v>
      </c>
      <c r="D749" s="2">
        <v>333.0</v>
      </c>
      <c r="E749" s="2">
        <v>1.0</v>
      </c>
      <c r="F749" s="2">
        <v>80.0</v>
      </c>
      <c r="G749" s="2">
        <v>215900.0</v>
      </c>
    </row>
    <row r="750" ht="14.25" customHeight="1">
      <c r="A750" s="2">
        <v>749.0</v>
      </c>
      <c r="B750" s="2" t="s">
        <v>2505</v>
      </c>
      <c r="C750" s="2" t="s">
        <v>3253</v>
      </c>
      <c r="D750" s="2">
        <v>429.0</v>
      </c>
      <c r="E750" s="2">
        <v>1.0</v>
      </c>
      <c r="F750" s="2">
        <v>100.0</v>
      </c>
      <c r="G750" s="2">
        <v>215900.0</v>
      </c>
    </row>
    <row r="751" ht="14.25" customHeight="1">
      <c r="A751" s="2">
        <v>750.0</v>
      </c>
      <c r="B751" s="2" t="s">
        <v>2561</v>
      </c>
      <c r="C751" s="2" t="s">
        <v>3254</v>
      </c>
      <c r="D751" s="2">
        <v>162.0</v>
      </c>
      <c r="E751" s="2">
        <v>1.0</v>
      </c>
      <c r="F751" s="2">
        <v>150.0</v>
      </c>
      <c r="G751" s="2">
        <v>215800.0</v>
      </c>
    </row>
    <row r="752" ht="14.25" customHeight="1">
      <c r="A752" s="2">
        <v>751.0</v>
      </c>
      <c r="B752" s="2" t="s">
        <v>2636</v>
      </c>
      <c r="C752" s="2" t="s">
        <v>3255</v>
      </c>
      <c r="D752" s="2">
        <v>145.0</v>
      </c>
      <c r="E752" s="2">
        <v>1.0</v>
      </c>
      <c r="F752" s="2">
        <v>130.0</v>
      </c>
      <c r="G752" s="2">
        <v>215600.0</v>
      </c>
    </row>
    <row r="753" ht="14.25" customHeight="1">
      <c r="A753" s="2">
        <v>752.0</v>
      </c>
      <c r="B753" s="2" t="s">
        <v>2518</v>
      </c>
      <c r="C753" s="2" t="s">
        <v>3256</v>
      </c>
      <c r="D753" s="2">
        <v>161.0</v>
      </c>
      <c r="E753" s="2">
        <v>1.0</v>
      </c>
      <c r="F753" s="2">
        <v>75.0</v>
      </c>
      <c r="G753" s="2">
        <v>215600.0</v>
      </c>
    </row>
    <row r="754" ht="14.25" customHeight="1">
      <c r="A754" s="2">
        <v>753.0</v>
      </c>
      <c r="B754" s="2" t="s">
        <v>2744</v>
      </c>
      <c r="C754" s="2" t="s">
        <v>3257</v>
      </c>
      <c r="D754" s="2">
        <v>169.0</v>
      </c>
      <c r="E754" s="2">
        <v>1.0</v>
      </c>
      <c r="F754" s="2">
        <v>100.0</v>
      </c>
      <c r="G754" s="2">
        <v>215500.0</v>
      </c>
    </row>
    <row r="755" ht="14.25" customHeight="1">
      <c r="A755" s="2">
        <v>754.0</v>
      </c>
      <c r="B755" s="2" t="s">
        <v>2594</v>
      </c>
      <c r="C755" s="2" t="s">
        <v>3258</v>
      </c>
      <c r="D755" s="2">
        <v>184.0</v>
      </c>
      <c r="E755" s="2">
        <v>1.0</v>
      </c>
      <c r="F755" s="2">
        <v>85.0</v>
      </c>
      <c r="G755" s="2">
        <v>215500.0</v>
      </c>
    </row>
    <row r="756" ht="14.25" customHeight="1">
      <c r="A756" s="2">
        <v>755.0</v>
      </c>
      <c r="B756" s="2" t="s">
        <v>2651</v>
      </c>
      <c r="C756" s="2" t="s">
        <v>3259</v>
      </c>
      <c r="D756" s="2">
        <v>347.0</v>
      </c>
      <c r="E756" s="2">
        <v>1.0</v>
      </c>
      <c r="F756" s="2">
        <v>90.0</v>
      </c>
      <c r="G756" s="2">
        <v>215400.0</v>
      </c>
    </row>
    <row r="757" ht="14.25" customHeight="1">
      <c r="A757" s="2">
        <v>756.0</v>
      </c>
      <c r="B757" s="2" t="s">
        <v>2558</v>
      </c>
      <c r="C757" s="2" t="s">
        <v>3260</v>
      </c>
      <c r="D757" s="2">
        <v>357.0</v>
      </c>
      <c r="E757" s="2">
        <v>1.0</v>
      </c>
      <c r="F757" s="2">
        <v>90.0</v>
      </c>
      <c r="G757" s="2">
        <v>215300.0</v>
      </c>
    </row>
    <row r="758" ht="14.25" customHeight="1">
      <c r="A758" s="2">
        <v>757.0</v>
      </c>
      <c r="B758" s="2" t="s">
        <v>2505</v>
      </c>
      <c r="C758" s="2" t="s">
        <v>3261</v>
      </c>
      <c r="D758" s="2">
        <v>429.0</v>
      </c>
      <c r="E758" s="2">
        <v>1.0</v>
      </c>
      <c r="F758" s="2">
        <v>50.0</v>
      </c>
      <c r="G758" s="2">
        <v>215300.0</v>
      </c>
    </row>
    <row r="759" ht="14.25" customHeight="1">
      <c r="A759" s="2">
        <v>758.0</v>
      </c>
      <c r="B759" s="2" t="s">
        <v>2571</v>
      </c>
      <c r="C759" s="2" t="s">
        <v>3262</v>
      </c>
      <c r="D759" s="2">
        <v>185.0</v>
      </c>
      <c r="E759" s="2">
        <v>1.0</v>
      </c>
      <c r="F759" s="2">
        <v>75.0</v>
      </c>
      <c r="G759" s="2">
        <v>215200.0</v>
      </c>
    </row>
    <row r="760" ht="14.25" customHeight="1">
      <c r="A760" s="2">
        <v>759.0</v>
      </c>
      <c r="B760" s="2" t="s">
        <v>2501</v>
      </c>
      <c r="C760" s="2" t="s">
        <v>3263</v>
      </c>
      <c r="D760" s="2">
        <v>199.0</v>
      </c>
      <c r="E760" s="2">
        <v>1.0</v>
      </c>
      <c r="F760" s="2">
        <v>66.0</v>
      </c>
      <c r="G760" s="2">
        <v>215200.0</v>
      </c>
    </row>
    <row r="761" ht="14.25" customHeight="1">
      <c r="A761" s="2">
        <v>760.0</v>
      </c>
      <c r="B761" s="2" t="s">
        <v>2549</v>
      </c>
      <c r="C761" s="2" t="s">
        <v>3264</v>
      </c>
      <c r="D761" s="2">
        <v>115.0</v>
      </c>
      <c r="E761" s="2">
        <v>1.0</v>
      </c>
      <c r="F761" s="2">
        <v>105.0</v>
      </c>
      <c r="G761" s="2">
        <v>215100.0</v>
      </c>
    </row>
    <row r="762" ht="14.25" customHeight="1">
      <c r="A762" s="2">
        <v>761.0</v>
      </c>
      <c r="B762" s="2" t="s">
        <v>2512</v>
      </c>
      <c r="C762" s="2" t="s">
        <v>3265</v>
      </c>
      <c r="D762" s="2">
        <v>153.0</v>
      </c>
      <c r="E762" s="2">
        <v>1.0</v>
      </c>
      <c r="F762" s="2">
        <v>100.0</v>
      </c>
      <c r="G762" s="2">
        <v>215100.0</v>
      </c>
    </row>
    <row r="763" ht="14.25" customHeight="1">
      <c r="A763" s="2">
        <v>762.0</v>
      </c>
      <c r="B763" s="2" t="s">
        <v>2488</v>
      </c>
      <c r="C763" s="2" t="s">
        <v>3266</v>
      </c>
      <c r="D763" s="2">
        <v>333.0</v>
      </c>
      <c r="E763" s="2">
        <v>1.0</v>
      </c>
      <c r="F763" s="2">
        <v>80.0</v>
      </c>
      <c r="G763" s="2">
        <v>215100.0</v>
      </c>
    </row>
    <row r="764" ht="14.25" customHeight="1">
      <c r="A764" s="2">
        <v>763.0</v>
      </c>
      <c r="B764" s="2" t="s">
        <v>2576</v>
      </c>
      <c r="C764" s="2" t="s">
        <v>3267</v>
      </c>
      <c r="D764" s="2">
        <v>197.0</v>
      </c>
      <c r="E764" s="2">
        <v>1.0</v>
      </c>
      <c r="F764" s="2">
        <v>132.0</v>
      </c>
      <c r="G764" s="2">
        <v>215000.0</v>
      </c>
    </row>
    <row r="765" ht="14.25" customHeight="1">
      <c r="A765" s="2">
        <v>764.0</v>
      </c>
      <c r="B765" s="2" t="s">
        <v>2488</v>
      </c>
      <c r="C765" s="2" t="s">
        <v>3268</v>
      </c>
      <c r="D765" s="2">
        <v>333.0</v>
      </c>
      <c r="E765" s="2">
        <v>1.0</v>
      </c>
      <c r="F765" s="2">
        <v>90.0</v>
      </c>
      <c r="G765" s="2">
        <v>215000.0</v>
      </c>
    </row>
    <row r="766" ht="14.25" customHeight="1">
      <c r="A766" s="2">
        <v>765.0</v>
      </c>
      <c r="B766" s="2" t="s">
        <v>2503</v>
      </c>
      <c r="C766" s="2" t="s">
        <v>3269</v>
      </c>
      <c r="D766" s="2">
        <v>105.0</v>
      </c>
      <c r="E766" s="2">
        <v>1.0</v>
      </c>
      <c r="F766" s="2">
        <v>100.0</v>
      </c>
      <c r="G766" s="2">
        <v>214800.0</v>
      </c>
    </row>
    <row r="767" ht="14.25" customHeight="1">
      <c r="A767" s="2">
        <v>766.0</v>
      </c>
      <c r="B767" s="2" t="s">
        <v>2475</v>
      </c>
      <c r="C767" s="2" t="s">
        <v>3270</v>
      </c>
      <c r="D767" s="2">
        <v>143.0</v>
      </c>
      <c r="E767" s="2">
        <v>1.0</v>
      </c>
      <c r="F767" s="2">
        <v>120.0</v>
      </c>
      <c r="G767" s="2">
        <v>214700.0</v>
      </c>
    </row>
    <row r="768" ht="14.25" customHeight="1">
      <c r="A768" s="2">
        <v>767.0</v>
      </c>
      <c r="B768" s="2" t="s">
        <v>2945</v>
      </c>
      <c r="C768" s="2" t="s">
        <v>3271</v>
      </c>
      <c r="D768" s="2">
        <v>619.0</v>
      </c>
      <c r="E768" s="2">
        <v>1.0</v>
      </c>
      <c r="F768" s="2">
        <v>60.0</v>
      </c>
      <c r="G768" s="2">
        <v>214600.0</v>
      </c>
    </row>
    <row r="769" ht="14.25" customHeight="1">
      <c r="A769" s="2">
        <v>768.0</v>
      </c>
      <c r="B769" s="2" t="s">
        <v>2945</v>
      </c>
      <c r="C769" s="2" t="s">
        <v>3272</v>
      </c>
      <c r="D769" s="2">
        <v>619.0</v>
      </c>
      <c r="E769" s="2">
        <v>1.0</v>
      </c>
      <c r="F769" s="2">
        <v>60.0</v>
      </c>
      <c r="G769" s="2">
        <v>214600.0</v>
      </c>
    </row>
    <row r="770" ht="14.25" customHeight="1">
      <c r="A770" s="2">
        <v>769.0</v>
      </c>
      <c r="B770" s="2" t="s">
        <v>2541</v>
      </c>
      <c r="C770" s="2" t="s">
        <v>3273</v>
      </c>
      <c r="D770" s="2">
        <v>195.0</v>
      </c>
      <c r="E770" s="2">
        <v>1.0</v>
      </c>
      <c r="F770" s="2">
        <v>75.0</v>
      </c>
      <c r="G770" s="2">
        <v>214500.0</v>
      </c>
    </row>
    <row r="771" ht="14.25" customHeight="1">
      <c r="A771" s="2">
        <v>770.0</v>
      </c>
      <c r="B771" s="2" t="s">
        <v>2491</v>
      </c>
      <c r="C771" s="2" t="s">
        <v>3274</v>
      </c>
      <c r="D771" s="2">
        <v>116.0</v>
      </c>
      <c r="E771" s="2">
        <v>1.0</v>
      </c>
      <c r="F771" s="2">
        <v>80.0</v>
      </c>
      <c r="G771" s="2">
        <v>214400.0</v>
      </c>
    </row>
    <row r="772" ht="14.25" customHeight="1">
      <c r="A772" s="2">
        <v>771.0</v>
      </c>
      <c r="B772" s="2" t="s">
        <v>2582</v>
      </c>
      <c r="C772" s="2" t="s">
        <v>3275</v>
      </c>
      <c r="D772" s="2">
        <v>183.0</v>
      </c>
      <c r="E772" s="2">
        <v>1.0</v>
      </c>
      <c r="F772" s="2">
        <v>90.0</v>
      </c>
      <c r="G772" s="2">
        <v>214400.0</v>
      </c>
    </row>
    <row r="773" ht="14.25" customHeight="1">
      <c r="A773" s="2">
        <v>772.0</v>
      </c>
      <c r="B773" s="2" t="s">
        <v>2488</v>
      </c>
      <c r="C773" s="2" t="s">
        <v>3276</v>
      </c>
      <c r="D773" s="2">
        <v>333.0</v>
      </c>
      <c r="E773" s="2">
        <v>1.0</v>
      </c>
      <c r="F773" s="2">
        <v>120.0</v>
      </c>
      <c r="G773" s="2">
        <v>214400.0</v>
      </c>
    </row>
    <row r="774" ht="14.25" customHeight="1">
      <c r="A774" s="2">
        <v>773.0</v>
      </c>
      <c r="B774" s="2" t="s">
        <v>2582</v>
      </c>
      <c r="C774" s="2" t="s">
        <v>3277</v>
      </c>
      <c r="D774" s="2">
        <v>183.0</v>
      </c>
      <c r="E774" s="2">
        <v>1.0</v>
      </c>
      <c r="F774" s="2">
        <v>75.0</v>
      </c>
      <c r="G774" s="2">
        <v>214300.0</v>
      </c>
    </row>
    <row r="775" ht="14.25" customHeight="1">
      <c r="A775" s="2">
        <v>774.0</v>
      </c>
      <c r="B775" s="2" t="s">
        <v>2576</v>
      </c>
      <c r="C775" s="2" t="s">
        <v>3278</v>
      </c>
      <c r="D775" s="2">
        <v>197.0</v>
      </c>
      <c r="E775" s="2">
        <v>1.0</v>
      </c>
      <c r="F775" s="2">
        <v>132.0</v>
      </c>
      <c r="G775" s="2">
        <v>214100.0</v>
      </c>
    </row>
    <row r="776" ht="14.25" customHeight="1">
      <c r="A776" s="2">
        <v>775.0</v>
      </c>
      <c r="B776" s="2" t="s">
        <v>2945</v>
      </c>
      <c r="C776" s="2" t="s">
        <v>3279</v>
      </c>
      <c r="D776" s="2">
        <v>619.0</v>
      </c>
      <c r="E776" s="2">
        <v>1.0</v>
      </c>
      <c r="F776" s="2">
        <v>60.0</v>
      </c>
      <c r="G776" s="2">
        <v>214000.0</v>
      </c>
    </row>
    <row r="777" ht="14.25" customHeight="1">
      <c r="A777" s="2">
        <v>776.0</v>
      </c>
      <c r="B777" s="2" t="s">
        <v>2475</v>
      </c>
      <c r="C777" s="2" t="s">
        <v>3280</v>
      </c>
      <c r="D777" s="2">
        <v>143.0</v>
      </c>
      <c r="E777" s="2">
        <v>1.0</v>
      </c>
      <c r="F777" s="2">
        <v>50.0</v>
      </c>
      <c r="G777" s="2">
        <v>213900.0</v>
      </c>
    </row>
    <row r="778" ht="14.25" customHeight="1">
      <c r="A778" s="2">
        <v>777.0</v>
      </c>
      <c r="B778" s="2" t="s">
        <v>2477</v>
      </c>
      <c r="C778" s="2" t="s">
        <v>3281</v>
      </c>
      <c r="D778" s="2">
        <v>152.0</v>
      </c>
      <c r="E778" s="2">
        <v>1.0</v>
      </c>
      <c r="F778" s="2">
        <v>120.0</v>
      </c>
      <c r="G778" s="2">
        <v>213900.0</v>
      </c>
    </row>
    <row r="779" ht="14.25" customHeight="1">
      <c r="A779" s="2">
        <v>778.0</v>
      </c>
      <c r="B779" s="2" t="s">
        <v>2558</v>
      </c>
      <c r="C779" s="2" t="s">
        <v>3282</v>
      </c>
      <c r="D779" s="2">
        <v>357.0</v>
      </c>
      <c r="E779" s="2">
        <v>1.0</v>
      </c>
      <c r="F779" s="2">
        <v>80.0</v>
      </c>
      <c r="G779" s="2">
        <v>213900.0</v>
      </c>
    </row>
    <row r="780" ht="14.25" customHeight="1">
      <c r="A780" s="2">
        <v>779.0</v>
      </c>
      <c r="B780" s="2" t="s">
        <v>2524</v>
      </c>
      <c r="C780" s="2" t="s">
        <v>3283</v>
      </c>
      <c r="D780" s="2">
        <v>331.0</v>
      </c>
      <c r="E780" s="2">
        <v>1.0</v>
      </c>
      <c r="F780" s="2">
        <v>100.0</v>
      </c>
      <c r="G780" s="2">
        <v>213800.0</v>
      </c>
    </row>
    <row r="781" ht="14.25" customHeight="1">
      <c r="A781" s="2">
        <v>780.0</v>
      </c>
      <c r="B781" s="2" t="s">
        <v>2491</v>
      </c>
      <c r="C781" s="2" t="s">
        <v>3284</v>
      </c>
      <c r="D781" s="2">
        <v>116.0</v>
      </c>
      <c r="E781" s="2">
        <v>1.0</v>
      </c>
      <c r="F781" s="2">
        <v>100.0</v>
      </c>
      <c r="G781" s="2">
        <v>213700.0</v>
      </c>
    </row>
    <row r="782" ht="14.25" customHeight="1">
      <c r="A782" s="2">
        <v>781.0</v>
      </c>
      <c r="B782" s="2" t="s">
        <v>2475</v>
      </c>
      <c r="C782" s="2" t="s">
        <v>3285</v>
      </c>
      <c r="D782" s="2">
        <v>143.0</v>
      </c>
      <c r="E782" s="2">
        <v>1.0</v>
      </c>
      <c r="F782" s="2">
        <v>50.0</v>
      </c>
      <c r="G782" s="2">
        <v>213600.0</v>
      </c>
    </row>
    <row r="783" ht="14.25" customHeight="1">
      <c r="A783" s="2">
        <v>782.0</v>
      </c>
      <c r="B783" s="2" t="s">
        <v>2479</v>
      </c>
      <c r="C783" s="2" t="s">
        <v>3286</v>
      </c>
      <c r="D783" s="2">
        <v>182.0</v>
      </c>
      <c r="E783" s="2">
        <v>1.0</v>
      </c>
      <c r="F783" s="2">
        <v>100.0</v>
      </c>
      <c r="G783" s="2">
        <v>213600.0</v>
      </c>
    </row>
    <row r="784" ht="14.25" customHeight="1">
      <c r="A784" s="2">
        <v>783.0</v>
      </c>
      <c r="B784" s="2" t="s">
        <v>2488</v>
      </c>
      <c r="C784" s="2" t="s">
        <v>3287</v>
      </c>
      <c r="D784" s="2">
        <v>333.0</v>
      </c>
      <c r="E784" s="2">
        <v>1.0</v>
      </c>
      <c r="F784" s="2">
        <v>70.0</v>
      </c>
      <c r="G784" s="2">
        <v>213500.0</v>
      </c>
    </row>
    <row r="785" ht="14.25" customHeight="1">
      <c r="A785" s="2">
        <v>784.0</v>
      </c>
      <c r="B785" s="2" t="s">
        <v>2571</v>
      </c>
      <c r="C785" s="2" t="s">
        <v>3288</v>
      </c>
      <c r="D785" s="2">
        <v>185.0</v>
      </c>
      <c r="E785" s="2">
        <v>1.0</v>
      </c>
      <c r="F785" s="2">
        <v>100.0</v>
      </c>
      <c r="G785" s="2">
        <v>213200.0</v>
      </c>
    </row>
    <row r="786" ht="14.25" customHeight="1">
      <c r="A786" s="2">
        <v>785.0</v>
      </c>
      <c r="B786" s="2" t="s">
        <v>2488</v>
      </c>
      <c r="C786" s="2" t="s">
        <v>3289</v>
      </c>
      <c r="D786" s="2">
        <v>333.0</v>
      </c>
      <c r="E786" s="2">
        <v>1.0</v>
      </c>
      <c r="F786" s="2">
        <v>90.0</v>
      </c>
      <c r="G786" s="2">
        <v>213200.0</v>
      </c>
    </row>
    <row r="787" ht="14.25" customHeight="1">
      <c r="A787" s="2">
        <v>786.0</v>
      </c>
      <c r="B787" s="2" t="s">
        <v>2621</v>
      </c>
      <c r="C787" s="2" t="s">
        <v>3290</v>
      </c>
      <c r="D787" s="2">
        <v>403.0</v>
      </c>
      <c r="E787" s="2">
        <v>1.0</v>
      </c>
      <c r="F787" s="2">
        <v>100.0</v>
      </c>
      <c r="G787" s="2">
        <v>213200.0</v>
      </c>
    </row>
    <row r="788" ht="14.25" customHeight="1">
      <c r="A788" s="2">
        <v>787.0</v>
      </c>
      <c r="B788" s="2" t="s">
        <v>2477</v>
      </c>
      <c r="C788" s="2" t="s">
        <v>3291</v>
      </c>
      <c r="D788" s="2">
        <v>152.0</v>
      </c>
      <c r="E788" s="2">
        <v>1.0</v>
      </c>
      <c r="F788" s="2">
        <v>80.0</v>
      </c>
      <c r="G788" s="2">
        <v>213100.0</v>
      </c>
    </row>
    <row r="789" ht="14.25" customHeight="1">
      <c r="A789" s="2">
        <v>788.0</v>
      </c>
      <c r="B789" s="2" t="s">
        <v>2518</v>
      </c>
      <c r="C789" s="2" t="s">
        <v>3292</v>
      </c>
      <c r="D789" s="2">
        <v>161.0</v>
      </c>
      <c r="E789" s="2">
        <v>1.0</v>
      </c>
      <c r="F789" s="2">
        <v>120.0</v>
      </c>
      <c r="G789" s="2">
        <v>213100.0</v>
      </c>
    </row>
    <row r="790" ht="14.25" customHeight="1">
      <c r="A790" s="2">
        <v>789.0</v>
      </c>
      <c r="B790" s="2" t="s">
        <v>2576</v>
      </c>
      <c r="C790" s="2" t="s">
        <v>3293</v>
      </c>
      <c r="D790" s="2">
        <v>197.0</v>
      </c>
      <c r="E790" s="2">
        <v>1.0</v>
      </c>
      <c r="F790" s="2">
        <v>50.0</v>
      </c>
      <c r="G790" s="2">
        <v>213100.0</v>
      </c>
    </row>
    <row r="791" ht="14.25" customHeight="1">
      <c r="A791" s="2">
        <v>790.0</v>
      </c>
      <c r="B791" s="2" t="s">
        <v>2488</v>
      </c>
      <c r="C791" s="2" t="s">
        <v>3294</v>
      </c>
      <c r="D791" s="2">
        <v>333.0</v>
      </c>
      <c r="E791" s="2">
        <v>1.0</v>
      </c>
      <c r="F791" s="2">
        <v>54.0</v>
      </c>
      <c r="G791" s="2">
        <v>213100.0</v>
      </c>
    </row>
    <row r="792" ht="14.25" customHeight="1">
      <c r="A792" s="2">
        <v>791.0</v>
      </c>
      <c r="B792" s="2" t="s">
        <v>2488</v>
      </c>
      <c r="C792" s="2" t="s">
        <v>3295</v>
      </c>
      <c r="D792" s="2">
        <v>333.0</v>
      </c>
      <c r="E792" s="2">
        <v>1.0</v>
      </c>
      <c r="F792" s="2">
        <v>75.0</v>
      </c>
      <c r="G792" s="2">
        <v>213100.0</v>
      </c>
    </row>
    <row r="793" ht="14.25" customHeight="1">
      <c r="A793" s="2">
        <v>792.0</v>
      </c>
      <c r="B793" s="2" t="s">
        <v>2558</v>
      </c>
      <c r="C793" s="2" t="s">
        <v>3296</v>
      </c>
      <c r="D793" s="2">
        <v>357.0</v>
      </c>
      <c r="E793" s="2">
        <v>1.0</v>
      </c>
      <c r="F793" s="2">
        <v>85.0</v>
      </c>
      <c r="G793" s="2">
        <v>213000.0</v>
      </c>
    </row>
    <row r="794" ht="14.25" customHeight="1">
      <c r="A794" s="2">
        <v>793.0</v>
      </c>
      <c r="B794" s="2" t="s">
        <v>2475</v>
      </c>
      <c r="C794" s="2" t="s">
        <v>3297</v>
      </c>
      <c r="D794" s="2">
        <v>143.0</v>
      </c>
      <c r="E794" s="2">
        <v>1.0</v>
      </c>
      <c r="F794" s="2">
        <v>85.0</v>
      </c>
      <c r="G794" s="2">
        <v>212700.0</v>
      </c>
    </row>
    <row r="795" ht="14.25" customHeight="1">
      <c r="A795" s="2">
        <v>794.0</v>
      </c>
      <c r="B795" s="2" t="s">
        <v>2534</v>
      </c>
      <c r="C795" s="2" t="s">
        <v>3298</v>
      </c>
      <c r="D795" s="2">
        <v>188.0</v>
      </c>
      <c r="E795" s="2">
        <v>1.0</v>
      </c>
      <c r="F795" s="2">
        <v>50.0</v>
      </c>
      <c r="G795" s="2">
        <v>212700.0</v>
      </c>
    </row>
    <row r="796" ht="14.25" customHeight="1">
      <c r="A796" s="2">
        <v>795.0</v>
      </c>
      <c r="B796" s="2" t="s">
        <v>2488</v>
      </c>
      <c r="C796" s="2" t="s">
        <v>3299</v>
      </c>
      <c r="D796" s="2">
        <v>333.0</v>
      </c>
      <c r="E796" s="2">
        <v>1.0</v>
      </c>
      <c r="F796" s="2">
        <v>75.0</v>
      </c>
      <c r="G796" s="2">
        <v>212700.0</v>
      </c>
    </row>
    <row r="797" ht="14.25" customHeight="1">
      <c r="A797" s="2">
        <v>796.0</v>
      </c>
      <c r="B797" s="2" t="s">
        <v>2576</v>
      </c>
      <c r="C797" s="2" t="s">
        <v>3300</v>
      </c>
      <c r="D797" s="2">
        <v>197.0</v>
      </c>
      <c r="E797" s="2">
        <v>1.0</v>
      </c>
      <c r="F797" s="2">
        <v>100.0</v>
      </c>
      <c r="G797" s="2">
        <v>212600.0</v>
      </c>
    </row>
    <row r="798" ht="14.25" customHeight="1">
      <c r="A798" s="2">
        <v>797.0</v>
      </c>
      <c r="B798" s="2" t="s">
        <v>2503</v>
      </c>
      <c r="C798" s="2" t="s">
        <v>3301</v>
      </c>
      <c r="D798" s="2">
        <v>105.0</v>
      </c>
      <c r="E798" s="2">
        <v>1.0</v>
      </c>
      <c r="F798" s="2">
        <v>60.0</v>
      </c>
      <c r="G798" s="2">
        <v>212500.0</v>
      </c>
    </row>
    <row r="799" ht="14.25" customHeight="1">
      <c r="A799" s="2">
        <v>798.0</v>
      </c>
      <c r="B799" s="2" t="s">
        <v>2561</v>
      </c>
      <c r="C799" s="2" t="s">
        <v>3302</v>
      </c>
      <c r="D799" s="2">
        <v>162.0</v>
      </c>
      <c r="E799" s="2">
        <v>1.0</v>
      </c>
      <c r="F799" s="2">
        <v>130.0</v>
      </c>
      <c r="G799" s="2">
        <v>212400.0</v>
      </c>
    </row>
    <row r="800" ht="14.25" customHeight="1">
      <c r="A800" s="2">
        <v>799.0</v>
      </c>
      <c r="B800" s="2" t="s">
        <v>2479</v>
      </c>
      <c r="C800" s="2" t="s">
        <v>3303</v>
      </c>
      <c r="D800" s="2">
        <v>182.0</v>
      </c>
      <c r="E800" s="2">
        <v>1.0</v>
      </c>
      <c r="F800" s="2">
        <v>60.0</v>
      </c>
      <c r="G800" s="2">
        <v>212400.0</v>
      </c>
    </row>
    <row r="801" ht="14.25" customHeight="1">
      <c r="A801" s="2">
        <v>800.0</v>
      </c>
      <c r="B801" s="2" t="s">
        <v>2582</v>
      </c>
      <c r="C801" s="2" t="s">
        <v>3304</v>
      </c>
      <c r="D801" s="2">
        <v>183.0</v>
      </c>
      <c r="E801" s="2">
        <v>1.0</v>
      </c>
      <c r="F801" s="2">
        <v>100.0</v>
      </c>
      <c r="G801" s="2">
        <v>212400.0</v>
      </c>
    </row>
    <row r="802" ht="14.25" customHeight="1">
      <c r="A802" s="2">
        <v>801.0</v>
      </c>
      <c r="B802" s="2" t="s">
        <v>2524</v>
      </c>
      <c r="C802" s="2" t="s">
        <v>3305</v>
      </c>
      <c r="D802" s="2">
        <v>331.0</v>
      </c>
      <c r="E802" s="2">
        <v>1.0</v>
      </c>
      <c r="F802" s="2">
        <v>80.0</v>
      </c>
      <c r="G802" s="2">
        <v>212400.0</v>
      </c>
    </row>
    <row r="803" ht="14.25" customHeight="1">
      <c r="A803" s="2">
        <v>802.0</v>
      </c>
      <c r="B803" s="2" t="s">
        <v>2488</v>
      </c>
      <c r="C803" s="2" t="s">
        <v>3306</v>
      </c>
      <c r="D803" s="2">
        <v>333.0</v>
      </c>
      <c r="E803" s="2">
        <v>1.0</v>
      </c>
      <c r="F803" s="2">
        <v>110.0</v>
      </c>
      <c r="G803" s="2">
        <v>212400.0</v>
      </c>
    </row>
    <row r="804" ht="14.25" customHeight="1">
      <c r="A804" s="2">
        <v>803.0</v>
      </c>
      <c r="B804" s="2" t="s">
        <v>2744</v>
      </c>
      <c r="C804" s="2" t="s">
        <v>3307</v>
      </c>
      <c r="D804" s="2">
        <v>169.0</v>
      </c>
      <c r="E804" s="2">
        <v>1.0</v>
      </c>
      <c r="F804" s="2">
        <v>50.0</v>
      </c>
      <c r="G804" s="2">
        <v>212300.0</v>
      </c>
    </row>
    <row r="805" ht="14.25" customHeight="1">
      <c r="A805" s="2">
        <v>804.0</v>
      </c>
      <c r="B805" s="2" t="s">
        <v>2534</v>
      </c>
      <c r="C805" s="2" t="s">
        <v>3308</v>
      </c>
      <c r="D805" s="2">
        <v>188.0</v>
      </c>
      <c r="E805" s="2">
        <v>1.0</v>
      </c>
      <c r="F805" s="2">
        <v>50.0</v>
      </c>
      <c r="G805" s="2">
        <v>212300.0</v>
      </c>
    </row>
    <row r="806" ht="14.25" customHeight="1">
      <c r="A806" s="2">
        <v>805.0</v>
      </c>
      <c r="B806" s="2" t="s">
        <v>2686</v>
      </c>
      <c r="C806" s="2" t="s">
        <v>3309</v>
      </c>
      <c r="D806" s="2">
        <v>127.0</v>
      </c>
      <c r="E806" s="2">
        <v>1.0</v>
      </c>
      <c r="F806" s="2">
        <v>66.0</v>
      </c>
      <c r="G806" s="2">
        <v>212100.0</v>
      </c>
    </row>
    <row r="807" ht="14.25" customHeight="1">
      <c r="A807" s="2">
        <v>806.0</v>
      </c>
      <c r="B807" s="2" t="s">
        <v>2561</v>
      </c>
      <c r="C807" s="2" t="s">
        <v>3310</v>
      </c>
      <c r="D807" s="2">
        <v>162.0</v>
      </c>
      <c r="E807" s="2">
        <v>1.0</v>
      </c>
      <c r="F807" s="2">
        <v>100.0</v>
      </c>
      <c r="G807" s="2">
        <v>212100.0</v>
      </c>
    </row>
    <row r="808" ht="14.25" customHeight="1">
      <c r="A808" s="2">
        <v>807.0</v>
      </c>
      <c r="B808" s="2" t="s">
        <v>2686</v>
      </c>
      <c r="C808" s="2" t="s">
        <v>3311</v>
      </c>
      <c r="D808" s="2">
        <v>127.0</v>
      </c>
      <c r="E808" s="2">
        <v>1.0</v>
      </c>
      <c r="F808" s="2">
        <v>120.0</v>
      </c>
      <c r="G808" s="2">
        <v>212000.0</v>
      </c>
    </row>
    <row r="809" ht="14.25" customHeight="1">
      <c r="A809" s="2">
        <v>808.0</v>
      </c>
      <c r="B809" s="2" t="s">
        <v>2479</v>
      </c>
      <c r="C809" s="2" t="s">
        <v>3312</v>
      </c>
      <c r="D809" s="2">
        <v>182.0</v>
      </c>
      <c r="E809" s="2">
        <v>1.0</v>
      </c>
      <c r="F809" s="2">
        <v>100.0</v>
      </c>
      <c r="G809" s="2">
        <v>212000.0</v>
      </c>
    </row>
    <row r="810" ht="14.25" customHeight="1">
      <c r="A810" s="2">
        <v>809.0</v>
      </c>
      <c r="B810" s="2" t="s">
        <v>2518</v>
      </c>
      <c r="C810" s="2" t="s">
        <v>3313</v>
      </c>
      <c r="D810" s="2">
        <v>161.0</v>
      </c>
      <c r="E810" s="2">
        <v>1.0</v>
      </c>
      <c r="F810" s="2">
        <v>100.0</v>
      </c>
      <c r="G810" s="2">
        <v>211900.0</v>
      </c>
    </row>
    <row r="811" ht="14.25" customHeight="1">
      <c r="A811" s="2">
        <v>810.0</v>
      </c>
      <c r="B811" s="2" t="s">
        <v>2534</v>
      </c>
      <c r="C811" s="2" t="s">
        <v>3314</v>
      </c>
      <c r="D811" s="2">
        <v>188.0</v>
      </c>
      <c r="E811" s="2">
        <v>1.0</v>
      </c>
      <c r="F811" s="2">
        <v>85.0</v>
      </c>
      <c r="G811" s="2">
        <v>211800.0</v>
      </c>
    </row>
    <row r="812" ht="14.25" customHeight="1">
      <c r="A812" s="2">
        <v>811.0</v>
      </c>
      <c r="B812" s="2" t="s">
        <v>2488</v>
      </c>
      <c r="C812" s="2" t="s">
        <v>3315</v>
      </c>
      <c r="D812" s="2">
        <v>333.0</v>
      </c>
      <c r="E812" s="2">
        <v>1.0</v>
      </c>
      <c r="F812" s="2">
        <v>100.0</v>
      </c>
      <c r="G812" s="2">
        <v>211800.0</v>
      </c>
    </row>
    <row r="813" ht="14.25" customHeight="1">
      <c r="A813" s="2">
        <v>812.0</v>
      </c>
      <c r="B813" s="2" t="s">
        <v>2501</v>
      </c>
      <c r="C813" s="2" t="s">
        <v>3316</v>
      </c>
      <c r="D813" s="2">
        <v>199.0</v>
      </c>
      <c r="E813" s="2">
        <v>1.0</v>
      </c>
      <c r="F813" s="2">
        <v>60.0</v>
      </c>
      <c r="G813" s="2">
        <v>211600.0</v>
      </c>
    </row>
    <row r="814" ht="14.25" customHeight="1">
      <c r="A814" s="2">
        <v>813.0</v>
      </c>
      <c r="B814" s="2" t="s">
        <v>2604</v>
      </c>
      <c r="C814" s="2" t="s">
        <v>3317</v>
      </c>
      <c r="D814" s="2">
        <v>200.0</v>
      </c>
      <c r="E814" s="2">
        <v>1.0</v>
      </c>
      <c r="F814" s="2">
        <v>100.0</v>
      </c>
      <c r="G814" s="2">
        <v>211600.0</v>
      </c>
    </row>
    <row r="815" ht="14.25" customHeight="1">
      <c r="A815" s="2">
        <v>814.0</v>
      </c>
      <c r="B815" s="2" t="s">
        <v>2501</v>
      </c>
      <c r="C815" s="2" t="s">
        <v>3318</v>
      </c>
      <c r="D815" s="2">
        <v>199.0</v>
      </c>
      <c r="E815" s="2">
        <v>1.0</v>
      </c>
      <c r="F815" s="2">
        <v>125.0</v>
      </c>
      <c r="G815" s="2">
        <v>211300.0</v>
      </c>
    </row>
    <row r="816" ht="14.25" customHeight="1">
      <c r="A816" s="2">
        <v>815.0</v>
      </c>
      <c r="B816" s="2" t="s">
        <v>2549</v>
      </c>
      <c r="C816" s="2" t="s">
        <v>3319</v>
      </c>
      <c r="D816" s="2">
        <v>115.0</v>
      </c>
      <c r="E816" s="2">
        <v>1.0</v>
      </c>
      <c r="F816" s="2">
        <v>90.0</v>
      </c>
      <c r="G816" s="2">
        <v>211100.0</v>
      </c>
    </row>
    <row r="817" ht="14.25" customHeight="1">
      <c r="A817" s="2">
        <v>816.0</v>
      </c>
      <c r="B817" s="2" t="s">
        <v>2604</v>
      </c>
      <c r="C817" s="2" t="s">
        <v>3320</v>
      </c>
      <c r="D817" s="2">
        <v>200.0</v>
      </c>
      <c r="E817" s="2">
        <v>1.0</v>
      </c>
      <c r="F817" s="2">
        <v>150.0</v>
      </c>
      <c r="G817" s="2">
        <v>211100.0</v>
      </c>
    </row>
    <row r="818" ht="14.25" customHeight="1">
      <c r="A818" s="2">
        <v>817.0</v>
      </c>
      <c r="B818" s="2" t="s">
        <v>2512</v>
      </c>
      <c r="C818" s="2" t="s">
        <v>3321</v>
      </c>
      <c r="D818" s="2">
        <v>153.0</v>
      </c>
      <c r="E818" s="2">
        <v>1.0</v>
      </c>
      <c r="F818" s="2">
        <v>125.0</v>
      </c>
      <c r="G818" s="2">
        <v>211000.0</v>
      </c>
    </row>
    <row r="819" ht="14.25" customHeight="1">
      <c r="A819" s="2">
        <v>818.0</v>
      </c>
      <c r="B819" s="2" t="s">
        <v>2549</v>
      </c>
      <c r="C819" s="2" t="s">
        <v>3322</v>
      </c>
      <c r="D819" s="2">
        <v>115.0</v>
      </c>
      <c r="E819" s="2">
        <v>1.0</v>
      </c>
      <c r="F819" s="2">
        <v>50.0</v>
      </c>
      <c r="G819" s="2">
        <v>210700.0</v>
      </c>
    </row>
    <row r="820" ht="14.25" customHeight="1">
      <c r="A820" s="2">
        <v>819.0</v>
      </c>
      <c r="B820" s="2" t="s">
        <v>2571</v>
      </c>
      <c r="C820" s="2" t="s">
        <v>3323</v>
      </c>
      <c r="D820" s="2">
        <v>185.0</v>
      </c>
      <c r="E820" s="2">
        <v>1.0</v>
      </c>
      <c r="F820" s="2">
        <v>50.0</v>
      </c>
      <c r="G820" s="2">
        <v>210700.0</v>
      </c>
    </row>
    <row r="821" ht="14.25" customHeight="1">
      <c r="A821" s="2">
        <v>820.0</v>
      </c>
      <c r="B821" s="2" t="s">
        <v>2501</v>
      </c>
      <c r="C821" s="2" t="s">
        <v>3324</v>
      </c>
      <c r="D821" s="2">
        <v>199.0</v>
      </c>
      <c r="E821" s="2">
        <v>1.0</v>
      </c>
      <c r="F821" s="2">
        <v>100.0</v>
      </c>
      <c r="G821" s="2">
        <v>210600.0</v>
      </c>
    </row>
    <row r="822" ht="14.25" customHeight="1">
      <c r="A822" s="2">
        <v>821.0</v>
      </c>
      <c r="B822" s="2" t="s">
        <v>2488</v>
      </c>
      <c r="C822" s="2" t="s">
        <v>3325</v>
      </c>
      <c r="D822" s="2">
        <v>333.0</v>
      </c>
      <c r="E822" s="2">
        <v>1.0</v>
      </c>
      <c r="F822" s="2">
        <v>60.0</v>
      </c>
      <c r="G822" s="2">
        <v>210500.0</v>
      </c>
    </row>
    <row r="823" ht="14.25" customHeight="1">
      <c r="A823" s="2">
        <v>822.0</v>
      </c>
      <c r="B823" s="2" t="s">
        <v>2558</v>
      </c>
      <c r="C823" s="2" t="s">
        <v>3326</v>
      </c>
      <c r="D823" s="2">
        <v>357.0</v>
      </c>
      <c r="E823" s="2">
        <v>1.0</v>
      </c>
      <c r="F823" s="2">
        <v>66.0</v>
      </c>
      <c r="G823" s="2">
        <v>210500.0</v>
      </c>
    </row>
    <row r="824" ht="14.25" customHeight="1">
      <c r="A824" s="2">
        <v>823.0</v>
      </c>
      <c r="B824" s="2" t="s">
        <v>2561</v>
      </c>
      <c r="C824" s="2" t="s">
        <v>3327</v>
      </c>
      <c r="D824" s="2">
        <v>162.0</v>
      </c>
      <c r="E824" s="2">
        <v>1.0</v>
      </c>
      <c r="F824" s="2">
        <v>70.0</v>
      </c>
      <c r="G824" s="2">
        <v>210300.0</v>
      </c>
    </row>
    <row r="825" ht="14.25" customHeight="1">
      <c r="A825" s="2">
        <v>824.0</v>
      </c>
      <c r="B825" s="2" t="s">
        <v>2491</v>
      </c>
      <c r="C825" s="2" t="s">
        <v>3328</v>
      </c>
      <c r="D825" s="2">
        <v>116.0</v>
      </c>
      <c r="E825" s="2">
        <v>1.0</v>
      </c>
      <c r="F825" s="2">
        <v>80.0</v>
      </c>
      <c r="G825" s="2">
        <v>210200.0</v>
      </c>
    </row>
    <row r="826" ht="14.25" customHeight="1">
      <c r="A826" s="2">
        <v>825.0</v>
      </c>
      <c r="B826" s="2" t="s">
        <v>2534</v>
      </c>
      <c r="C826" s="2" t="s">
        <v>3329</v>
      </c>
      <c r="D826" s="2">
        <v>188.0</v>
      </c>
      <c r="E826" s="2">
        <v>1.0</v>
      </c>
      <c r="F826" s="2">
        <v>75.0</v>
      </c>
      <c r="G826" s="2">
        <v>210100.0</v>
      </c>
    </row>
    <row r="827" ht="14.25" customHeight="1">
      <c r="A827" s="2">
        <v>826.0</v>
      </c>
      <c r="B827" s="2" t="s">
        <v>2541</v>
      </c>
      <c r="C827" s="2" t="s">
        <v>3330</v>
      </c>
      <c r="D827" s="2">
        <v>195.0</v>
      </c>
      <c r="E827" s="2">
        <v>1.0</v>
      </c>
      <c r="F827" s="2">
        <v>100.0</v>
      </c>
      <c r="G827" s="2">
        <v>209900.0</v>
      </c>
    </row>
    <row r="828" ht="14.25" customHeight="1">
      <c r="A828" s="2">
        <v>827.0</v>
      </c>
      <c r="B828" s="2" t="s">
        <v>2686</v>
      </c>
      <c r="C828" s="2" t="s">
        <v>3331</v>
      </c>
      <c r="D828" s="2">
        <v>127.0</v>
      </c>
      <c r="E828" s="2">
        <v>1.0</v>
      </c>
      <c r="F828" s="2">
        <v>120.0</v>
      </c>
      <c r="G828" s="2">
        <v>209400.0</v>
      </c>
    </row>
    <row r="829" ht="14.25" customHeight="1">
      <c r="A829" s="2">
        <v>828.0</v>
      </c>
      <c r="B829" s="2" t="s">
        <v>2576</v>
      </c>
      <c r="C829" s="2" t="s">
        <v>3332</v>
      </c>
      <c r="D829" s="2">
        <v>197.0</v>
      </c>
      <c r="E829" s="2">
        <v>1.0</v>
      </c>
      <c r="F829" s="2">
        <v>150.0</v>
      </c>
      <c r="G829" s="2">
        <v>209300.0</v>
      </c>
    </row>
    <row r="830" ht="14.25" customHeight="1">
      <c r="A830" s="2">
        <v>829.0</v>
      </c>
      <c r="B830" s="2" t="s">
        <v>2477</v>
      </c>
      <c r="C830" s="2" t="s">
        <v>3333</v>
      </c>
      <c r="D830" s="2">
        <v>152.0</v>
      </c>
      <c r="E830" s="2">
        <v>1.0</v>
      </c>
      <c r="F830" s="2">
        <v>118.0</v>
      </c>
      <c r="G830" s="2">
        <v>209100.0</v>
      </c>
    </row>
    <row r="831" ht="14.25" customHeight="1">
      <c r="A831" s="2">
        <v>830.0</v>
      </c>
      <c r="B831" s="2" t="s">
        <v>2512</v>
      </c>
      <c r="C831" s="2" t="s">
        <v>3334</v>
      </c>
      <c r="D831" s="2">
        <v>153.0</v>
      </c>
      <c r="E831" s="2">
        <v>1.0</v>
      </c>
      <c r="F831" s="2">
        <v>50.0</v>
      </c>
      <c r="G831" s="2">
        <v>208500.0</v>
      </c>
    </row>
    <row r="832" ht="14.25" customHeight="1">
      <c r="A832" s="2">
        <v>831.0</v>
      </c>
      <c r="B832" s="2" t="s">
        <v>2744</v>
      </c>
      <c r="C832" s="2" t="s">
        <v>3335</v>
      </c>
      <c r="D832" s="2">
        <v>169.0</v>
      </c>
      <c r="E832" s="2">
        <v>1.0</v>
      </c>
      <c r="F832" s="2">
        <v>80.0</v>
      </c>
      <c r="G832" s="2">
        <v>208500.0</v>
      </c>
    </row>
    <row r="833" ht="14.25" customHeight="1">
      <c r="A833" s="2">
        <v>832.0</v>
      </c>
      <c r="B833" s="2" t="s">
        <v>2479</v>
      </c>
      <c r="C833" s="2" t="s">
        <v>3336</v>
      </c>
      <c r="D833" s="2">
        <v>182.0</v>
      </c>
      <c r="E833" s="2">
        <v>1.0</v>
      </c>
      <c r="F833" s="2">
        <v>75.0</v>
      </c>
      <c r="G833" s="2">
        <v>208500.0</v>
      </c>
    </row>
    <row r="834" ht="14.25" customHeight="1">
      <c r="A834" s="2">
        <v>833.0</v>
      </c>
      <c r="B834" s="2" t="s">
        <v>2524</v>
      </c>
      <c r="C834" s="2" t="s">
        <v>3337</v>
      </c>
      <c r="D834" s="2">
        <v>331.0</v>
      </c>
      <c r="E834" s="2">
        <v>1.0</v>
      </c>
      <c r="F834" s="2">
        <v>100.0</v>
      </c>
      <c r="G834" s="2">
        <v>208400.0</v>
      </c>
    </row>
    <row r="835" ht="14.25" customHeight="1">
      <c r="A835" s="2">
        <v>834.0</v>
      </c>
      <c r="B835" s="2" t="s">
        <v>2561</v>
      </c>
      <c r="C835" s="2" t="s">
        <v>3338</v>
      </c>
      <c r="D835" s="2">
        <v>162.0</v>
      </c>
      <c r="E835" s="2">
        <v>1.0</v>
      </c>
      <c r="F835" s="2">
        <v>125.0</v>
      </c>
      <c r="G835" s="2">
        <v>208300.0</v>
      </c>
    </row>
    <row r="836" ht="14.25" customHeight="1">
      <c r="A836" s="2">
        <v>835.0</v>
      </c>
      <c r="B836" s="2" t="s">
        <v>2651</v>
      </c>
      <c r="C836" s="2" t="s">
        <v>3339</v>
      </c>
      <c r="D836" s="2">
        <v>347.0</v>
      </c>
      <c r="E836" s="2">
        <v>1.0</v>
      </c>
      <c r="F836" s="2">
        <v>120.0</v>
      </c>
      <c r="G836" s="2">
        <v>208300.0</v>
      </c>
    </row>
    <row r="837" ht="14.25" customHeight="1">
      <c r="A837" s="2">
        <v>836.0</v>
      </c>
      <c r="B837" s="2" t="s">
        <v>2497</v>
      </c>
      <c r="C837" s="2" t="s">
        <v>3340</v>
      </c>
      <c r="D837" s="2">
        <v>151.0</v>
      </c>
      <c r="E837" s="2">
        <v>1.0</v>
      </c>
      <c r="F837" s="2">
        <v>150.0</v>
      </c>
      <c r="G837" s="2">
        <v>208200.0</v>
      </c>
    </row>
    <row r="838" ht="14.25" customHeight="1">
      <c r="A838" s="2">
        <v>837.0</v>
      </c>
      <c r="B838" s="2" t="s">
        <v>2604</v>
      </c>
      <c r="C838" s="2" t="s">
        <v>3341</v>
      </c>
      <c r="D838" s="2">
        <v>200.0</v>
      </c>
      <c r="E838" s="2">
        <v>1.0</v>
      </c>
      <c r="F838" s="2">
        <v>100.0</v>
      </c>
      <c r="G838" s="2">
        <v>208100.0</v>
      </c>
    </row>
    <row r="839" ht="14.25" customHeight="1">
      <c r="A839" s="2">
        <v>838.0</v>
      </c>
      <c r="B839" s="2" t="s">
        <v>2475</v>
      </c>
      <c r="C839" s="2" t="s">
        <v>3342</v>
      </c>
      <c r="D839" s="2">
        <v>143.0</v>
      </c>
      <c r="E839" s="2">
        <v>1.0</v>
      </c>
      <c r="F839" s="2">
        <v>85.0</v>
      </c>
      <c r="G839" s="2">
        <v>207900.0</v>
      </c>
    </row>
    <row r="840" ht="14.25" customHeight="1">
      <c r="A840" s="2">
        <v>839.0</v>
      </c>
      <c r="B840" s="2" t="s">
        <v>2744</v>
      </c>
      <c r="C840" s="2" t="s">
        <v>3343</v>
      </c>
      <c r="D840" s="2">
        <v>169.0</v>
      </c>
      <c r="E840" s="2">
        <v>1.0</v>
      </c>
      <c r="F840" s="2">
        <v>80.0</v>
      </c>
      <c r="G840" s="2">
        <v>207900.0</v>
      </c>
    </row>
    <row r="841" ht="14.25" customHeight="1">
      <c r="A841" s="2">
        <v>840.0</v>
      </c>
      <c r="B841" s="2" t="s">
        <v>2541</v>
      </c>
      <c r="C841" s="2" t="s">
        <v>3344</v>
      </c>
      <c r="D841" s="2">
        <v>195.0</v>
      </c>
      <c r="E841" s="2">
        <v>1.0</v>
      </c>
      <c r="F841" s="2">
        <v>86.0</v>
      </c>
      <c r="G841" s="2">
        <v>207800.0</v>
      </c>
    </row>
    <row r="842" ht="14.25" customHeight="1">
      <c r="A842" s="2">
        <v>841.0</v>
      </c>
      <c r="B842" s="2" t="s">
        <v>2488</v>
      </c>
      <c r="C842" s="2" t="s">
        <v>3345</v>
      </c>
      <c r="D842" s="2">
        <v>333.0</v>
      </c>
      <c r="E842" s="2">
        <v>1.0</v>
      </c>
      <c r="F842" s="2">
        <v>75.0</v>
      </c>
      <c r="G842" s="2">
        <v>207800.0</v>
      </c>
    </row>
    <row r="843" ht="14.25" customHeight="1">
      <c r="A843" s="2">
        <v>842.0</v>
      </c>
      <c r="B843" s="2" t="s">
        <v>2582</v>
      </c>
      <c r="C843" s="2" t="s">
        <v>3346</v>
      </c>
      <c r="D843" s="2">
        <v>183.0</v>
      </c>
      <c r="E843" s="2">
        <v>1.0</v>
      </c>
      <c r="F843" s="2">
        <v>90.0</v>
      </c>
      <c r="G843" s="2">
        <v>207700.0</v>
      </c>
    </row>
    <row r="844" ht="14.25" customHeight="1">
      <c r="A844" s="2">
        <v>843.0</v>
      </c>
      <c r="B844" s="2" t="s">
        <v>2553</v>
      </c>
      <c r="C844" s="2" t="s">
        <v>3347</v>
      </c>
      <c r="D844" s="2">
        <v>187.0</v>
      </c>
      <c r="E844" s="2">
        <v>1.0</v>
      </c>
      <c r="F844" s="2">
        <v>120.0</v>
      </c>
      <c r="G844" s="2">
        <v>207700.0</v>
      </c>
    </row>
    <row r="845" ht="14.25" customHeight="1">
      <c r="A845" s="2">
        <v>844.0</v>
      </c>
      <c r="B845" s="2" t="s">
        <v>2686</v>
      </c>
      <c r="C845" s="2" t="s">
        <v>3348</v>
      </c>
      <c r="D845" s="2">
        <v>127.0</v>
      </c>
      <c r="E845" s="2">
        <v>1.0</v>
      </c>
      <c r="F845" s="2">
        <v>100.0</v>
      </c>
      <c r="G845" s="2">
        <v>207600.0</v>
      </c>
    </row>
    <row r="846" ht="14.25" customHeight="1">
      <c r="A846" s="2">
        <v>845.0</v>
      </c>
      <c r="B846" s="2" t="s">
        <v>2507</v>
      </c>
      <c r="C846" s="2" t="s">
        <v>3349</v>
      </c>
      <c r="D846" s="2">
        <v>205.0</v>
      </c>
      <c r="E846" s="2">
        <v>1.0</v>
      </c>
      <c r="F846" s="2">
        <v>200.0</v>
      </c>
      <c r="G846" s="2">
        <v>207400.0</v>
      </c>
    </row>
    <row r="847" ht="14.25" customHeight="1">
      <c r="A847" s="2">
        <v>846.0</v>
      </c>
      <c r="B847" s="2" t="s">
        <v>2558</v>
      </c>
      <c r="C847" s="2" t="s">
        <v>3350</v>
      </c>
      <c r="D847" s="2">
        <v>357.0</v>
      </c>
      <c r="E847" s="2">
        <v>1.0</v>
      </c>
      <c r="F847" s="2">
        <v>80.0</v>
      </c>
      <c r="G847" s="2">
        <v>207400.0</v>
      </c>
    </row>
    <row r="848" ht="14.25" customHeight="1">
      <c r="A848" s="2">
        <v>847.0</v>
      </c>
      <c r="B848" s="2" t="s">
        <v>2475</v>
      </c>
      <c r="C848" s="2" t="s">
        <v>3351</v>
      </c>
      <c r="D848" s="2">
        <v>143.0</v>
      </c>
      <c r="E848" s="2">
        <v>1.0</v>
      </c>
      <c r="F848" s="2">
        <v>50.0</v>
      </c>
      <c r="G848" s="2">
        <v>207300.0</v>
      </c>
    </row>
    <row r="849" ht="14.25" customHeight="1">
      <c r="A849" s="2">
        <v>848.0</v>
      </c>
      <c r="B849" s="2" t="s">
        <v>2475</v>
      </c>
      <c r="C849" s="2" t="s">
        <v>3352</v>
      </c>
      <c r="D849" s="2">
        <v>143.0</v>
      </c>
      <c r="E849" s="2">
        <v>1.0</v>
      </c>
      <c r="F849" s="2">
        <v>75.0</v>
      </c>
      <c r="G849" s="2">
        <v>207200.0</v>
      </c>
    </row>
    <row r="850" ht="14.25" customHeight="1">
      <c r="A850" s="2">
        <v>849.0</v>
      </c>
      <c r="B850" s="2" t="s">
        <v>2491</v>
      </c>
      <c r="C850" s="2" t="s">
        <v>3353</v>
      </c>
      <c r="D850" s="2">
        <v>116.0</v>
      </c>
      <c r="E850" s="2">
        <v>1.0</v>
      </c>
      <c r="F850" s="2">
        <v>100.0</v>
      </c>
      <c r="G850" s="2">
        <v>207100.0</v>
      </c>
    </row>
    <row r="851" ht="14.25" customHeight="1">
      <c r="A851" s="2">
        <v>850.0</v>
      </c>
      <c r="B851" s="2" t="s">
        <v>2636</v>
      </c>
      <c r="C851" s="2" t="s">
        <v>3354</v>
      </c>
      <c r="D851" s="2">
        <v>145.0</v>
      </c>
      <c r="E851" s="2">
        <v>1.0</v>
      </c>
      <c r="F851" s="2">
        <v>160.0</v>
      </c>
      <c r="G851" s="2">
        <v>206300.0</v>
      </c>
    </row>
    <row r="852" ht="14.25" customHeight="1">
      <c r="A852" s="2">
        <v>851.0</v>
      </c>
      <c r="B852" s="2" t="s">
        <v>2479</v>
      </c>
      <c r="C852" s="2" t="s">
        <v>3355</v>
      </c>
      <c r="D852" s="2">
        <v>182.0</v>
      </c>
      <c r="E852" s="2">
        <v>1.0</v>
      </c>
      <c r="F852" s="2">
        <v>75.0</v>
      </c>
      <c r="G852" s="2">
        <v>206200.0</v>
      </c>
    </row>
    <row r="853" ht="14.25" customHeight="1">
      <c r="A853" s="2">
        <v>852.0</v>
      </c>
      <c r="B853" s="2" t="s">
        <v>2518</v>
      </c>
      <c r="C853" s="2" t="s">
        <v>3356</v>
      </c>
      <c r="D853" s="2">
        <v>161.0</v>
      </c>
      <c r="E853" s="2">
        <v>1.0</v>
      </c>
      <c r="F853" s="2">
        <v>75.0</v>
      </c>
      <c r="G853" s="2">
        <v>206100.0</v>
      </c>
    </row>
    <row r="854" ht="14.25" customHeight="1">
      <c r="A854" s="2">
        <v>853.0</v>
      </c>
      <c r="B854" s="2" t="s">
        <v>2549</v>
      </c>
      <c r="C854" s="2" t="s">
        <v>3357</v>
      </c>
      <c r="D854" s="2">
        <v>115.0</v>
      </c>
      <c r="E854" s="2">
        <v>1.0</v>
      </c>
      <c r="F854" s="2">
        <v>100.0</v>
      </c>
      <c r="G854" s="2">
        <v>206000.0</v>
      </c>
    </row>
    <row r="855" ht="14.25" customHeight="1">
      <c r="A855" s="2">
        <v>854.0</v>
      </c>
      <c r="B855" s="2" t="s">
        <v>2497</v>
      </c>
      <c r="C855" s="2" t="s">
        <v>3358</v>
      </c>
      <c r="D855" s="2">
        <v>151.0</v>
      </c>
      <c r="E855" s="2">
        <v>1.0</v>
      </c>
      <c r="F855" s="2">
        <v>70.0</v>
      </c>
      <c r="G855" s="2">
        <v>205600.0</v>
      </c>
    </row>
    <row r="856" ht="14.25" customHeight="1">
      <c r="A856" s="2">
        <v>855.0</v>
      </c>
      <c r="B856" s="2" t="s">
        <v>2558</v>
      </c>
      <c r="C856" s="2" t="s">
        <v>3359</v>
      </c>
      <c r="D856" s="2">
        <v>357.0</v>
      </c>
      <c r="E856" s="2">
        <v>1.0</v>
      </c>
      <c r="F856" s="2">
        <v>65.0</v>
      </c>
      <c r="G856" s="2">
        <v>205500.0</v>
      </c>
    </row>
    <row r="857" ht="14.25" customHeight="1">
      <c r="A857" s="2">
        <v>856.0</v>
      </c>
      <c r="B857" s="2" t="s">
        <v>2558</v>
      </c>
      <c r="C857" s="2" t="s">
        <v>3360</v>
      </c>
      <c r="D857" s="2">
        <v>357.0</v>
      </c>
      <c r="E857" s="2">
        <v>1.0</v>
      </c>
      <c r="F857" s="2">
        <v>65.0</v>
      </c>
      <c r="G857" s="2">
        <v>205500.0</v>
      </c>
    </row>
    <row r="858" ht="14.25" customHeight="1">
      <c r="A858" s="2">
        <v>857.0</v>
      </c>
      <c r="B858" s="2" t="s">
        <v>2503</v>
      </c>
      <c r="C858" s="2" t="s">
        <v>3361</v>
      </c>
      <c r="D858" s="2">
        <v>105.0</v>
      </c>
      <c r="E858" s="2">
        <v>1.0</v>
      </c>
      <c r="F858" s="2">
        <v>105.0</v>
      </c>
      <c r="G858" s="2">
        <v>205400.0</v>
      </c>
    </row>
    <row r="859" ht="14.25" customHeight="1">
      <c r="A859" s="2">
        <v>858.0</v>
      </c>
      <c r="B859" s="2" t="s">
        <v>2477</v>
      </c>
      <c r="C859" s="2" t="s">
        <v>3362</v>
      </c>
      <c r="D859" s="2">
        <v>152.0</v>
      </c>
      <c r="E859" s="2">
        <v>1.0</v>
      </c>
      <c r="F859" s="2">
        <v>200.0</v>
      </c>
      <c r="G859" s="2">
        <v>205400.0</v>
      </c>
    </row>
    <row r="860" ht="14.25" customHeight="1">
      <c r="A860" s="2">
        <v>859.0</v>
      </c>
      <c r="B860" s="2" t="s">
        <v>2686</v>
      </c>
      <c r="C860" s="2" t="s">
        <v>3363</v>
      </c>
      <c r="D860" s="2">
        <v>127.0</v>
      </c>
      <c r="E860" s="2">
        <v>1.0</v>
      </c>
      <c r="F860" s="2">
        <v>100.0</v>
      </c>
      <c r="G860" s="2">
        <v>205300.0</v>
      </c>
    </row>
    <row r="861" ht="14.25" customHeight="1">
      <c r="A861" s="2">
        <v>860.0</v>
      </c>
      <c r="B861" s="2" t="s">
        <v>2524</v>
      </c>
      <c r="C861" s="2" t="s">
        <v>3364</v>
      </c>
      <c r="D861" s="2">
        <v>331.0</v>
      </c>
      <c r="E861" s="2">
        <v>1.0</v>
      </c>
      <c r="F861" s="2">
        <v>107.0</v>
      </c>
      <c r="G861" s="2">
        <v>205300.0</v>
      </c>
    </row>
    <row r="862" ht="14.25" customHeight="1">
      <c r="A862" s="2">
        <v>861.0</v>
      </c>
      <c r="B862" s="2" t="s">
        <v>2576</v>
      </c>
      <c r="C862" s="2" t="s">
        <v>3365</v>
      </c>
      <c r="D862" s="2">
        <v>197.0</v>
      </c>
      <c r="E862" s="2">
        <v>1.0</v>
      </c>
      <c r="F862" s="2">
        <v>100.0</v>
      </c>
      <c r="G862" s="2">
        <v>205200.0</v>
      </c>
    </row>
    <row r="863" ht="14.25" customHeight="1">
      <c r="A863" s="2">
        <v>862.0</v>
      </c>
      <c r="B863" s="2" t="s">
        <v>2558</v>
      </c>
      <c r="C863" s="2" t="s">
        <v>3366</v>
      </c>
      <c r="D863" s="2">
        <v>357.0</v>
      </c>
      <c r="E863" s="2">
        <v>1.0</v>
      </c>
      <c r="F863" s="2">
        <v>132.0</v>
      </c>
      <c r="G863" s="2">
        <v>205100.0</v>
      </c>
    </row>
    <row r="864" ht="14.25" customHeight="1">
      <c r="A864" s="2">
        <v>863.0</v>
      </c>
      <c r="B864" s="2" t="s">
        <v>2507</v>
      </c>
      <c r="C864" s="2" t="s">
        <v>3367</v>
      </c>
      <c r="D864" s="2">
        <v>205.0</v>
      </c>
      <c r="E864" s="2">
        <v>1.0</v>
      </c>
      <c r="F864" s="2">
        <v>130.0</v>
      </c>
      <c r="G864" s="2">
        <v>204900.0</v>
      </c>
    </row>
    <row r="865" ht="14.25" customHeight="1">
      <c r="A865" s="2">
        <v>864.0</v>
      </c>
      <c r="B865" s="2" t="s">
        <v>2491</v>
      </c>
      <c r="C865" s="2" t="s">
        <v>3368</v>
      </c>
      <c r="D865" s="2">
        <v>116.0</v>
      </c>
      <c r="E865" s="2">
        <v>1.0</v>
      </c>
      <c r="F865" s="2">
        <v>150.0</v>
      </c>
      <c r="G865" s="2">
        <v>204800.0</v>
      </c>
    </row>
    <row r="866" ht="14.25" customHeight="1">
      <c r="A866" s="2">
        <v>865.0</v>
      </c>
      <c r="B866" s="2" t="s">
        <v>2512</v>
      </c>
      <c r="C866" s="2" t="s">
        <v>3369</v>
      </c>
      <c r="D866" s="2">
        <v>153.0</v>
      </c>
      <c r="E866" s="2">
        <v>1.0</v>
      </c>
      <c r="F866" s="2">
        <v>75.0</v>
      </c>
      <c r="G866" s="2">
        <v>204600.0</v>
      </c>
    </row>
    <row r="867" ht="14.25" customHeight="1">
      <c r="A867" s="2">
        <v>866.0</v>
      </c>
      <c r="B867" s="2" t="s">
        <v>2636</v>
      </c>
      <c r="C867" s="2" t="s">
        <v>3370</v>
      </c>
      <c r="D867" s="2">
        <v>145.0</v>
      </c>
      <c r="E867" s="2">
        <v>1.0</v>
      </c>
      <c r="F867" s="2">
        <v>100.0</v>
      </c>
      <c r="G867" s="2">
        <v>204500.0</v>
      </c>
    </row>
    <row r="868" ht="14.25" customHeight="1">
      <c r="A868" s="2">
        <v>867.0</v>
      </c>
      <c r="B868" s="2" t="s">
        <v>2505</v>
      </c>
      <c r="C868" s="2" t="s">
        <v>3371</v>
      </c>
      <c r="D868" s="2">
        <v>429.0</v>
      </c>
      <c r="E868" s="2">
        <v>1.0</v>
      </c>
      <c r="F868" s="2">
        <v>100.0</v>
      </c>
      <c r="G868" s="2">
        <v>204500.0</v>
      </c>
    </row>
    <row r="869" ht="14.25" customHeight="1">
      <c r="A869" s="2">
        <v>868.0</v>
      </c>
      <c r="B869" s="2" t="s">
        <v>2541</v>
      </c>
      <c r="C869" s="2" t="s">
        <v>3372</v>
      </c>
      <c r="D869" s="2">
        <v>195.0</v>
      </c>
      <c r="E869" s="2">
        <v>1.0</v>
      </c>
      <c r="F869" s="2">
        <v>75.0</v>
      </c>
      <c r="G869" s="2">
        <v>204400.0</v>
      </c>
    </row>
    <row r="870" ht="14.25" customHeight="1">
      <c r="A870" s="2">
        <v>869.0</v>
      </c>
      <c r="B870" s="2" t="s">
        <v>2512</v>
      </c>
      <c r="C870" s="2" t="s">
        <v>3373</v>
      </c>
      <c r="D870" s="2">
        <v>153.0</v>
      </c>
      <c r="E870" s="2">
        <v>1.0</v>
      </c>
      <c r="F870" s="2">
        <v>75.0</v>
      </c>
      <c r="G870" s="2">
        <v>204300.0</v>
      </c>
    </row>
    <row r="871" ht="14.25" customHeight="1">
      <c r="A871" s="2">
        <v>870.0</v>
      </c>
      <c r="B871" s="2" t="s">
        <v>2501</v>
      </c>
      <c r="C871" s="2" t="s">
        <v>3374</v>
      </c>
      <c r="D871" s="2">
        <v>199.0</v>
      </c>
      <c r="E871" s="2">
        <v>1.0</v>
      </c>
      <c r="F871" s="2">
        <v>100.0</v>
      </c>
      <c r="G871" s="2">
        <v>204300.0</v>
      </c>
    </row>
    <row r="872" ht="14.25" customHeight="1">
      <c r="A872" s="2">
        <v>871.0</v>
      </c>
      <c r="B872" s="2" t="s">
        <v>2594</v>
      </c>
      <c r="C872" s="2" t="s">
        <v>3375</v>
      </c>
      <c r="D872" s="2">
        <v>184.0</v>
      </c>
      <c r="E872" s="2">
        <v>1.0</v>
      </c>
      <c r="F872" s="2">
        <v>132.0</v>
      </c>
      <c r="G872" s="2">
        <v>204100.0</v>
      </c>
    </row>
    <row r="873" ht="14.25" customHeight="1">
      <c r="A873" s="2">
        <v>872.0</v>
      </c>
      <c r="B873" s="2" t="s">
        <v>2491</v>
      </c>
      <c r="C873" s="2" t="s">
        <v>3376</v>
      </c>
      <c r="D873" s="2">
        <v>116.0</v>
      </c>
      <c r="E873" s="2">
        <v>1.0</v>
      </c>
      <c r="F873" s="2">
        <v>125.0</v>
      </c>
      <c r="G873" s="2">
        <v>203900.0</v>
      </c>
    </row>
    <row r="874" ht="14.25" customHeight="1">
      <c r="A874" s="2">
        <v>873.0</v>
      </c>
      <c r="B874" s="2" t="s">
        <v>2512</v>
      </c>
      <c r="C874" s="2" t="s">
        <v>3377</v>
      </c>
      <c r="D874" s="2">
        <v>153.0</v>
      </c>
      <c r="E874" s="2">
        <v>1.0</v>
      </c>
      <c r="F874" s="2">
        <v>75.0</v>
      </c>
      <c r="G874" s="2">
        <v>203800.0</v>
      </c>
    </row>
    <row r="875" ht="14.25" customHeight="1">
      <c r="A875" s="2">
        <v>874.0</v>
      </c>
      <c r="B875" s="2" t="s">
        <v>2534</v>
      </c>
      <c r="C875" s="2" t="s">
        <v>3378</v>
      </c>
      <c r="D875" s="2">
        <v>188.0</v>
      </c>
      <c r="E875" s="2">
        <v>1.0</v>
      </c>
      <c r="F875" s="2">
        <v>150.0</v>
      </c>
      <c r="G875" s="2">
        <v>203800.0</v>
      </c>
    </row>
    <row r="876" ht="14.25" customHeight="1">
      <c r="A876" s="2">
        <v>875.0</v>
      </c>
      <c r="B876" s="2" t="s">
        <v>2621</v>
      </c>
      <c r="C876" s="2" t="s">
        <v>3379</v>
      </c>
      <c r="D876" s="2">
        <v>403.0</v>
      </c>
      <c r="E876" s="2">
        <v>1.0</v>
      </c>
      <c r="F876" s="2">
        <v>132.0</v>
      </c>
      <c r="G876" s="2">
        <v>203800.0</v>
      </c>
    </row>
    <row r="877" ht="14.25" customHeight="1">
      <c r="A877" s="2">
        <v>876.0</v>
      </c>
      <c r="B877" s="2" t="s">
        <v>2503</v>
      </c>
      <c r="C877" s="2" t="s">
        <v>3380</v>
      </c>
      <c r="D877" s="2">
        <v>105.0</v>
      </c>
      <c r="E877" s="2">
        <v>1.0</v>
      </c>
      <c r="F877" s="2">
        <v>100.0</v>
      </c>
      <c r="G877" s="2">
        <v>203700.0</v>
      </c>
    </row>
    <row r="878" ht="14.25" customHeight="1">
      <c r="A878" s="2">
        <v>877.0</v>
      </c>
      <c r="B878" s="2" t="s">
        <v>2491</v>
      </c>
      <c r="C878" s="2" t="s">
        <v>3381</v>
      </c>
      <c r="D878" s="2">
        <v>116.0</v>
      </c>
      <c r="E878" s="2">
        <v>1.0</v>
      </c>
      <c r="F878" s="2">
        <v>100.0</v>
      </c>
      <c r="G878" s="2">
        <v>203400.0</v>
      </c>
    </row>
    <row r="879" ht="14.25" customHeight="1">
      <c r="A879" s="2">
        <v>878.0</v>
      </c>
      <c r="B879" s="2" t="s">
        <v>2549</v>
      </c>
      <c r="C879" s="2" t="s">
        <v>3382</v>
      </c>
      <c r="D879" s="2">
        <v>115.0</v>
      </c>
      <c r="E879" s="2">
        <v>1.0</v>
      </c>
      <c r="F879" s="2">
        <v>100.0</v>
      </c>
      <c r="G879" s="2">
        <v>203300.0</v>
      </c>
    </row>
    <row r="880" ht="14.25" customHeight="1">
      <c r="A880" s="2">
        <v>879.0</v>
      </c>
      <c r="B880" s="2" t="s">
        <v>2636</v>
      </c>
      <c r="C880" s="2" t="s">
        <v>3383</v>
      </c>
      <c r="D880" s="2">
        <v>145.0</v>
      </c>
      <c r="E880" s="2">
        <v>1.0</v>
      </c>
      <c r="F880" s="2">
        <v>125.0</v>
      </c>
      <c r="G880" s="2">
        <v>203300.0</v>
      </c>
    </row>
    <row r="881" ht="14.25" customHeight="1">
      <c r="A881" s="2">
        <v>880.0</v>
      </c>
      <c r="B881" s="2" t="s">
        <v>2594</v>
      </c>
      <c r="C881" s="2" t="s">
        <v>3384</v>
      </c>
      <c r="D881" s="2">
        <v>184.0</v>
      </c>
      <c r="E881" s="2">
        <v>1.0</v>
      </c>
      <c r="F881" s="2">
        <v>100.0</v>
      </c>
      <c r="G881" s="2">
        <v>203300.0</v>
      </c>
    </row>
    <row r="882" ht="14.25" customHeight="1">
      <c r="A882" s="2">
        <v>881.0</v>
      </c>
      <c r="B882" s="2" t="s">
        <v>2744</v>
      </c>
      <c r="C882" s="2" t="s">
        <v>3385</v>
      </c>
      <c r="D882" s="2">
        <v>169.0</v>
      </c>
      <c r="E882" s="2">
        <v>1.0</v>
      </c>
      <c r="F882" s="2">
        <v>100.0</v>
      </c>
      <c r="G882" s="2">
        <v>203100.0</v>
      </c>
    </row>
    <row r="883" ht="14.25" customHeight="1">
      <c r="A883" s="2">
        <v>882.0</v>
      </c>
      <c r="B883" s="2" t="s">
        <v>2558</v>
      </c>
      <c r="C883" s="2" t="s">
        <v>3386</v>
      </c>
      <c r="D883" s="2">
        <v>357.0</v>
      </c>
      <c r="E883" s="2">
        <v>1.0</v>
      </c>
      <c r="F883" s="2">
        <v>120.0</v>
      </c>
      <c r="G883" s="2">
        <v>202900.0</v>
      </c>
    </row>
    <row r="884" ht="14.25" customHeight="1">
      <c r="A884" s="2">
        <v>883.0</v>
      </c>
      <c r="B884" s="2" t="s">
        <v>2512</v>
      </c>
      <c r="C884" s="2" t="s">
        <v>3387</v>
      </c>
      <c r="D884" s="2">
        <v>153.0</v>
      </c>
      <c r="E884" s="2">
        <v>1.0</v>
      </c>
      <c r="F884" s="2">
        <v>100.0</v>
      </c>
      <c r="G884" s="2">
        <v>202800.0</v>
      </c>
    </row>
    <row r="885" ht="14.25" customHeight="1">
      <c r="A885" s="2">
        <v>884.0</v>
      </c>
      <c r="B885" s="2" t="s">
        <v>2549</v>
      </c>
      <c r="C885" s="2" t="s">
        <v>3388</v>
      </c>
      <c r="D885" s="2">
        <v>115.0</v>
      </c>
      <c r="E885" s="2">
        <v>1.0</v>
      </c>
      <c r="F885" s="2">
        <v>50.0</v>
      </c>
      <c r="G885" s="2">
        <v>202700.0</v>
      </c>
    </row>
    <row r="886" ht="14.25" customHeight="1">
      <c r="A886" s="2">
        <v>885.0</v>
      </c>
      <c r="B886" s="2" t="s">
        <v>2561</v>
      </c>
      <c r="C886" s="2" t="s">
        <v>3389</v>
      </c>
      <c r="D886" s="2">
        <v>162.0</v>
      </c>
      <c r="E886" s="2">
        <v>1.0</v>
      </c>
      <c r="F886" s="2">
        <v>70.0</v>
      </c>
      <c r="G886" s="2">
        <v>202700.0</v>
      </c>
    </row>
    <row r="887" ht="14.25" customHeight="1">
      <c r="A887" s="2">
        <v>886.0</v>
      </c>
      <c r="B887" s="2" t="s">
        <v>2744</v>
      </c>
      <c r="C887" s="2" t="s">
        <v>3390</v>
      </c>
      <c r="D887" s="2">
        <v>169.0</v>
      </c>
      <c r="E887" s="2">
        <v>1.0</v>
      </c>
      <c r="F887" s="2">
        <v>100.0</v>
      </c>
      <c r="G887" s="2">
        <v>202600.0</v>
      </c>
    </row>
    <row r="888" ht="14.25" customHeight="1">
      <c r="A888" s="2">
        <v>887.0</v>
      </c>
      <c r="B888" s="2" t="s">
        <v>2686</v>
      </c>
      <c r="C888" s="2" t="s">
        <v>3391</v>
      </c>
      <c r="D888" s="2">
        <v>127.0</v>
      </c>
      <c r="E888" s="2">
        <v>1.0</v>
      </c>
      <c r="F888" s="2">
        <v>100.0</v>
      </c>
      <c r="G888" s="2">
        <v>202500.0</v>
      </c>
    </row>
    <row r="889" ht="14.25" customHeight="1">
      <c r="A889" s="2">
        <v>888.0</v>
      </c>
      <c r="B889" s="2" t="s">
        <v>2518</v>
      </c>
      <c r="C889" s="2" t="s">
        <v>3392</v>
      </c>
      <c r="D889" s="2">
        <v>161.0</v>
      </c>
      <c r="E889" s="2">
        <v>1.0</v>
      </c>
      <c r="F889" s="2">
        <v>75.0</v>
      </c>
      <c r="G889" s="2">
        <v>202500.0</v>
      </c>
    </row>
    <row r="890" ht="14.25" customHeight="1">
      <c r="A890" s="2">
        <v>889.0</v>
      </c>
      <c r="B890" s="2" t="s">
        <v>2686</v>
      </c>
      <c r="C890" s="2" t="s">
        <v>3393</v>
      </c>
      <c r="D890" s="2">
        <v>127.0</v>
      </c>
      <c r="E890" s="2">
        <v>1.0</v>
      </c>
      <c r="F890" s="2">
        <v>231.0</v>
      </c>
      <c r="G890" s="2">
        <v>202400.0</v>
      </c>
    </row>
    <row r="891" ht="14.25" customHeight="1">
      <c r="A891" s="2">
        <v>890.0</v>
      </c>
      <c r="B891" s="2" t="s">
        <v>2561</v>
      </c>
      <c r="C891" s="2" t="s">
        <v>3394</v>
      </c>
      <c r="D891" s="2">
        <v>162.0</v>
      </c>
      <c r="E891" s="2">
        <v>1.0</v>
      </c>
      <c r="F891" s="2">
        <v>100.0</v>
      </c>
      <c r="G891" s="2">
        <v>202400.0</v>
      </c>
    </row>
    <row r="892" ht="14.25" customHeight="1">
      <c r="A892" s="2">
        <v>891.0</v>
      </c>
      <c r="B892" s="2" t="s">
        <v>2571</v>
      </c>
      <c r="C892" s="2" t="s">
        <v>3395</v>
      </c>
      <c r="D892" s="2">
        <v>185.0</v>
      </c>
      <c r="E892" s="2">
        <v>1.0</v>
      </c>
      <c r="F892" s="2">
        <v>125.0</v>
      </c>
      <c r="G892" s="2">
        <v>202400.0</v>
      </c>
    </row>
    <row r="893" ht="14.25" customHeight="1">
      <c r="A893" s="2">
        <v>892.0</v>
      </c>
      <c r="B893" s="2" t="s">
        <v>2503</v>
      </c>
      <c r="C893" s="2" t="s">
        <v>3396</v>
      </c>
      <c r="D893" s="2">
        <v>105.0</v>
      </c>
      <c r="E893" s="2">
        <v>1.0</v>
      </c>
      <c r="F893" s="2">
        <v>70.0</v>
      </c>
      <c r="G893" s="2">
        <v>202300.0</v>
      </c>
    </row>
    <row r="894" ht="14.25" customHeight="1">
      <c r="A894" s="2">
        <v>893.0</v>
      </c>
      <c r="B894" s="2" t="s">
        <v>2561</v>
      </c>
      <c r="C894" s="2" t="s">
        <v>3397</v>
      </c>
      <c r="D894" s="2">
        <v>162.0</v>
      </c>
      <c r="E894" s="2">
        <v>1.0</v>
      </c>
      <c r="F894" s="2">
        <v>150.0</v>
      </c>
      <c r="G894" s="2">
        <v>202300.0</v>
      </c>
    </row>
    <row r="895" ht="14.25" customHeight="1">
      <c r="A895" s="2">
        <v>894.0</v>
      </c>
      <c r="B895" s="2" t="s">
        <v>2651</v>
      </c>
      <c r="C895" s="2" t="s">
        <v>3398</v>
      </c>
      <c r="D895" s="2">
        <v>347.0</v>
      </c>
      <c r="E895" s="2">
        <v>1.0</v>
      </c>
      <c r="F895" s="2">
        <v>65.0</v>
      </c>
      <c r="G895" s="2">
        <v>202300.0</v>
      </c>
    </row>
    <row r="896" ht="14.25" customHeight="1">
      <c r="A896" s="2">
        <v>895.0</v>
      </c>
      <c r="B896" s="2" t="s">
        <v>2488</v>
      </c>
      <c r="C896" s="2" t="s">
        <v>3399</v>
      </c>
      <c r="D896" s="2">
        <v>333.0</v>
      </c>
      <c r="E896" s="2">
        <v>1.0</v>
      </c>
      <c r="F896" s="2">
        <v>120.0</v>
      </c>
      <c r="G896" s="2">
        <v>202100.0</v>
      </c>
    </row>
    <row r="897" ht="14.25" customHeight="1">
      <c r="A897" s="2">
        <v>896.0</v>
      </c>
      <c r="B897" s="2" t="s">
        <v>2686</v>
      </c>
      <c r="C897" s="2" t="s">
        <v>3400</v>
      </c>
      <c r="D897" s="2">
        <v>127.0</v>
      </c>
      <c r="E897" s="2">
        <v>1.0</v>
      </c>
      <c r="F897" s="2">
        <v>150.0</v>
      </c>
      <c r="G897" s="2">
        <v>202000.0</v>
      </c>
    </row>
    <row r="898" ht="14.25" customHeight="1">
      <c r="A898" s="2">
        <v>897.0</v>
      </c>
      <c r="B898" s="2" t="s">
        <v>2604</v>
      </c>
      <c r="C898" s="2" t="s">
        <v>3401</v>
      </c>
      <c r="D898" s="2">
        <v>200.0</v>
      </c>
      <c r="E898" s="2">
        <v>1.0</v>
      </c>
      <c r="F898" s="2">
        <v>150.0</v>
      </c>
      <c r="G898" s="2">
        <v>202000.0</v>
      </c>
    </row>
    <row r="899" ht="14.25" customHeight="1">
      <c r="A899" s="2">
        <v>898.0</v>
      </c>
      <c r="B899" s="2" t="s">
        <v>2512</v>
      </c>
      <c r="C899" s="2" t="s">
        <v>3402</v>
      </c>
      <c r="D899" s="2">
        <v>153.0</v>
      </c>
      <c r="E899" s="2">
        <v>1.0</v>
      </c>
      <c r="F899" s="2">
        <v>50.0</v>
      </c>
      <c r="G899" s="2">
        <v>201900.0</v>
      </c>
    </row>
    <row r="900" ht="14.25" customHeight="1">
      <c r="A900" s="2">
        <v>899.0</v>
      </c>
      <c r="B900" s="2" t="s">
        <v>2505</v>
      </c>
      <c r="C900" s="2" t="s">
        <v>3403</v>
      </c>
      <c r="D900" s="2">
        <v>429.0</v>
      </c>
      <c r="E900" s="2">
        <v>1.0</v>
      </c>
      <c r="F900" s="2">
        <v>100.0</v>
      </c>
      <c r="G900" s="2">
        <v>201900.0</v>
      </c>
    </row>
    <row r="901" ht="14.25" customHeight="1">
      <c r="A901" s="2">
        <v>900.0</v>
      </c>
      <c r="B901" s="2" t="s">
        <v>2558</v>
      </c>
      <c r="C901" s="2" t="s">
        <v>3404</v>
      </c>
      <c r="D901" s="2">
        <v>357.0</v>
      </c>
      <c r="E901" s="2">
        <v>1.0</v>
      </c>
      <c r="F901" s="2">
        <v>80.0</v>
      </c>
      <c r="G901" s="2">
        <v>201800.0</v>
      </c>
    </row>
    <row r="902" ht="14.25" customHeight="1">
      <c r="A902" s="2">
        <v>901.0</v>
      </c>
      <c r="B902" s="2" t="s">
        <v>2512</v>
      </c>
      <c r="C902" s="2" t="s">
        <v>3405</v>
      </c>
      <c r="D902" s="2">
        <v>153.0</v>
      </c>
      <c r="E902" s="2">
        <v>1.0</v>
      </c>
      <c r="F902" s="2">
        <v>70.0</v>
      </c>
      <c r="G902" s="2">
        <v>201600.0</v>
      </c>
    </row>
    <row r="903" ht="14.25" customHeight="1">
      <c r="A903" s="2">
        <v>902.0</v>
      </c>
      <c r="B903" s="2" t="s">
        <v>2744</v>
      </c>
      <c r="C903" s="2" t="s">
        <v>3406</v>
      </c>
      <c r="D903" s="2">
        <v>169.0</v>
      </c>
      <c r="E903" s="2">
        <v>1.0</v>
      </c>
      <c r="F903" s="2">
        <v>70.0</v>
      </c>
      <c r="G903" s="2">
        <v>201600.0</v>
      </c>
    </row>
    <row r="904" ht="14.25" customHeight="1">
      <c r="A904" s="2">
        <v>903.0</v>
      </c>
      <c r="B904" s="2" t="s">
        <v>2558</v>
      </c>
      <c r="C904" s="2" t="s">
        <v>3407</v>
      </c>
      <c r="D904" s="2">
        <v>357.0</v>
      </c>
      <c r="E904" s="2">
        <v>1.0</v>
      </c>
      <c r="F904" s="2">
        <v>132.0</v>
      </c>
      <c r="G904" s="2">
        <v>201300.0</v>
      </c>
    </row>
    <row r="905" ht="14.25" customHeight="1">
      <c r="A905" s="2">
        <v>904.0</v>
      </c>
      <c r="B905" s="2" t="s">
        <v>2558</v>
      </c>
      <c r="C905" s="2" t="s">
        <v>3408</v>
      </c>
      <c r="D905" s="2">
        <v>357.0</v>
      </c>
      <c r="E905" s="2">
        <v>1.0</v>
      </c>
      <c r="F905" s="2">
        <v>150.0</v>
      </c>
      <c r="G905" s="2">
        <v>201200.0</v>
      </c>
    </row>
    <row r="906" ht="14.25" customHeight="1">
      <c r="A906" s="2">
        <v>905.0</v>
      </c>
      <c r="B906" s="2" t="s">
        <v>2549</v>
      </c>
      <c r="C906" s="2" t="s">
        <v>3409</v>
      </c>
      <c r="D906" s="2">
        <v>115.0</v>
      </c>
      <c r="E906" s="2">
        <v>1.0</v>
      </c>
      <c r="F906" s="2">
        <v>125.0</v>
      </c>
      <c r="G906" s="2">
        <v>201100.0</v>
      </c>
    </row>
    <row r="907" ht="14.25" customHeight="1">
      <c r="A907" s="2">
        <v>906.0</v>
      </c>
      <c r="B907" s="2" t="s">
        <v>2604</v>
      </c>
      <c r="C907" s="2" t="s">
        <v>3410</v>
      </c>
      <c r="D907" s="2">
        <v>200.0</v>
      </c>
      <c r="E907" s="2">
        <v>1.0</v>
      </c>
      <c r="F907" s="2">
        <v>125.0</v>
      </c>
      <c r="G907" s="2">
        <v>201100.0</v>
      </c>
    </row>
    <row r="908" ht="14.25" customHeight="1">
      <c r="A908" s="2">
        <v>907.0</v>
      </c>
      <c r="B908" s="2" t="s">
        <v>2561</v>
      </c>
      <c r="C908" s="2" t="s">
        <v>3411</v>
      </c>
      <c r="D908" s="2">
        <v>162.0</v>
      </c>
      <c r="E908" s="2">
        <v>1.0</v>
      </c>
      <c r="F908" s="2">
        <v>70.0</v>
      </c>
      <c r="G908" s="2">
        <v>201000.0</v>
      </c>
    </row>
    <row r="909" ht="14.25" customHeight="1">
      <c r="A909" s="2">
        <v>908.0</v>
      </c>
      <c r="B909" s="2" t="s">
        <v>2576</v>
      </c>
      <c r="C909" s="2" t="s">
        <v>3412</v>
      </c>
      <c r="D909" s="2">
        <v>197.0</v>
      </c>
      <c r="E909" s="2">
        <v>1.0</v>
      </c>
      <c r="F909" s="2">
        <v>100.0</v>
      </c>
      <c r="G909" s="2">
        <v>201000.0</v>
      </c>
    </row>
    <row r="910" ht="14.25" customHeight="1">
      <c r="A910" s="2">
        <v>909.0</v>
      </c>
      <c r="B910" s="2" t="s">
        <v>2524</v>
      </c>
      <c r="C910" s="2" t="s">
        <v>3413</v>
      </c>
      <c r="D910" s="2">
        <v>331.0</v>
      </c>
      <c r="E910" s="2">
        <v>1.0</v>
      </c>
      <c r="F910" s="2">
        <v>100.0</v>
      </c>
      <c r="G910" s="2">
        <v>201000.0</v>
      </c>
    </row>
    <row r="911" ht="14.25" customHeight="1">
      <c r="A911" s="2">
        <v>910.0</v>
      </c>
      <c r="B911" s="2" t="s">
        <v>2582</v>
      </c>
      <c r="C911" s="2" t="s">
        <v>3414</v>
      </c>
      <c r="D911" s="2">
        <v>183.0</v>
      </c>
      <c r="E911" s="2">
        <v>1.0</v>
      </c>
      <c r="F911" s="2">
        <v>100.1</v>
      </c>
      <c r="G911" s="2">
        <v>200900.0</v>
      </c>
    </row>
    <row r="912" ht="14.25" customHeight="1">
      <c r="A912" s="2">
        <v>911.0</v>
      </c>
      <c r="B912" s="2" t="s">
        <v>2686</v>
      </c>
      <c r="C912" s="2" t="s">
        <v>3415</v>
      </c>
      <c r="D912" s="2">
        <v>127.0</v>
      </c>
      <c r="E912" s="2">
        <v>1.0</v>
      </c>
      <c r="F912" s="2">
        <v>80.0</v>
      </c>
      <c r="G912" s="2">
        <v>200800.0</v>
      </c>
    </row>
    <row r="913" ht="14.25" customHeight="1">
      <c r="A913" s="2">
        <v>912.0</v>
      </c>
      <c r="B913" s="2" t="s">
        <v>2594</v>
      </c>
      <c r="C913" s="2" t="s">
        <v>3416</v>
      </c>
      <c r="D913" s="2">
        <v>184.0</v>
      </c>
      <c r="E913" s="2">
        <v>1.0</v>
      </c>
      <c r="F913" s="2">
        <v>150.0</v>
      </c>
      <c r="G913" s="2">
        <v>200800.0</v>
      </c>
    </row>
    <row r="914" ht="14.25" customHeight="1">
      <c r="A914" s="2">
        <v>913.0</v>
      </c>
      <c r="B914" s="2" t="s">
        <v>2558</v>
      </c>
      <c r="C914" s="2" t="s">
        <v>3417</v>
      </c>
      <c r="D914" s="2">
        <v>357.0</v>
      </c>
      <c r="E914" s="2">
        <v>1.0</v>
      </c>
      <c r="F914" s="2">
        <v>120.0</v>
      </c>
      <c r="G914" s="2">
        <v>200800.0</v>
      </c>
    </row>
    <row r="915" ht="14.25" customHeight="1">
      <c r="A915" s="2">
        <v>914.0</v>
      </c>
      <c r="B915" s="2" t="s">
        <v>2553</v>
      </c>
      <c r="C915" s="2" t="s">
        <v>3418</v>
      </c>
      <c r="D915" s="2">
        <v>187.0</v>
      </c>
      <c r="E915" s="2">
        <v>1.0</v>
      </c>
      <c r="F915" s="2">
        <v>75.0</v>
      </c>
      <c r="G915" s="2">
        <v>200700.0</v>
      </c>
    </row>
    <row r="916" ht="14.25" customHeight="1">
      <c r="A916" s="2">
        <v>915.0</v>
      </c>
      <c r="B916" s="2" t="s">
        <v>2651</v>
      </c>
      <c r="C916" s="2" t="s">
        <v>3419</v>
      </c>
      <c r="D916" s="2">
        <v>347.0</v>
      </c>
      <c r="E916" s="2">
        <v>1.0</v>
      </c>
      <c r="F916" s="2">
        <v>85.0</v>
      </c>
      <c r="G916" s="2">
        <v>200700.0</v>
      </c>
    </row>
    <row r="917" ht="14.25" customHeight="1">
      <c r="A917" s="2">
        <v>916.0</v>
      </c>
      <c r="B917" s="2" t="s">
        <v>2558</v>
      </c>
      <c r="C917" s="2" t="s">
        <v>3420</v>
      </c>
      <c r="D917" s="2">
        <v>357.0</v>
      </c>
      <c r="E917" s="2">
        <v>1.0</v>
      </c>
      <c r="F917" s="2">
        <v>66.0</v>
      </c>
      <c r="G917" s="2">
        <v>200600.0</v>
      </c>
    </row>
    <row r="918" ht="14.25" customHeight="1">
      <c r="A918" s="2">
        <v>917.0</v>
      </c>
      <c r="B918" s="2" t="s">
        <v>2558</v>
      </c>
      <c r="C918" s="2" t="s">
        <v>3421</v>
      </c>
      <c r="D918" s="2">
        <v>357.0</v>
      </c>
      <c r="E918" s="2">
        <v>1.0</v>
      </c>
      <c r="F918" s="2">
        <v>80.0</v>
      </c>
      <c r="G918" s="2">
        <v>200600.0</v>
      </c>
    </row>
    <row r="919" ht="14.25" customHeight="1">
      <c r="A919" s="2">
        <v>918.0</v>
      </c>
      <c r="B919" s="2" t="s">
        <v>2507</v>
      </c>
      <c r="C919" s="2" t="s">
        <v>3422</v>
      </c>
      <c r="D919" s="2">
        <v>205.0</v>
      </c>
      <c r="E919" s="2">
        <v>1.0</v>
      </c>
      <c r="F919" s="2">
        <v>125.0</v>
      </c>
      <c r="G919" s="2">
        <v>200500.0</v>
      </c>
    </row>
    <row r="920" ht="14.25" customHeight="1">
      <c r="A920" s="2">
        <v>919.0</v>
      </c>
      <c r="B920" s="2" t="s">
        <v>2744</v>
      </c>
      <c r="C920" s="2" t="s">
        <v>3423</v>
      </c>
      <c r="D920" s="2">
        <v>169.0</v>
      </c>
      <c r="E920" s="2">
        <v>1.0</v>
      </c>
      <c r="F920" s="2">
        <v>70.0</v>
      </c>
      <c r="G920" s="2">
        <v>200200.0</v>
      </c>
    </row>
    <row r="921" ht="14.25" customHeight="1">
      <c r="A921" s="2">
        <v>920.0</v>
      </c>
      <c r="B921" s="2" t="s">
        <v>2576</v>
      </c>
      <c r="C921" s="2" t="s">
        <v>3424</v>
      </c>
      <c r="D921" s="2">
        <v>197.0</v>
      </c>
      <c r="E921" s="2">
        <v>1.0</v>
      </c>
      <c r="F921" s="2">
        <v>100.0</v>
      </c>
      <c r="G921" s="2">
        <v>200200.0</v>
      </c>
    </row>
    <row r="922" ht="14.25" customHeight="1">
      <c r="A922" s="2">
        <v>921.0</v>
      </c>
      <c r="B922" s="2" t="s">
        <v>2686</v>
      </c>
      <c r="C922" s="2" t="s">
        <v>3425</v>
      </c>
      <c r="D922" s="2">
        <v>127.0</v>
      </c>
      <c r="E922" s="2">
        <v>1.0</v>
      </c>
      <c r="F922" s="2">
        <v>125.0</v>
      </c>
      <c r="G922" s="2">
        <v>200000.0</v>
      </c>
    </row>
    <row r="923" ht="14.25" customHeight="1">
      <c r="A923" s="2">
        <v>922.0</v>
      </c>
      <c r="B923" s="2" t="s">
        <v>2512</v>
      </c>
      <c r="C923" s="2" t="s">
        <v>3426</v>
      </c>
      <c r="D923" s="2">
        <v>153.0</v>
      </c>
      <c r="E923" s="2">
        <v>1.0</v>
      </c>
      <c r="F923" s="2">
        <v>75.0</v>
      </c>
      <c r="G923" s="2">
        <v>199900.0</v>
      </c>
    </row>
    <row r="924" ht="14.25" customHeight="1">
      <c r="A924" s="2">
        <v>923.0</v>
      </c>
      <c r="B924" s="2" t="s">
        <v>2561</v>
      </c>
      <c r="C924" s="2" t="s">
        <v>3427</v>
      </c>
      <c r="D924" s="2">
        <v>162.0</v>
      </c>
      <c r="E924" s="2">
        <v>1.0</v>
      </c>
      <c r="F924" s="2">
        <v>75.0</v>
      </c>
      <c r="G924" s="2">
        <v>199900.0</v>
      </c>
    </row>
    <row r="925" ht="14.25" customHeight="1">
      <c r="A925" s="2">
        <v>924.0</v>
      </c>
      <c r="B925" s="2" t="s">
        <v>2576</v>
      </c>
      <c r="C925" s="2" t="s">
        <v>3428</v>
      </c>
      <c r="D925" s="2">
        <v>197.0</v>
      </c>
      <c r="E925" s="2">
        <v>1.0</v>
      </c>
      <c r="F925" s="2">
        <v>100.0</v>
      </c>
      <c r="G925" s="2">
        <v>199800.0</v>
      </c>
    </row>
    <row r="926" ht="14.25" customHeight="1">
      <c r="A926" s="2">
        <v>925.0</v>
      </c>
      <c r="B926" s="2" t="s">
        <v>2501</v>
      </c>
      <c r="C926" s="2" t="s">
        <v>3429</v>
      </c>
      <c r="D926" s="2">
        <v>199.0</v>
      </c>
      <c r="E926" s="2">
        <v>1.0</v>
      </c>
      <c r="F926" s="2">
        <v>60.0</v>
      </c>
      <c r="G926" s="2">
        <v>199700.0</v>
      </c>
    </row>
    <row r="927" ht="14.25" customHeight="1">
      <c r="A927" s="2">
        <v>926.0</v>
      </c>
      <c r="B927" s="2" t="s">
        <v>2501</v>
      </c>
      <c r="C927" s="2" t="s">
        <v>3430</v>
      </c>
      <c r="D927" s="2">
        <v>199.0</v>
      </c>
      <c r="E927" s="2">
        <v>1.0</v>
      </c>
      <c r="F927" s="2">
        <v>100.0</v>
      </c>
      <c r="G927" s="2">
        <v>199500.0</v>
      </c>
    </row>
    <row r="928" ht="14.25" customHeight="1">
      <c r="A928" s="2">
        <v>927.0</v>
      </c>
      <c r="B928" s="2" t="s">
        <v>2501</v>
      </c>
      <c r="C928" s="2" t="s">
        <v>3431</v>
      </c>
      <c r="D928" s="2">
        <v>199.0</v>
      </c>
      <c r="E928" s="2">
        <v>1.0</v>
      </c>
      <c r="F928" s="2">
        <v>145.0</v>
      </c>
      <c r="G928" s="2">
        <v>199500.0</v>
      </c>
    </row>
    <row r="929" ht="14.25" customHeight="1">
      <c r="A929" s="2">
        <v>928.0</v>
      </c>
      <c r="B929" s="2" t="s">
        <v>2503</v>
      </c>
      <c r="C929" s="2" t="s">
        <v>3432</v>
      </c>
      <c r="D929" s="2">
        <v>105.0</v>
      </c>
      <c r="E929" s="2">
        <v>1.0</v>
      </c>
      <c r="F929" s="2">
        <v>130.0</v>
      </c>
      <c r="G929" s="2">
        <v>199000.0</v>
      </c>
    </row>
    <row r="930" ht="14.25" customHeight="1">
      <c r="A930" s="2">
        <v>929.0</v>
      </c>
      <c r="B930" s="2" t="s">
        <v>2477</v>
      </c>
      <c r="C930" s="2" t="s">
        <v>3433</v>
      </c>
      <c r="D930" s="2">
        <v>152.0</v>
      </c>
      <c r="E930" s="2">
        <v>1.0</v>
      </c>
      <c r="F930" s="2">
        <v>118.0</v>
      </c>
      <c r="G930" s="2">
        <v>199000.0</v>
      </c>
    </row>
    <row r="931" ht="14.25" customHeight="1">
      <c r="A931" s="2">
        <v>930.0</v>
      </c>
      <c r="B931" s="2" t="s">
        <v>2558</v>
      </c>
      <c r="C931" s="2" t="s">
        <v>3434</v>
      </c>
      <c r="D931" s="2">
        <v>357.0</v>
      </c>
      <c r="E931" s="2">
        <v>1.0</v>
      </c>
      <c r="F931" s="2">
        <v>66.0</v>
      </c>
      <c r="G931" s="2">
        <v>199000.0</v>
      </c>
    </row>
    <row r="932" ht="14.25" customHeight="1">
      <c r="A932" s="2">
        <v>931.0</v>
      </c>
      <c r="B932" s="2" t="s">
        <v>2534</v>
      </c>
      <c r="C932" s="2" t="s">
        <v>3435</v>
      </c>
      <c r="D932" s="2">
        <v>188.0</v>
      </c>
      <c r="E932" s="2">
        <v>1.0</v>
      </c>
      <c r="F932" s="2">
        <v>85.0</v>
      </c>
      <c r="G932" s="2">
        <v>198900.0</v>
      </c>
    </row>
    <row r="933" ht="14.25" customHeight="1">
      <c r="A933" s="2">
        <v>932.0</v>
      </c>
      <c r="B933" s="2" t="s">
        <v>2561</v>
      </c>
      <c r="C933" s="2" t="s">
        <v>3436</v>
      </c>
      <c r="D933" s="2">
        <v>162.0</v>
      </c>
      <c r="E933" s="2">
        <v>1.0</v>
      </c>
      <c r="F933" s="2">
        <v>85.0</v>
      </c>
      <c r="G933" s="2">
        <v>198800.0</v>
      </c>
    </row>
    <row r="934" ht="14.25" customHeight="1">
      <c r="A934" s="2">
        <v>933.0</v>
      </c>
      <c r="B934" s="2" t="s">
        <v>2576</v>
      </c>
      <c r="C934" s="2" t="s">
        <v>3437</v>
      </c>
      <c r="D934" s="2">
        <v>197.0</v>
      </c>
      <c r="E934" s="2">
        <v>1.0</v>
      </c>
      <c r="F934" s="2">
        <v>132.0</v>
      </c>
      <c r="G934" s="2">
        <v>198800.0</v>
      </c>
    </row>
    <row r="935" ht="14.25" customHeight="1">
      <c r="A935" s="2">
        <v>934.0</v>
      </c>
      <c r="B935" s="2" t="s">
        <v>2479</v>
      </c>
      <c r="C935" s="2" t="s">
        <v>3438</v>
      </c>
      <c r="D935" s="2">
        <v>182.0</v>
      </c>
      <c r="E935" s="2">
        <v>1.0</v>
      </c>
      <c r="F935" s="2">
        <v>75.0</v>
      </c>
      <c r="G935" s="2">
        <v>198700.0</v>
      </c>
    </row>
    <row r="936" ht="14.25" customHeight="1">
      <c r="A936" s="2">
        <v>935.0</v>
      </c>
      <c r="B936" s="2" t="s">
        <v>2534</v>
      </c>
      <c r="C936" s="2" t="s">
        <v>3439</v>
      </c>
      <c r="D936" s="2">
        <v>188.0</v>
      </c>
      <c r="E936" s="2">
        <v>1.0</v>
      </c>
      <c r="F936" s="2">
        <v>75.0</v>
      </c>
      <c r="G936" s="2">
        <v>198600.0</v>
      </c>
    </row>
    <row r="937" ht="14.25" customHeight="1">
      <c r="A937" s="2">
        <v>936.0</v>
      </c>
      <c r="B937" s="2" t="s">
        <v>2477</v>
      </c>
      <c r="C937" s="2" t="s">
        <v>3440</v>
      </c>
      <c r="D937" s="2">
        <v>152.0</v>
      </c>
      <c r="E937" s="2">
        <v>1.0</v>
      </c>
      <c r="F937" s="2">
        <v>100.0</v>
      </c>
      <c r="G937" s="2">
        <v>198500.0</v>
      </c>
    </row>
    <row r="938" ht="14.25" customHeight="1">
      <c r="A938" s="2">
        <v>937.0</v>
      </c>
      <c r="B938" s="2" t="s">
        <v>2558</v>
      </c>
      <c r="C938" s="2" t="s">
        <v>3441</v>
      </c>
      <c r="D938" s="2">
        <v>357.0</v>
      </c>
      <c r="E938" s="2">
        <v>1.0</v>
      </c>
      <c r="F938" s="2">
        <v>86.0</v>
      </c>
      <c r="G938" s="2">
        <v>198300.0</v>
      </c>
    </row>
    <row r="939" ht="14.25" customHeight="1">
      <c r="A939" s="2">
        <v>938.0</v>
      </c>
      <c r="B939" s="2" t="s">
        <v>2558</v>
      </c>
      <c r="C939" s="2" t="s">
        <v>3442</v>
      </c>
      <c r="D939" s="2">
        <v>357.0</v>
      </c>
      <c r="E939" s="2">
        <v>1.0</v>
      </c>
      <c r="F939" s="2">
        <v>66.0</v>
      </c>
      <c r="G939" s="2">
        <v>198300.0</v>
      </c>
    </row>
    <row r="940" ht="14.25" customHeight="1">
      <c r="A940" s="2">
        <v>939.0</v>
      </c>
      <c r="B940" s="2" t="s">
        <v>2501</v>
      </c>
      <c r="C940" s="2" t="s">
        <v>3443</v>
      </c>
      <c r="D940" s="2">
        <v>199.0</v>
      </c>
      <c r="E940" s="2">
        <v>1.0</v>
      </c>
      <c r="F940" s="2">
        <v>66.0</v>
      </c>
      <c r="G940" s="2">
        <v>198100.0</v>
      </c>
    </row>
    <row r="941" ht="14.25" customHeight="1">
      <c r="A941" s="2">
        <v>940.0</v>
      </c>
      <c r="B941" s="2" t="s">
        <v>2651</v>
      </c>
      <c r="C941" s="2" t="s">
        <v>3444</v>
      </c>
      <c r="D941" s="2">
        <v>347.0</v>
      </c>
      <c r="E941" s="2">
        <v>1.0</v>
      </c>
      <c r="F941" s="2">
        <v>99.0</v>
      </c>
      <c r="G941" s="2">
        <v>198100.0</v>
      </c>
    </row>
    <row r="942" ht="14.25" customHeight="1">
      <c r="A942" s="2">
        <v>941.0</v>
      </c>
      <c r="B942" s="2" t="s">
        <v>2524</v>
      </c>
      <c r="C942" s="2" t="s">
        <v>3445</v>
      </c>
      <c r="D942" s="2">
        <v>331.0</v>
      </c>
      <c r="E942" s="2">
        <v>1.0</v>
      </c>
      <c r="F942" s="2">
        <v>75.0</v>
      </c>
      <c r="G942" s="2">
        <v>197900.0</v>
      </c>
    </row>
    <row r="943" ht="14.25" customHeight="1">
      <c r="A943" s="2">
        <v>942.0</v>
      </c>
      <c r="B943" s="2" t="s">
        <v>2501</v>
      </c>
      <c r="C943" s="2" t="s">
        <v>3446</v>
      </c>
      <c r="D943" s="2">
        <v>199.0</v>
      </c>
      <c r="E943" s="2">
        <v>1.0</v>
      </c>
      <c r="F943" s="2">
        <v>100.0</v>
      </c>
      <c r="G943" s="2">
        <v>197600.0</v>
      </c>
    </row>
    <row r="944" ht="14.25" customHeight="1">
      <c r="A944" s="2">
        <v>943.0</v>
      </c>
      <c r="B944" s="2" t="s">
        <v>2491</v>
      </c>
      <c r="C944" s="2" t="s">
        <v>3447</v>
      </c>
      <c r="D944" s="2">
        <v>116.0</v>
      </c>
      <c r="E944" s="2">
        <v>1.0</v>
      </c>
      <c r="F944" s="2">
        <v>100.0</v>
      </c>
      <c r="G944" s="2">
        <v>197500.0</v>
      </c>
    </row>
    <row r="945" ht="14.25" customHeight="1">
      <c r="A945" s="2">
        <v>944.0</v>
      </c>
      <c r="B945" s="2" t="s">
        <v>2561</v>
      </c>
      <c r="C945" s="2" t="s">
        <v>3448</v>
      </c>
      <c r="D945" s="2">
        <v>162.0</v>
      </c>
      <c r="E945" s="2">
        <v>1.0</v>
      </c>
      <c r="F945" s="2">
        <v>100.0</v>
      </c>
      <c r="G945" s="2">
        <v>197500.0</v>
      </c>
    </row>
    <row r="946" ht="14.25" customHeight="1">
      <c r="A946" s="2">
        <v>945.0</v>
      </c>
      <c r="B946" s="2" t="s">
        <v>2571</v>
      </c>
      <c r="C946" s="2" t="s">
        <v>3449</v>
      </c>
      <c r="D946" s="2">
        <v>185.0</v>
      </c>
      <c r="E946" s="2">
        <v>1.0</v>
      </c>
      <c r="F946" s="2">
        <v>90.0</v>
      </c>
      <c r="G946" s="2">
        <v>197400.0</v>
      </c>
    </row>
    <row r="947" ht="14.25" customHeight="1">
      <c r="A947" s="2">
        <v>946.0</v>
      </c>
      <c r="B947" s="2" t="s">
        <v>2594</v>
      </c>
      <c r="C947" s="2" t="s">
        <v>3450</v>
      </c>
      <c r="D947" s="2">
        <v>184.0</v>
      </c>
      <c r="E947" s="2">
        <v>1.0</v>
      </c>
      <c r="F947" s="2">
        <v>66.0</v>
      </c>
      <c r="G947" s="2">
        <v>197300.0</v>
      </c>
    </row>
    <row r="948" ht="14.25" customHeight="1">
      <c r="A948" s="2">
        <v>947.0</v>
      </c>
      <c r="B948" s="2" t="s">
        <v>2479</v>
      </c>
      <c r="C948" s="2" t="s">
        <v>3451</v>
      </c>
      <c r="D948" s="2">
        <v>182.0</v>
      </c>
      <c r="E948" s="2">
        <v>1.0</v>
      </c>
      <c r="F948" s="2">
        <v>75.0</v>
      </c>
      <c r="G948" s="2">
        <v>197200.0</v>
      </c>
    </row>
    <row r="949" ht="14.25" customHeight="1">
      <c r="A949" s="2">
        <v>948.0</v>
      </c>
      <c r="B949" s="2" t="s">
        <v>2479</v>
      </c>
      <c r="C949" s="2" t="s">
        <v>3452</v>
      </c>
      <c r="D949" s="2">
        <v>182.0</v>
      </c>
      <c r="E949" s="2">
        <v>1.0</v>
      </c>
      <c r="F949" s="2">
        <v>100.0</v>
      </c>
      <c r="G949" s="2">
        <v>197100.0</v>
      </c>
    </row>
    <row r="950" ht="14.25" customHeight="1">
      <c r="A950" s="2">
        <v>949.0</v>
      </c>
      <c r="B950" s="2" t="s">
        <v>2549</v>
      </c>
      <c r="C950" s="2" t="s">
        <v>3453</v>
      </c>
      <c r="D950" s="2">
        <v>115.0</v>
      </c>
      <c r="E950" s="2">
        <v>1.0</v>
      </c>
      <c r="F950" s="2">
        <v>125.0</v>
      </c>
      <c r="G950" s="2">
        <v>197000.0</v>
      </c>
    </row>
    <row r="951" ht="14.25" customHeight="1">
      <c r="A951" s="2">
        <v>950.0</v>
      </c>
      <c r="B951" s="2" t="s">
        <v>2549</v>
      </c>
      <c r="C951" s="2" t="s">
        <v>3454</v>
      </c>
      <c r="D951" s="2">
        <v>115.0</v>
      </c>
      <c r="E951" s="2">
        <v>1.0</v>
      </c>
      <c r="F951" s="2">
        <v>100.0</v>
      </c>
      <c r="G951" s="2">
        <v>197000.0</v>
      </c>
    </row>
    <row r="952" ht="14.25" customHeight="1">
      <c r="A952" s="2">
        <v>951.0</v>
      </c>
      <c r="B952" s="2" t="s">
        <v>2497</v>
      </c>
      <c r="C952" s="2" t="s">
        <v>3455</v>
      </c>
      <c r="D952" s="2">
        <v>151.0</v>
      </c>
      <c r="E952" s="2">
        <v>1.0</v>
      </c>
      <c r="F952" s="2">
        <v>150.0</v>
      </c>
      <c r="G952" s="2">
        <v>197000.0</v>
      </c>
    </row>
    <row r="953" ht="14.25" customHeight="1">
      <c r="A953" s="2">
        <v>952.0</v>
      </c>
      <c r="B953" s="2" t="s">
        <v>2505</v>
      </c>
      <c r="C953" s="2" t="s">
        <v>3456</v>
      </c>
      <c r="D953" s="2">
        <v>429.0</v>
      </c>
      <c r="E953" s="2">
        <v>1.0</v>
      </c>
      <c r="F953" s="2">
        <v>200.0</v>
      </c>
      <c r="G953" s="2">
        <v>197000.0</v>
      </c>
    </row>
    <row r="954" ht="14.25" customHeight="1">
      <c r="A954" s="2">
        <v>953.0</v>
      </c>
      <c r="B954" s="2" t="s">
        <v>2491</v>
      </c>
      <c r="C954" s="2" t="s">
        <v>3457</v>
      </c>
      <c r="D954" s="2">
        <v>116.0</v>
      </c>
      <c r="E954" s="2">
        <v>1.0</v>
      </c>
      <c r="F954" s="2">
        <v>150.0</v>
      </c>
      <c r="G954" s="2">
        <v>196900.0</v>
      </c>
    </row>
    <row r="955" ht="14.25" customHeight="1">
      <c r="A955" s="2">
        <v>954.0</v>
      </c>
      <c r="B955" s="2" t="s">
        <v>2651</v>
      </c>
      <c r="C955" s="2" t="s">
        <v>3458</v>
      </c>
      <c r="D955" s="2">
        <v>347.0</v>
      </c>
      <c r="E955" s="2">
        <v>1.0</v>
      </c>
      <c r="F955" s="2">
        <v>85.0</v>
      </c>
      <c r="G955" s="2">
        <v>196900.0</v>
      </c>
    </row>
    <row r="956" ht="14.25" customHeight="1">
      <c r="A956" s="2">
        <v>955.0</v>
      </c>
      <c r="B956" s="2" t="s">
        <v>2477</v>
      </c>
      <c r="C956" s="2" t="s">
        <v>3459</v>
      </c>
      <c r="D956" s="2">
        <v>152.0</v>
      </c>
      <c r="E956" s="2">
        <v>1.0</v>
      </c>
      <c r="F956" s="2">
        <v>118.0</v>
      </c>
      <c r="G956" s="2">
        <v>196800.0</v>
      </c>
    </row>
    <row r="957" ht="14.25" customHeight="1">
      <c r="A957" s="2">
        <v>956.0</v>
      </c>
      <c r="B957" s="2" t="s">
        <v>2479</v>
      </c>
      <c r="C957" s="2" t="s">
        <v>3460</v>
      </c>
      <c r="D957" s="2">
        <v>182.0</v>
      </c>
      <c r="E957" s="2">
        <v>1.0</v>
      </c>
      <c r="F957" s="2">
        <v>50.0</v>
      </c>
      <c r="G957" s="2">
        <v>196800.0</v>
      </c>
    </row>
    <row r="958" ht="14.25" customHeight="1">
      <c r="A958" s="2">
        <v>957.0</v>
      </c>
      <c r="B958" s="2" t="s">
        <v>2558</v>
      </c>
      <c r="C958" s="2" t="s">
        <v>3461</v>
      </c>
      <c r="D958" s="2">
        <v>357.0</v>
      </c>
      <c r="E958" s="2">
        <v>1.0</v>
      </c>
      <c r="F958" s="2">
        <v>57.0</v>
      </c>
      <c r="G958" s="2">
        <v>196700.0</v>
      </c>
    </row>
    <row r="959" ht="14.25" customHeight="1">
      <c r="A959" s="2">
        <v>958.0</v>
      </c>
      <c r="B959" s="2" t="s">
        <v>2477</v>
      </c>
      <c r="C959" s="2" t="s">
        <v>3462</v>
      </c>
      <c r="D959" s="2">
        <v>152.0</v>
      </c>
      <c r="E959" s="2">
        <v>1.0</v>
      </c>
      <c r="F959" s="2">
        <v>100.0</v>
      </c>
      <c r="G959" s="2">
        <v>196600.0</v>
      </c>
    </row>
    <row r="960" ht="14.25" customHeight="1">
      <c r="A960" s="2">
        <v>959.0</v>
      </c>
      <c r="B960" s="2" t="s">
        <v>2518</v>
      </c>
      <c r="C960" s="2" t="s">
        <v>3463</v>
      </c>
      <c r="D960" s="2">
        <v>161.0</v>
      </c>
      <c r="E960" s="2">
        <v>1.0</v>
      </c>
      <c r="F960" s="2">
        <v>100.0</v>
      </c>
      <c r="G960" s="2">
        <v>196500.0</v>
      </c>
    </row>
    <row r="961" ht="14.25" customHeight="1">
      <c r="A961" s="2">
        <v>960.0</v>
      </c>
      <c r="B961" s="2" t="s">
        <v>2488</v>
      </c>
      <c r="C961" s="2" t="s">
        <v>3464</v>
      </c>
      <c r="D961" s="2">
        <v>333.0</v>
      </c>
      <c r="E961" s="2">
        <v>1.0</v>
      </c>
      <c r="F961" s="2">
        <v>75.0</v>
      </c>
      <c r="G961" s="2">
        <v>196400.0</v>
      </c>
    </row>
    <row r="962" ht="14.25" customHeight="1">
      <c r="A962" s="2">
        <v>961.0</v>
      </c>
      <c r="B962" s="2" t="s">
        <v>2488</v>
      </c>
      <c r="C962" s="2" t="s">
        <v>3465</v>
      </c>
      <c r="D962" s="2">
        <v>333.0</v>
      </c>
      <c r="E962" s="2">
        <v>1.0</v>
      </c>
      <c r="F962" s="2">
        <v>75.0</v>
      </c>
      <c r="G962" s="2">
        <v>196300.0</v>
      </c>
    </row>
    <row r="963" ht="14.25" customHeight="1">
      <c r="A963" s="2">
        <v>962.0</v>
      </c>
      <c r="B963" s="2" t="s">
        <v>2477</v>
      </c>
      <c r="C963" s="2" t="s">
        <v>3466</v>
      </c>
      <c r="D963" s="2">
        <v>152.0</v>
      </c>
      <c r="E963" s="2">
        <v>1.0</v>
      </c>
      <c r="F963" s="2">
        <v>118.0</v>
      </c>
      <c r="G963" s="2">
        <v>196200.0</v>
      </c>
    </row>
    <row r="964" ht="14.25" customHeight="1">
      <c r="A964" s="2">
        <v>963.0</v>
      </c>
      <c r="B964" s="2" t="s">
        <v>2534</v>
      </c>
      <c r="C964" s="2" t="s">
        <v>3467</v>
      </c>
      <c r="D964" s="2">
        <v>188.0</v>
      </c>
      <c r="E964" s="2">
        <v>1.0</v>
      </c>
      <c r="F964" s="2">
        <v>50.0</v>
      </c>
      <c r="G964" s="2">
        <v>196200.0</v>
      </c>
    </row>
    <row r="965" ht="14.25" customHeight="1">
      <c r="A965" s="2">
        <v>964.0</v>
      </c>
      <c r="B965" s="2" t="s">
        <v>2488</v>
      </c>
      <c r="C965" s="2" t="s">
        <v>3468</v>
      </c>
      <c r="D965" s="2">
        <v>333.0</v>
      </c>
      <c r="E965" s="2">
        <v>1.0</v>
      </c>
      <c r="F965" s="2">
        <v>50.0</v>
      </c>
      <c r="G965" s="2">
        <v>196200.0</v>
      </c>
    </row>
    <row r="966" ht="14.25" customHeight="1">
      <c r="A966" s="2">
        <v>965.0</v>
      </c>
      <c r="B966" s="2" t="s">
        <v>2744</v>
      </c>
      <c r="C966" s="2" t="s">
        <v>3469</v>
      </c>
      <c r="D966" s="2">
        <v>169.0</v>
      </c>
      <c r="E966" s="2">
        <v>1.0</v>
      </c>
      <c r="F966" s="2">
        <v>150.0</v>
      </c>
      <c r="G966" s="2">
        <v>196000.0</v>
      </c>
    </row>
    <row r="967" ht="14.25" customHeight="1">
      <c r="A967" s="2">
        <v>966.0</v>
      </c>
      <c r="B967" s="2" t="s">
        <v>2621</v>
      </c>
      <c r="C967" s="2" t="s">
        <v>3470</v>
      </c>
      <c r="D967" s="2">
        <v>403.0</v>
      </c>
      <c r="E967" s="2">
        <v>1.0</v>
      </c>
      <c r="F967" s="2">
        <v>112.5</v>
      </c>
      <c r="G967" s="2">
        <v>195800.0</v>
      </c>
    </row>
    <row r="968" ht="14.25" customHeight="1">
      <c r="A968" s="2">
        <v>967.0</v>
      </c>
      <c r="B968" s="2" t="s">
        <v>2553</v>
      </c>
      <c r="C968" s="2" t="s">
        <v>3471</v>
      </c>
      <c r="D968" s="2">
        <v>187.0</v>
      </c>
      <c r="E968" s="2">
        <v>1.0</v>
      </c>
      <c r="F968" s="2">
        <v>100.0</v>
      </c>
      <c r="G968" s="2">
        <v>195600.0</v>
      </c>
    </row>
    <row r="969" ht="14.25" customHeight="1">
      <c r="A969" s="2">
        <v>968.0</v>
      </c>
      <c r="B969" s="2" t="s">
        <v>2534</v>
      </c>
      <c r="C969" s="2" t="s">
        <v>3472</v>
      </c>
      <c r="D969" s="2">
        <v>188.0</v>
      </c>
      <c r="E969" s="2">
        <v>1.0</v>
      </c>
      <c r="F969" s="2">
        <v>150.0</v>
      </c>
      <c r="G969" s="2">
        <v>195600.0</v>
      </c>
    </row>
    <row r="970" ht="14.25" customHeight="1">
      <c r="A970" s="2">
        <v>969.0</v>
      </c>
      <c r="B970" s="2" t="s">
        <v>2501</v>
      </c>
      <c r="C970" s="2" t="s">
        <v>3473</v>
      </c>
      <c r="D970" s="2">
        <v>199.0</v>
      </c>
      <c r="E970" s="2">
        <v>1.0</v>
      </c>
      <c r="F970" s="2">
        <v>75.0</v>
      </c>
      <c r="G970" s="2">
        <v>195600.0</v>
      </c>
    </row>
    <row r="971" ht="14.25" customHeight="1">
      <c r="A971" s="2">
        <v>970.0</v>
      </c>
      <c r="B971" s="2" t="s">
        <v>2744</v>
      </c>
      <c r="C971" s="2" t="s">
        <v>3474</v>
      </c>
      <c r="D971" s="2">
        <v>169.0</v>
      </c>
      <c r="E971" s="2">
        <v>1.0</v>
      </c>
      <c r="F971" s="2">
        <v>75.0</v>
      </c>
      <c r="G971" s="2">
        <v>195500.0</v>
      </c>
    </row>
    <row r="972" ht="14.25" customHeight="1">
      <c r="A972" s="2">
        <v>971.0</v>
      </c>
      <c r="B972" s="2" t="s">
        <v>2488</v>
      </c>
      <c r="C972" s="2" t="s">
        <v>3475</v>
      </c>
      <c r="D972" s="2">
        <v>333.0</v>
      </c>
      <c r="E972" s="2">
        <v>1.0</v>
      </c>
      <c r="F972" s="2">
        <v>75.0</v>
      </c>
      <c r="G972" s="2">
        <v>195500.0</v>
      </c>
    </row>
    <row r="973" ht="14.25" customHeight="1">
      <c r="A973" s="2">
        <v>972.0</v>
      </c>
      <c r="B973" s="2" t="s">
        <v>2558</v>
      </c>
      <c r="C973" s="2" t="s">
        <v>3476</v>
      </c>
      <c r="D973" s="2">
        <v>357.0</v>
      </c>
      <c r="E973" s="2">
        <v>1.0</v>
      </c>
      <c r="F973" s="2">
        <v>80.0</v>
      </c>
      <c r="G973" s="2">
        <v>195500.0</v>
      </c>
    </row>
    <row r="974" ht="14.25" customHeight="1">
      <c r="A974" s="2">
        <v>973.0</v>
      </c>
      <c r="B974" s="2" t="s">
        <v>2744</v>
      </c>
      <c r="C974" s="2" t="s">
        <v>3477</v>
      </c>
      <c r="D974" s="2">
        <v>169.0</v>
      </c>
      <c r="E974" s="2">
        <v>1.0</v>
      </c>
      <c r="F974" s="2">
        <v>75.0</v>
      </c>
      <c r="G974" s="2">
        <v>195400.0</v>
      </c>
    </row>
    <row r="975" ht="14.25" customHeight="1">
      <c r="A975" s="2">
        <v>974.0</v>
      </c>
      <c r="B975" s="2" t="s">
        <v>2541</v>
      </c>
      <c r="C975" s="2" t="s">
        <v>3478</v>
      </c>
      <c r="D975" s="2">
        <v>195.0</v>
      </c>
      <c r="E975" s="2">
        <v>1.0</v>
      </c>
      <c r="F975" s="2">
        <v>100.0</v>
      </c>
      <c r="G975" s="2">
        <v>195300.0</v>
      </c>
    </row>
    <row r="976" ht="14.25" customHeight="1">
      <c r="A976" s="2">
        <v>975.0</v>
      </c>
      <c r="B976" s="2" t="s">
        <v>2477</v>
      </c>
      <c r="C976" s="2" t="s">
        <v>3479</v>
      </c>
      <c r="D976" s="2">
        <v>152.0</v>
      </c>
      <c r="E976" s="2">
        <v>1.0</v>
      </c>
      <c r="F976" s="2">
        <v>118.0</v>
      </c>
      <c r="G976" s="2">
        <v>195100.0</v>
      </c>
    </row>
    <row r="977" ht="14.25" customHeight="1">
      <c r="A977" s="2">
        <v>976.0</v>
      </c>
      <c r="B977" s="2" t="s">
        <v>2518</v>
      </c>
      <c r="C977" s="2" t="s">
        <v>3480</v>
      </c>
      <c r="D977" s="2">
        <v>161.0</v>
      </c>
      <c r="E977" s="2">
        <v>1.0</v>
      </c>
      <c r="F977" s="2">
        <v>100.0</v>
      </c>
      <c r="G977" s="2">
        <v>195100.0</v>
      </c>
    </row>
    <row r="978" ht="14.25" customHeight="1">
      <c r="A978" s="2">
        <v>977.0</v>
      </c>
      <c r="B978" s="2" t="s">
        <v>2744</v>
      </c>
      <c r="C978" s="2" t="s">
        <v>3481</v>
      </c>
      <c r="D978" s="2">
        <v>169.0</v>
      </c>
      <c r="E978" s="2">
        <v>1.0</v>
      </c>
      <c r="F978" s="2">
        <v>65.0</v>
      </c>
      <c r="G978" s="2">
        <v>195100.0</v>
      </c>
    </row>
    <row r="979" ht="14.25" customHeight="1">
      <c r="A979" s="2">
        <v>978.0</v>
      </c>
      <c r="B979" s="2" t="s">
        <v>2534</v>
      </c>
      <c r="C979" s="2" t="s">
        <v>3482</v>
      </c>
      <c r="D979" s="2">
        <v>188.0</v>
      </c>
      <c r="E979" s="2">
        <v>1.0</v>
      </c>
      <c r="F979" s="2">
        <v>100.0</v>
      </c>
      <c r="G979" s="2">
        <v>195000.0</v>
      </c>
    </row>
    <row r="980" ht="14.25" customHeight="1">
      <c r="A980" s="2">
        <v>979.0</v>
      </c>
      <c r="B980" s="2" t="s">
        <v>2501</v>
      </c>
      <c r="C980" s="2" t="s">
        <v>3483</v>
      </c>
      <c r="D980" s="2">
        <v>199.0</v>
      </c>
      <c r="E980" s="2">
        <v>1.0</v>
      </c>
      <c r="F980" s="2">
        <v>55.0</v>
      </c>
      <c r="G980" s="2">
        <v>195000.0</v>
      </c>
    </row>
    <row r="981" ht="14.25" customHeight="1">
      <c r="A981" s="2">
        <v>980.0</v>
      </c>
      <c r="B981" s="2" t="s">
        <v>2488</v>
      </c>
      <c r="C981" s="2" t="s">
        <v>3484</v>
      </c>
      <c r="D981" s="2">
        <v>333.0</v>
      </c>
      <c r="E981" s="2">
        <v>1.0</v>
      </c>
      <c r="F981" s="2">
        <v>70.0</v>
      </c>
      <c r="G981" s="2">
        <v>195000.0</v>
      </c>
    </row>
    <row r="982" ht="14.25" customHeight="1">
      <c r="A982" s="2">
        <v>981.0</v>
      </c>
      <c r="B982" s="2" t="s">
        <v>2488</v>
      </c>
      <c r="C982" s="2" t="s">
        <v>3485</v>
      </c>
      <c r="D982" s="2">
        <v>333.0</v>
      </c>
      <c r="E982" s="2">
        <v>1.0</v>
      </c>
      <c r="F982" s="2">
        <v>70.0</v>
      </c>
      <c r="G982" s="2">
        <v>195000.0</v>
      </c>
    </row>
    <row r="983" ht="14.25" customHeight="1">
      <c r="A983" s="2">
        <v>982.0</v>
      </c>
      <c r="B983" s="2" t="s">
        <v>2491</v>
      </c>
      <c r="C983" s="2" t="s">
        <v>3486</v>
      </c>
      <c r="D983" s="2">
        <v>116.0</v>
      </c>
      <c r="E983" s="2">
        <v>1.0</v>
      </c>
      <c r="F983" s="2">
        <v>100.0</v>
      </c>
      <c r="G983" s="2">
        <v>194900.0</v>
      </c>
    </row>
    <row r="984" ht="14.25" customHeight="1">
      <c r="A984" s="2">
        <v>983.0</v>
      </c>
      <c r="B984" s="2" t="s">
        <v>2518</v>
      </c>
      <c r="C984" s="2" t="s">
        <v>3487</v>
      </c>
      <c r="D984" s="2">
        <v>161.0</v>
      </c>
      <c r="E984" s="2">
        <v>1.0</v>
      </c>
      <c r="F984" s="2">
        <v>75.0</v>
      </c>
      <c r="G984" s="2">
        <v>194900.0</v>
      </c>
    </row>
    <row r="985" ht="14.25" customHeight="1">
      <c r="A985" s="2">
        <v>984.0</v>
      </c>
      <c r="B985" s="2" t="s">
        <v>2744</v>
      </c>
      <c r="C985" s="2" t="s">
        <v>3488</v>
      </c>
      <c r="D985" s="2">
        <v>169.0</v>
      </c>
      <c r="E985" s="2">
        <v>1.0</v>
      </c>
      <c r="F985" s="2">
        <v>70.0</v>
      </c>
      <c r="G985" s="2">
        <v>194900.0</v>
      </c>
    </row>
    <row r="986" ht="14.25" customHeight="1">
      <c r="A986" s="2">
        <v>985.0</v>
      </c>
      <c r="B986" s="2" t="s">
        <v>2497</v>
      </c>
      <c r="C986" s="2" t="s">
        <v>3489</v>
      </c>
      <c r="D986" s="2">
        <v>151.0</v>
      </c>
      <c r="E986" s="2">
        <v>1.0</v>
      </c>
      <c r="F986" s="2">
        <v>75.0</v>
      </c>
      <c r="G986" s="2">
        <v>194600.0</v>
      </c>
    </row>
    <row r="987" ht="14.25" customHeight="1">
      <c r="A987" s="2">
        <v>986.0</v>
      </c>
      <c r="B987" s="2" t="s">
        <v>2475</v>
      </c>
      <c r="C987" s="2" t="s">
        <v>3285</v>
      </c>
      <c r="D987" s="2">
        <v>143.0</v>
      </c>
      <c r="E987" s="2">
        <v>1.0</v>
      </c>
      <c r="F987" s="2">
        <v>50.0</v>
      </c>
      <c r="G987" s="2">
        <v>194500.0</v>
      </c>
    </row>
    <row r="988" ht="14.25" customHeight="1">
      <c r="A988" s="2">
        <v>987.0</v>
      </c>
      <c r="B988" s="2" t="s">
        <v>2505</v>
      </c>
      <c r="C988" s="2" t="s">
        <v>3490</v>
      </c>
      <c r="D988" s="2">
        <v>429.0</v>
      </c>
      <c r="E988" s="2">
        <v>1.0</v>
      </c>
      <c r="F988" s="2">
        <v>80.0</v>
      </c>
      <c r="G988" s="2">
        <v>194500.0</v>
      </c>
    </row>
    <row r="989" ht="14.25" customHeight="1">
      <c r="A989" s="2">
        <v>988.0</v>
      </c>
      <c r="B989" s="2" t="s">
        <v>2576</v>
      </c>
      <c r="C989" s="2" t="s">
        <v>3491</v>
      </c>
      <c r="D989" s="2">
        <v>197.0</v>
      </c>
      <c r="E989" s="2">
        <v>1.0</v>
      </c>
      <c r="F989" s="2">
        <v>125.0</v>
      </c>
      <c r="G989" s="2">
        <v>194400.0</v>
      </c>
    </row>
    <row r="990" ht="14.25" customHeight="1">
      <c r="A990" s="2">
        <v>989.0</v>
      </c>
      <c r="B990" s="2" t="s">
        <v>2744</v>
      </c>
      <c r="C990" s="2" t="s">
        <v>3492</v>
      </c>
      <c r="D990" s="2">
        <v>169.0</v>
      </c>
      <c r="E990" s="2">
        <v>1.0</v>
      </c>
      <c r="F990" s="2">
        <v>60.0</v>
      </c>
      <c r="G990" s="2">
        <v>194300.0</v>
      </c>
    </row>
    <row r="991" ht="14.25" customHeight="1">
      <c r="A991" s="2">
        <v>990.0</v>
      </c>
      <c r="B991" s="2" t="s">
        <v>2541</v>
      </c>
      <c r="C991" s="2" t="s">
        <v>3493</v>
      </c>
      <c r="D991" s="2">
        <v>195.0</v>
      </c>
      <c r="E991" s="2">
        <v>1.0</v>
      </c>
      <c r="F991" s="2">
        <v>100.0</v>
      </c>
      <c r="G991" s="2">
        <v>194300.0</v>
      </c>
    </row>
    <row r="992" ht="14.25" customHeight="1">
      <c r="A992" s="2">
        <v>991.0</v>
      </c>
      <c r="B992" s="2" t="s">
        <v>2501</v>
      </c>
      <c r="C992" s="2" t="s">
        <v>3494</v>
      </c>
      <c r="D992" s="2">
        <v>199.0</v>
      </c>
      <c r="E992" s="2">
        <v>1.0</v>
      </c>
      <c r="F992" s="2">
        <v>150.0</v>
      </c>
      <c r="G992" s="2">
        <v>194300.0</v>
      </c>
    </row>
    <row r="993" ht="14.25" customHeight="1">
      <c r="A993" s="2">
        <v>992.0</v>
      </c>
      <c r="B993" s="2" t="s">
        <v>2512</v>
      </c>
      <c r="C993" s="2" t="s">
        <v>3495</v>
      </c>
      <c r="D993" s="2">
        <v>153.0</v>
      </c>
      <c r="E993" s="2">
        <v>1.0</v>
      </c>
      <c r="F993" s="2">
        <v>75.0</v>
      </c>
      <c r="G993" s="2">
        <v>194200.0</v>
      </c>
    </row>
    <row r="994" ht="14.25" customHeight="1">
      <c r="A994" s="2">
        <v>993.0</v>
      </c>
      <c r="B994" s="2" t="s">
        <v>2594</v>
      </c>
      <c r="C994" s="2" t="s">
        <v>3496</v>
      </c>
      <c r="D994" s="2">
        <v>184.0</v>
      </c>
      <c r="E994" s="2">
        <v>1.0</v>
      </c>
      <c r="F994" s="2">
        <v>66.0</v>
      </c>
      <c r="G994" s="2">
        <v>194100.0</v>
      </c>
    </row>
    <row r="995" ht="14.25" customHeight="1">
      <c r="A995" s="2">
        <v>994.0</v>
      </c>
      <c r="B995" s="2" t="s">
        <v>2686</v>
      </c>
      <c r="C995" s="2" t="s">
        <v>3497</v>
      </c>
      <c r="D995" s="2">
        <v>127.0</v>
      </c>
      <c r="E995" s="2">
        <v>1.0</v>
      </c>
      <c r="F995" s="2">
        <v>90.0</v>
      </c>
      <c r="G995" s="2">
        <v>194000.0</v>
      </c>
    </row>
    <row r="996" ht="14.25" customHeight="1">
      <c r="A996" s="2">
        <v>995.0</v>
      </c>
      <c r="B996" s="2" t="s">
        <v>2477</v>
      </c>
      <c r="C996" s="2" t="s">
        <v>3498</v>
      </c>
      <c r="D996" s="2">
        <v>152.0</v>
      </c>
      <c r="E996" s="2">
        <v>1.0</v>
      </c>
      <c r="F996" s="2">
        <v>118.0</v>
      </c>
      <c r="G996" s="2">
        <v>193900.0</v>
      </c>
    </row>
    <row r="997" ht="14.25" customHeight="1">
      <c r="A997" s="2">
        <v>996.0</v>
      </c>
      <c r="B997" s="2" t="s">
        <v>2744</v>
      </c>
      <c r="C997" s="2" t="s">
        <v>3499</v>
      </c>
      <c r="D997" s="2">
        <v>169.0</v>
      </c>
      <c r="E997" s="2">
        <v>1.0</v>
      </c>
      <c r="F997" s="2">
        <v>150.0</v>
      </c>
      <c r="G997" s="2">
        <v>193900.0</v>
      </c>
    </row>
    <row r="998" ht="14.25" customHeight="1">
      <c r="A998" s="2">
        <v>997.0</v>
      </c>
      <c r="B998" s="2" t="s">
        <v>2524</v>
      </c>
      <c r="C998" s="2" t="s">
        <v>3500</v>
      </c>
      <c r="D998" s="2">
        <v>331.0</v>
      </c>
      <c r="E998" s="2">
        <v>1.0</v>
      </c>
      <c r="F998" s="2">
        <v>100.0</v>
      </c>
      <c r="G998" s="2">
        <v>193400.0</v>
      </c>
    </row>
    <row r="999" ht="14.25" customHeight="1">
      <c r="A999" s="2">
        <v>998.0</v>
      </c>
      <c r="B999" s="2" t="s">
        <v>2571</v>
      </c>
      <c r="C999" s="2" t="s">
        <v>3501</v>
      </c>
      <c r="D999" s="2">
        <v>185.0</v>
      </c>
      <c r="E999" s="2">
        <v>1.0</v>
      </c>
      <c r="F999" s="2">
        <v>100.0</v>
      </c>
      <c r="G999" s="2">
        <v>193200.0</v>
      </c>
    </row>
    <row r="1000" ht="14.25" customHeight="1">
      <c r="A1000" s="2">
        <v>999.0</v>
      </c>
      <c r="B1000" s="2" t="s">
        <v>2553</v>
      </c>
      <c r="C1000" s="2" t="s">
        <v>3502</v>
      </c>
      <c r="D1000" s="2">
        <v>187.0</v>
      </c>
      <c r="E1000" s="2">
        <v>1.0</v>
      </c>
      <c r="F1000" s="2">
        <v>100.0</v>
      </c>
      <c r="G1000" s="2">
        <v>193100.0</v>
      </c>
    </row>
    <row r="1001" ht="14.25" customHeight="1">
      <c r="A1001" s="2">
        <v>1000.0</v>
      </c>
      <c r="B1001" s="2" t="s">
        <v>2491</v>
      </c>
      <c r="C1001" s="2" t="s">
        <v>3503</v>
      </c>
      <c r="D1001" s="2">
        <v>116.0</v>
      </c>
      <c r="E1001" s="2">
        <v>1.0</v>
      </c>
      <c r="F1001" s="2">
        <v>100.0</v>
      </c>
      <c r="G1001" s="2">
        <v>193000.0</v>
      </c>
    </row>
    <row r="1002" ht="14.25" customHeight="1">
      <c r="A1002" s="2">
        <v>1001.0</v>
      </c>
      <c r="B1002" s="2" t="s">
        <v>2576</v>
      </c>
      <c r="C1002" s="2" t="s">
        <v>3504</v>
      </c>
      <c r="D1002" s="2">
        <v>197.0</v>
      </c>
      <c r="E1002" s="2">
        <v>1.0</v>
      </c>
      <c r="F1002" s="2">
        <v>99.0</v>
      </c>
      <c r="G1002" s="2">
        <v>193000.0</v>
      </c>
    </row>
    <row r="1003" ht="14.25" customHeight="1">
      <c r="A1003" s="2">
        <v>1002.0</v>
      </c>
      <c r="B1003" s="2" t="s">
        <v>2582</v>
      </c>
      <c r="C1003" s="2" t="s">
        <v>3505</v>
      </c>
      <c r="D1003" s="2">
        <v>183.0</v>
      </c>
      <c r="E1003" s="2">
        <v>1.0</v>
      </c>
      <c r="F1003" s="2">
        <v>190.0</v>
      </c>
      <c r="G1003" s="2">
        <v>192900.0</v>
      </c>
    </row>
    <row r="1004" ht="14.25" customHeight="1">
      <c r="A1004" s="2">
        <v>1003.0</v>
      </c>
      <c r="B1004" s="2" t="s">
        <v>2636</v>
      </c>
      <c r="C1004" s="2" t="s">
        <v>3506</v>
      </c>
      <c r="D1004" s="2">
        <v>145.0</v>
      </c>
      <c r="E1004" s="2">
        <v>1.0</v>
      </c>
      <c r="F1004" s="2">
        <v>125.0</v>
      </c>
      <c r="G1004" s="2">
        <v>192800.0</v>
      </c>
    </row>
    <row r="1005" ht="14.25" customHeight="1">
      <c r="A1005" s="2">
        <v>1004.0</v>
      </c>
      <c r="B1005" s="2" t="s">
        <v>2651</v>
      </c>
      <c r="C1005" s="2" t="s">
        <v>3507</v>
      </c>
      <c r="D1005" s="2">
        <v>347.0</v>
      </c>
      <c r="E1005" s="2">
        <v>1.0</v>
      </c>
      <c r="F1005" s="2">
        <v>132.0</v>
      </c>
      <c r="G1005" s="2">
        <v>192800.0</v>
      </c>
    </row>
    <row r="1006" ht="14.25" customHeight="1">
      <c r="A1006" s="2">
        <v>1005.0</v>
      </c>
      <c r="B1006" s="2" t="s">
        <v>2488</v>
      </c>
      <c r="C1006" s="2" t="s">
        <v>3508</v>
      </c>
      <c r="D1006" s="2">
        <v>333.0</v>
      </c>
      <c r="E1006" s="2">
        <v>1.0</v>
      </c>
      <c r="F1006" s="2">
        <v>120.0</v>
      </c>
      <c r="G1006" s="2">
        <v>192700.0</v>
      </c>
    </row>
    <row r="1007" ht="14.25" customHeight="1">
      <c r="A1007" s="2">
        <v>1006.0</v>
      </c>
      <c r="B1007" s="2" t="s">
        <v>2549</v>
      </c>
      <c r="C1007" s="2" t="s">
        <v>3509</v>
      </c>
      <c r="D1007" s="2">
        <v>115.0</v>
      </c>
      <c r="E1007" s="2">
        <v>1.0</v>
      </c>
      <c r="F1007" s="2">
        <v>100.1</v>
      </c>
      <c r="G1007" s="2">
        <v>192500.0</v>
      </c>
    </row>
    <row r="1008" ht="14.25" customHeight="1">
      <c r="A1008" s="2">
        <v>1007.0</v>
      </c>
      <c r="B1008" s="2" t="s">
        <v>2553</v>
      </c>
      <c r="C1008" s="2" t="s">
        <v>3510</v>
      </c>
      <c r="D1008" s="2">
        <v>187.0</v>
      </c>
      <c r="E1008" s="2">
        <v>1.0</v>
      </c>
      <c r="F1008" s="2">
        <v>125.0</v>
      </c>
      <c r="G1008" s="2">
        <v>192500.0</v>
      </c>
    </row>
    <row r="1009" ht="14.25" customHeight="1">
      <c r="A1009" s="2">
        <v>1008.0</v>
      </c>
      <c r="B1009" s="2" t="s">
        <v>2651</v>
      </c>
      <c r="C1009" s="2" t="s">
        <v>3511</v>
      </c>
      <c r="D1009" s="2">
        <v>347.0</v>
      </c>
      <c r="E1009" s="2">
        <v>1.0</v>
      </c>
      <c r="F1009" s="2">
        <v>132.0</v>
      </c>
      <c r="G1009" s="2">
        <v>192500.0</v>
      </c>
    </row>
    <row r="1010" ht="14.25" customHeight="1">
      <c r="A1010" s="2">
        <v>1009.0</v>
      </c>
      <c r="B1010" s="2" t="s">
        <v>2479</v>
      </c>
      <c r="C1010" s="2" t="s">
        <v>3512</v>
      </c>
      <c r="D1010" s="2">
        <v>182.0</v>
      </c>
      <c r="E1010" s="2">
        <v>1.0</v>
      </c>
      <c r="F1010" s="2">
        <v>150.0</v>
      </c>
      <c r="G1010" s="2">
        <v>192400.0</v>
      </c>
    </row>
    <row r="1011" ht="14.25" customHeight="1">
      <c r="A1011" s="2">
        <v>1010.0</v>
      </c>
      <c r="B1011" s="2" t="s">
        <v>2576</v>
      </c>
      <c r="C1011" s="2" t="s">
        <v>3513</v>
      </c>
      <c r="D1011" s="2">
        <v>197.0</v>
      </c>
      <c r="E1011" s="2">
        <v>1.0</v>
      </c>
      <c r="F1011" s="2">
        <v>100.0</v>
      </c>
      <c r="G1011" s="2">
        <v>192400.0</v>
      </c>
    </row>
    <row r="1012" ht="14.25" customHeight="1">
      <c r="A1012" s="2">
        <v>1011.0</v>
      </c>
      <c r="B1012" s="2" t="s">
        <v>2488</v>
      </c>
      <c r="C1012" s="2" t="s">
        <v>3514</v>
      </c>
      <c r="D1012" s="2">
        <v>333.0</v>
      </c>
      <c r="E1012" s="2">
        <v>1.0</v>
      </c>
      <c r="F1012" s="2">
        <v>50.0</v>
      </c>
      <c r="G1012" s="2">
        <v>192400.0</v>
      </c>
    </row>
    <row r="1013" ht="14.25" customHeight="1">
      <c r="A1013" s="2">
        <v>1012.0</v>
      </c>
      <c r="B1013" s="2" t="s">
        <v>2558</v>
      </c>
      <c r="C1013" s="2" t="s">
        <v>3515</v>
      </c>
      <c r="D1013" s="2">
        <v>357.0</v>
      </c>
      <c r="E1013" s="2">
        <v>1.0</v>
      </c>
      <c r="F1013" s="2">
        <v>125.0</v>
      </c>
      <c r="G1013" s="2">
        <v>192400.0</v>
      </c>
    </row>
    <row r="1014" ht="14.25" customHeight="1">
      <c r="A1014" s="2">
        <v>1013.0</v>
      </c>
      <c r="B1014" s="2" t="s">
        <v>2488</v>
      </c>
      <c r="C1014" s="2" t="s">
        <v>3516</v>
      </c>
      <c r="D1014" s="2">
        <v>333.0</v>
      </c>
      <c r="E1014" s="2">
        <v>1.0</v>
      </c>
      <c r="F1014" s="2">
        <v>100.0</v>
      </c>
      <c r="G1014" s="2">
        <v>192300.0</v>
      </c>
    </row>
    <row r="1015" ht="14.25" customHeight="1">
      <c r="A1015" s="2">
        <v>1014.0</v>
      </c>
      <c r="B1015" s="2" t="s">
        <v>2505</v>
      </c>
      <c r="C1015" s="2" t="s">
        <v>3517</v>
      </c>
      <c r="D1015" s="2">
        <v>429.0</v>
      </c>
      <c r="E1015" s="2">
        <v>1.0</v>
      </c>
      <c r="F1015" s="2">
        <v>200.0</v>
      </c>
      <c r="G1015" s="2">
        <v>192300.0</v>
      </c>
    </row>
    <row r="1016" ht="14.25" customHeight="1">
      <c r="A1016" s="2">
        <v>1015.0</v>
      </c>
      <c r="B1016" s="2" t="s">
        <v>2582</v>
      </c>
      <c r="C1016" s="2" t="s">
        <v>3518</v>
      </c>
      <c r="D1016" s="2">
        <v>183.0</v>
      </c>
      <c r="E1016" s="2">
        <v>1.0</v>
      </c>
      <c r="F1016" s="2">
        <v>100.1</v>
      </c>
      <c r="G1016" s="2">
        <v>192200.0</v>
      </c>
    </row>
    <row r="1017" ht="14.25" customHeight="1">
      <c r="A1017" s="2">
        <v>1016.0</v>
      </c>
      <c r="B1017" s="2" t="s">
        <v>2571</v>
      </c>
      <c r="C1017" s="2" t="s">
        <v>3519</v>
      </c>
      <c r="D1017" s="2">
        <v>185.0</v>
      </c>
      <c r="E1017" s="2">
        <v>1.0</v>
      </c>
      <c r="F1017" s="2">
        <v>75.0</v>
      </c>
      <c r="G1017" s="2">
        <v>192200.0</v>
      </c>
    </row>
    <row r="1018" ht="14.25" customHeight="1">
      <c r="A1018" s="2">
        <v>1017.0</v>
      </c>
      <c r="B1018" s="2" t="s">
        <v>2604</v>
      </c>
      <c r="C1018" s="2" t="s">
        <v>3520</v>
      </c>
      <c r="D1018" s="2">
        <v>200.0</v>
      </c>
      <c r="E1018" s="2">
        <v>1.0</v>
      </c>
      <c r="F1018" s="2">
        <v>75.0</v>
      </c>
      <c r="G1018" s="2">
        <v>192200.0</v>
      </c>
    </row>
    <row r="1019" ht="14.25" customHeight="1">
      <c r="A1019" s="2">
        <v>1018.0</v>
      </c>
      <c r="B1019" s="2" t="s">
        <v>2488</v>
      </c>
      <c r="C1019" s="2" t="s">
        <v>3521</v>
      </c>
      <c r="D1019" s="2">
        <v>333.0</v>
      </c>
      <c r="E1019" s="2">
        <v>1.0</v>
      </c>
      <c r="F1019" s="2">
        <v>75.0</v>
      </c>
      <c r="G1019" s="2">
        <v>192200.0</v>
      </c>
    </row>
    <row r="1020" ht="14.25" customHeight="1">
      <c r="A1020" s="2">
        <v>1019.0</v>
      </c>
      <c r="B1020" s="2" t="s">
        <v>2651</v>
      </c>
      <c r="C1020" s="2" t="s">
        <v>3522</v>
      </c>
      <c r="D1020" s="2">
        <v>347.0</v>
      </c>
      <c r="E1020" s="2">
        <v>1.0</v>
      </c>
      <c r="F1020" s="2">
        <v>118.0</v>
      </c>
      <c r="G1020" s="2">
        <v>192200.0</v>
      </c>
    </row>
    <row r="1021" ht="14.25" customHeight="1">
      <c r="A1021" s="2">
        <v>1020.0</v>
      </c>
      <c r="B1021" s="2" t="s">
        <v>2479</v>
      </c>
      <c r="C1021" s="2" t="s">
        <v>3523</v>
      </c>
      <c r="D1021" s="2">
        <v>182.0</v>
      </c>
      <c r="E1021" s="2">
        <v>1.0</v>
      </c>
      <c r="F1021" s="2">
        <v>75.0</v>
      </c>
      <c r="G1021" s="2">
        <v>192100.0</v>
      </c>
    </row>
    <row r="1022" ht="14.25" customHeight="1">
      <c r="A1022" s="2">
        <v>1021.0</v>
      </c>
      <c r="B1022" s="2" t="s">
        <v>2488</v>
      </c>
      <c r="C1022" s="2" t="s">
        <v>3524</v>
      </c>
      <c r="D1022" s="2">
        <v>333.0</v>
      </c>
      <c r="E1022" s="2">
        <v>1.0</v>
      </c>
      <c r="F1022" s="2">
        <v>100.0</v>
      </c>
      <c r="G1022" s="2">
        <v>192100.0</v>
      </c>
    </row>
    <row r="1023" ht="14.25" customHeight="1">
      <c r="A1023" s="2">
        <v>1022.0</v>
      </c>
      <c r="B1023" s="2" t="s">
        <v>2503</v>
      </c>
      <c r="C1023" s="2" t="s">
        <v>3525</v>
      </c>
      <c r="D1023" s="2">
        <v>105.0</v>
      </c>
      <c r="E1023" s="2">
        <v>1.0</v>
      </c>
      <c r="F1023" s="2">
        <v>100.0</v>
      </c>
      <c r="G1023" s="2">
        <v>191900.0</v>
      </c>
    </row>
    <row r="1024" ht="14.25" customHeight="1">
      <c r="A1024" s="2">
        <v>1023.0</v>
      </c>
      <c r="B1024" s="2" t="s">
        <v>2491</v>
      </c>
      <c r="C1024" s="2" t="s">
        <v>3526</v>
      </c>
      <c r="D1024" s="2">
        <v>116.0</v>
      </c>
      <c r="E1024" s="2">
        <v>1.0</v>
      </c>
      <c r="F1024" s="2">
        <v>100.0</v>
      </c>
      <c r="G1024" s="2">
        <v>191900.0</v>
      </c>
    </row>
    <row r="1025" ht="14.25" customHeight="1">
      <c r="A1025" s="2">
        <v>1024.0</v>
      </c>
      <c r="B1025" s="2" t="s">
        <v>2501</v>
      </c>
      <c r="C1025" s="2" t="s">
        <v>3527</v>
      </c>
      <c r="D1025" s="2">
        <v>199.0</v>
      </c>
      <c r="E1025" s="2">
        <v>1.0</v>
      </c>
      <c r="F1025" s="2">
        <v>150.0</v>
      </c>
      <c r="G1025" s="2">
        <v>191800.0</v>
      </c>
    </row>
    <row r="1026" ht="14.25" customHeight="1">
      <c r="A1026" s="2">
        <v>1025.0</v>
      </c>
      <c r="B1026" s="2" t="s">
        <v>2571</v>
      </c>
      <c r="C1026" s="2" t="s">
        <v>3528</v>
      </c>
      <c r="D1026" s="2">
        <v>185.0</v>
      </c>
      <c r="E1026" s="2">
        <v>1.0</v>
      </c>
      <c r="F1026" s="2">
        <v>75.0</v>
      </c>
      <c r="G1026" s="2">
        <v>191700.0</v>
      </c>
    </row>
    <row r="1027" ht="14.25" customHeight="1">
      <c r="A1027" s="2">
        <v>1026.0</v>
      </c>
      <c r="B1027" s="2" t="s">
        <v>2561</v>
      </c>
      <c r="C1027" s="2" t="s">
        <v>3529</v>
      </c>
      <c r="D1027" s="2">
        <v>162.0</v>
      </c>
      <c r="E1027" s="2">
        <v>1.0</v>
      </c>
      <c r="F1027" s="2">
        <v>125.0</v>
      </c>
      <c r="G1027" s="2">
        <v>191500.0</v>
      </c>
    </row>
    <row r="1028" ht="14.25" customHeight="1">
      <c r="A1028" s="2">
        <v>1027.0</v>
      </c>
      <c r="B1028" s="2" t="s">
        <v>2479</v>
      </c>
      <c r="C1028" s="2" t="s">
        <v>3530</v>
      </c>
      <c r="D1028" s="2">
        <v>182.0</v>
      </c>
      <c r="E1028" s="2">
        <v>1.0</v>
      </c>
      <c r="F1028" s="2">
        <v>50.0</v>
      </c>
      <c r="G1028" s="2">
        <v>191500.0</v>
      </c>
    </row>
    <row r="1029" ht="14.25" customHeight="1">
      <c r="A1029" s="2">
        <v>1028.0</v>
      </c>
      <c r="B1029" s="2" t="s">
        <v>2744</v>
      </c>
      <c r="C1029" s="2" t="s">
        <v>3531</v>
      </c>
      <c r="D1029" s="2">
        <v>169.0</v>
      </c>
      <c r="E1029" s="2">
        <v>1.0</v>
      </c>
      <c r="F1029" s="2">
        <v>70.0</v>
      </c>
      <c r="G1029" s="2">
        <v>191400.0</v>
      </c>
    </row>
    <row r="1030" ht="14.25" customHeight="1">
      <c r="A1030" s="2">
        <v>1029.0</v>
      </c>
      <c r="B1030" s="2" t="s">
        <v>2488</v>
      </c>
      <c r="C1030" s="2" t="s">
        <v>3532</v>
      </c>
      <c r="D1030" s="2">
        <v>333.0</v>
      </c>
      <c r="E1030" s="2">
        <v>1.0</v>
      </c>
      <c r="F1030" s="2">
        <v>60.0</v>
      </c>
      <c r="G1030" s="2">
        <v>191400.0</v>
      </c>
    </row>
    <row r="1031" ht="14.25" customHeight="1">
      <c r="A1031" s="2">
        <v>1030.0</v>
      </c>
      <c r="B1031" s="2" t="s">
        <v>2518</v>
      </c>
      <c r="C1031" s="2" t="s">
        <v>3533</v>
      </c>
      <c r="D1031" s="2">
        <v>161.0</v>
      </c>
      <c r="E1031" s="2">
        <v>1.0</v>
      </c>
      <c r="F1031" s="2">
        <v>100.0</v>
      </c>
      <c r="G1031" s="2">
        <v>191300.0</v>
      </c>
    </row>
    <row r="1032" ht="14.25" customHeight="1">
      <c r="A1032" s="2">
        <v>1031.0</v>
      </c>
      <c r="B1032" s="2" t="s">
        <v>2479</v>
      </c>
      <c r="C1032" s="2" t="s">
        <v>3534</v>
      </c>
      <c r="D1032" s="2">
        <v>182.0</v>
      </c>
      <c r="E1032" s="2">
        <v>1.0</v>
      </c>
      <c r="F1032" s="2">
        <v>90.0</v>
      </c>
      <c r="G1032" s="2">
        <v>191300.0</v>
      </c>
    </row>
    <row r="1033" ht="14.25" customHeight="1">
      <c r="A1033" s="2">
        <v>1032.0</v>
      </c>
      <c r="B1033" s="2" t="s">
        <v>2488</v>
      </c>
      <c r="C1033" s="2" t="s">
        <v>3535</v>
      </c>
      <c r="D1033" s="2">
        <v>333.0</v>
      </c>
      <c r="E1033" s="2">
        <v>1.0</v>
      </c>
      <c r="F1033" s="2">
        <v>100.0</v>
      </c>
      <c r="G1033" s="2">
        <v>191300.0</v>
      </c>
    </row>
    <row r="1034" ht="14.25" customHeight="1">
      <c r="A1034" s="2">
        <v>1033.0</v>
      </c>
      <c r="B1034" s="2" t="s">
        <v>2558</v>
      </c>
      <c r="C1034" s="2" t="s">
        <v>3536</v>
      </c>
      <c r="D1034" s="2">
        <v>357.0</v>
      </c>
      <c r="E1034" s="2">
        <v>1.0</v>
      </c>
      <c r="F1034" s="2">
        <v>66.0</v>
      </c>
      <c r="G1034" s="2">
        <v>191300.0</v>
      </c>
    </row>
    <row r="1035" ht="14.25" customHeight="1">
      <c r="A1035" s="2">
        <v>1034.0</v>
      </c>
      <c r="B1035" s="2" t="s">
        <v>2744</v>
      </c>
      <c r="C1035" s="2" t="s">
        <v>3537</v>
      </c>
      <c r="D1035" s="2">
        <v>169.0</v>
      </c>
      <c r="E1035" s="2">
        <v>1.0</v>
      </c>
      <c r="F1035" s="2">
        <v>100.0</v>
      </c>
      <c r="G1035" s="2">
        <v>191200.0</v>
      </c>
    </row>
    <row r="1036" ht="14.25" customHeight="1">
      <c r="A1036" s="2">
        <v>1035.0</v>
      </c>
      <c r="B1036" s="2" t="s">
        <v>2582</v>
      </c>
      <c r="C1036" s="2" t="s">
        <v>3538</v>
      </c>
      <c r="D1036" s="2">
        <v>183.0</v>
      </c>
      <c r="E1036" s="2">
        <v>1.0</v>
      </c>
      <c r="F1036" s="2">
        <v>150.0</v>
      </c>
      <c r="G1036" s="2">
        <v>191200.0</v>
      </c>
    </row>
    <row r="1037" ht="14.25" customHeight="1">
      <c r="A1037" s="2">
        <v>1036.0</v>
      </c>
      <c r="B1037" s="2" t="s">
        <v>2497</v>
      </c>
      <c r="C1037" s="2" t="s">
        <v>3539</v>
      </c>
      <c r="D1037" s="2">
        <v>151.0</v>
      </c>
      <c r="E1037" s="2">
        <v>1.0</v>
      </c>
      <c r="F1037" s="2">
        <v>60.0</v>
      </c>
      <c r="G1037" s="2">
        <v>191100.0</v>
      </c>
    </row>
    <row r="1038" ht="14.25" customHeight="1">
      <c r="A1038" s="2">
        <v>1037.0</v>
      </c>
      <c r="B1038" s="2" t="s">
        <v>2534</v>
      </c>
      <c r="C1038" s="2" t="s">
        <v>3540</v>
      </c>
      <c r="D1038" s="2">
        <v>188.0</v>
      </c>
      <c r="E1038" s="2">
        <v>1.0</v>
      </c>
      <c r="F1038" s="2">
        <v>100.0</v>
      </c>
      <c r="G1038" s="2">
        <v>191100.0</v>
      </c>
    </row>
    <row r="1039" ht="14.25" customHeight="1">
      <c r="A1039" s="2">
        <v>1038.0</v>
      </c>
      <c r="B1039" s="2" t="s">
        <v>2501</v>
      </c>
      <c r="C1039" s="2" t="s">
        <v>3541</v>
      </c>
      <c r="D1039" s="2">
        <v>199.0</v>
      </c>
      <c r="E1039" s="2">
        <v>1.0</v>
      </c>
      <c r="F1039" s="2">
        <v>132.0</v>
      </c>
      <c r="G1039" s="2">
        <v>191000.0</v>
      </c>
    </row>
    <row r="1040" ht="14.25" customHeight="1">
      <c r="A1040" s="2">
        <v>1039.0</v>
      </c>
      <c r="B1040" s="2" t="s">
        <v>2524</v>
      </c>
      <c r="C1040" s="2" t="s">
        <v>3542</v>
      </c>
      <c r="D1040" s="2">
        <v>331.0</v>
      </c>
      <c r="E1040" s="2">
        <v>1.0</v>
      </c>
      <c r="F1040" s="2">
        <v>75.0</v>
      </c>
      <c r="G1040" s="2">
        <v>191000.0</v>
      </c>
    </row>
    <row r="1041" ht="14.25" customHeight="1">
      <c r="A1041" s="2">
        <v>1040.0</v>
      </c>
      <c r="B1041" s="2" t="s">
        <v>2744</v>
      </c>
      <c r="C1041" s="2" t="s">
        <v>3543</v>
      </c>
      <c r="D1041" s="2">
        <v>169.0</v>
      </c>
      <c r="E1041" s="2">
        <v>1.0</v>
      </c>
      <c r="F1041" s="2">
        <v>118.0</v>
      </c>
      <c r="G1041" s="2">
        <v>190800.0</v>
      </c>
    </row>
    <row r="1042" ht="14.25" customHeight="1">
      <c r="A1042" s="2">
        <v>1041.0</v>
      </c>
      <c r="B1042" s="2" t="s">
        <v>2686</v>
      </c>
      <c r="C1042" s="2" t="s">
        <v>3544</v>
      </c>
      <c r="D1042" s="2">
        <v>127.0</v>
      </c>
      <c r="E1042" s="2">
        <v>1.0</v>
      </c>
      <c r="F1042" s="2">
        <v>100.0</v>
      </c>
      <c r="G1042" s="2">
        <v>190500.0</v>
      </c>
    </row>
    <row r="1043" ht="14.25" customHeight="1">
      <c r="A1043" s="2">
        <v>1042.0</v>
      </c>
      <c r="B1043" s="2" t="s">
        <v>2636</v>
      </c>
      <c r="C1043" s="2" t="s">
        <v>3545</v>
      </c>
      <c r="D1043" s="2">
        <v>145.0</v>
      </c>
      <c r="E1043" s="2">
        <v>1.0</v>
      </c>
      <c r="F1043" s="2">
        <v>100.0</v>
      </c>
      <c r="G1043" s="2">
        <v>190500.0</v>
      </c>
    </row>
    <row r="1044" ht="14.25" customHeight="1">
      <c r="A1044" s="2">
        <v>1043.0</v>
      </c>
      <c r="B1044" s="2" t="s">
        <v>2534</v>
      </c>
      <c r="C1044" s="2" t="s">
        <v>3546</v>
      </c>
      <c r="D1044" s="2">
        <v>188.0</v>
      </c>
      <c r="E1044" s="2">
        <v>1.0</v>
      </c>
      <c r="F1044" s="2">
        <v>100.0</v>
      </c>
      <c r="G1044" s="2">
        <v>190500.0</v>
      </c>
    </row>
    <row r="1045" ht="14.25" customHeight="1">
      <c r="A1045" s="2">
        <v>1044.0</v>
      </c>
      <c r="B1045" s="2" t="s">
        <v>2501</v>
      </c>
      <c r="C1045" s="2" t="s">
        <v>3547</v>
      </c>
      <c r="D1045" s="2">
        <v>199.0</v>
      </c>
      <c r="E1045" s="2">
        <v>1.0</v>
      </c>
      <c r="F1045" s="2">
        <v>150.0</v>
      </c>
      <c r="G1045" s="2">
        <v>190500.0</v>
      </c>
    </row>
    <row r="1046" ht="14.25" customHeight="1">
      <c r="A1046" s="2">
        <v>1045.0</v>
      </c>
      <c r="B1046" s="2" t="s">
        <v>2561</v>
      </c>
      <c r="C1046" s="2" t="s">
        <v>3548</v>
      </c>
      <c r="D1046" s="2">
        <v>162.0</v>
      </c>
      <c r="E1046" s="2">
        <v>1.0</v>
      </c>
      <c r="F1046" s="2">
        <v>150.0</v>
      </c>
      <c r="G1046" s="2">
        <v>190400.0</v>
      </c>
    </row>
    <row r="1047" ht="14.25" customHeight="1">
      <c r="A1047" s="2">
        <v>1046.0</v>
      </c>
      <c r="B1047" s="2" t="s">
        <v>2744</v>
      </c>
      <c r="C1047" s="2" t="s">
        <v>3549</v>
      </c>
      <c r="D1047" s="2">
        <v>169.0</v>
      </c>
      <c r="E1047" s="2">
        <v>1.0</v>
      </c>
      <c r="F1047" s="2">
        <v>120.0</v>
      </c>
      <c r="G1047" s="2">
        <v>190400.0</v>
      </c>
    </row>
    <row r="1048" ht="14.25" customHeight="1">
      <c r="A1048" s="2">
        <v>1047.0</v>
      </c>
      <c r="B1048" s="2" t="s">
        <v>2621</v>
      </c>
      <c r="C1048" s="2" t="s">
        <v>3550</v>
      </c>
      <c r="D1048" s="2">
        <v>403.0</v>
      </c>
      <c r="E1048" s="2">
        <v>1.0</v>
      </c>
      <c r="F1048" s="2">
        <v>132.0</v>
      </c>
      <c r="G1048" s="2">
        <v>190400.0</v>
      </c>
    </row>
    <row r="1049" ht="14.25" customHeight="1">
      <c r="A1049" s="2">
        <v>1048.0</v>
      </c>
      <c r="B1049" s="2" t="s">
        <v>2558</v>
      </c>
      <c r="C1049" s="2" t="s">
        <v>3551</v>
      </c>
      <c r="D1049" s="2">
        <v>357.0</v>
      </c>
      <c r="E1049" s="2">
        <v>1.0</v>
      </c>
      <c r="F1049" s="2">
        <v>66.0</v>
      </c>
      <c r="G1049" s="2">
        <v>190300.0</v>
      </c>
    </row>
    <row r="1050" ht="14.25" customHeight="1">
      <c r="A1050" s="2">
        <v>1049.0</v>
      </c>
      <c r="B1050" s="2" t="s">
        <v>2497</v>
      </c>
      <c r="C1050" s="2" t="s">
        <v>3552</v>
      </c>
      <c r="D1050" s="2">
        <v>151.0</v>
      </c>
      <c r="E1050" s="2">
        <v>1.0</v>
      </c>
      <c r="F1050" s="2">
        <v>75.0</v>
      </c>
      <c r="G1050" s="2">
        <v>190200.0</v>
      </c>
    </row>
    <row r="1051" ht="14.25" customHeight="1">
      <c r="A1051" s="2">
        <v>1050.0</v>
      </c>
      <c r="B1051" s="2" t="s">
        <v>2549</v>
      </c>
      <c r="C1051" s="2" t="s">
        <v>3553</v>
      </c>
      <c r="D1051" s="2">
        <v>115.0</v>
      </c>
      <c r="E1051" s="2">
        <v>1.0</v>
      </c>
      <c r="F1051" s="2">
        <v>150.0</v>
      </c>
      <c r="G1051" s="2">
        <v>190100.0</v>
      </c>
    </row>
    <row r="1052" ht="14.25" customHeight="1">
      <c r="A1052" s="2">
        <v>1051.0</v>
      </c>
      <c r="B1052" s="2" t="s">
        <v>2582</v>
      </c>
      <c r="C1052" s="2" t="s">
        <v>3554</v>
      </c>
      <c r="D1052" s="2">
        <v>183.0</v>
      </c>
      <c r="E1052" s="2">
        <v>1.0</v>
      </c>
      <c r="F1052" s="2">
        <v>100.0</v>
      </c>
      <c r="G1052" s="2">
        <v>190000.0</v>
      </c>
    </row>
    <row r="1053" ht="14.25" customHeight="1">
      <c r="A1053" s="2">
        <v>1052.0</v>
      </c>
      <c r="B1053" s="2" t="s">
        <v>2604</v>
      </c>
      <c r="C1053" s="2" t="s">
        <v>3555</v>
      </c>
      <c r="D1053" s="2">
        <v>200.0</v>
      </c>
      <c r="E1053" s="2">
        <v>1.0</v>
      </c>
      <c r="F1053" s="2">
        <v>75.0</v>
      </c>
      <c r="G1053" s="2">
        <v>190000.0</v>
      </c>
    </row>
    <row r="1054" ht="14.25" customHeight="1">
      <c r="A1054" s="2">
        <v>1053.0</v>
      </c>
      <c r="B1054" s="2" t="s">
        <v>2744</v>
      </c>
      <c r="C1054" s="2" t="s">
        <v>3556</v>
      </c>
      <c r="D1054" s="2">
        <v>169.0</v>
      </c>
      <c r="E1054" s="2">
        <v>1.0</v>
      </c>
      <c r="F1054" s="2">
        <v>160.0</v>
      </c>
      <c r="G1054" s="2">
        <v>189900.0</v>
      </c>
    </row>
    <row r="1055" ht="14.25" customHeight="1">
      <c r="A1055" s="2">
        <v>1054.0</v>
      </c>
      <c r="B1055" s="2" t="s">
        <v>2553</v>
      </c>
      <c r="C1055" s="2" t="s">
        <v>3557</v>
      </c>
      <c r="D1055" s="2">
        <v>187.0</v>
      </c>
      <c r="E1055" s="2">
        <v>1.0</v>
      </c>
      <c r="F1055" s="2">
        <v>75.0</v>
      </c>
      <c r="G1055" s="2">
        <v>189900.0</v>
      </c>
    </row>
    <row r="1056" ht="14.25" customHeight="1">
      <c r="A1056" s="2">
        <v>1055.0</v>
      </c>
      <c r="B1056" s="2" t="s">
        <v>2534</v>
      </c>
      <c r="C1056" s="2" t="s">
        <v>3558</v>
      </c>
      <c r="D1056" s="2">
        <v>188.0</v>
      </c>
      <c r="E1056" s="2">
        <v>1.0</v>
      </c>
      <c r="F1056" s="2">
        <v>100.0</v>
      </c>
      <c r="G1056" s="2">
        <v>189800.0</v>
      </c>
    </row>
    <row r="1057" ht="14.25" customHeight="1">
      <c r="A1057" s="2">
        <v>1056.0</v>
      </c>
      <c r="B1057" s="2" t="s">
        <v>2512</v>
      </c>
      <c r="C1057" s="2" t="s">
        <v>3559</v>
      </c>
      <c r="D1057" s="2">
        <v>153.0</v>
      </c>
      <c r="E1057" s="2">
        <v>1.0</v>
      </c>
      <c r="F1057" s="2">
        <v>66.0</v>
      </c>
      <c r="G1057" s="2">
        <v>189600.0</v>
      </c>
    </row>
    <row r="1058" ht="14.25" customHeight="1">
      <c r="A1058" s="2">
        <v>1057.0</v>
      </c>
      <c r="B1058" s="2" t="s">
        <v>2621</v>
      </c>
      <c r="C1058" s="2" t="s">
        <v>3560</v>
      </c>
      <c r="D1058" s="2">
        <v>403.0</v>
      </c>
      <c r="E1058" s="2">
        <v>1.0</v>
      </c>
      <c r="F1058" s="2">
        <v>100.0</v>
      </c>
      <c r="G1058" s="2">
        <v>189500.0</v>
      </c>
    </row>
    <row r="1059" ht="14.25" customHeight="1">
      <c r="A1059" s="2">
        <v>1058.0</v>
      </c>
      <c r="B1059" s="2" t="s">
        <v>2576</v>
      </c>
      <c r="C1059" s="2" t="s">
        <v>3561</v>
      </c>
      <c r="D1059" s="2">
        <v>197.0</v>
      </c>
      <c r="E1059" s="2">
        <v>1.0</v>
      </c>
      <c r="F1059" s="2">
        <v>99.0</v>
      </c>
      <c r="G1059" s="2">
        <v>189400.0</v>
      </c>
    </row>
    <row r="1060" ht="14.25" customHeight="1">
      <c r="A1060" s="2">
        <v>1059.0</v>
      </c>
      <c r="B1060" s="2" t="s">
        <v>2686</v>
      </c>
      <c r="C1060" s="2" t="s">
        <v>3562</v>
      </c>
      <c r="D1060" s="2">
        <v>127.0</v>
      </c>
      <c r="E1060" s="2">
        <v>1.0</v>
      </c>
      <c r="F1060" s="2">
        <v>120.0</v>
      </c>
      <c r="G1060" s="2">
        <v>189300.0</v>
      </c>
    </row>
    <row r="1061" ht="14.25" customHeight="1">
      <c r="A1061" s="2">
        <v>1060.0</v>
      </c>
      <c r="B1061" s="2" t="s">
        <v>2475</v>
      </c>
      <c r="C1061" s="2" t="s">
        <v>3563</v>
      </c>
      <c r="D1061" s="2">
        <v>143.0</v>
      </c>
      <c r="E1061" s="2">
        <v>1.0</v>
      </c>
      <c r="F1061" s="2">
        <v>75.0</v>
      </c>
      <c r="G1061" s="2">
        <v>189300.0</v>
      </c>
    </row>
    <row r="1062" ht="14.25" customHeight="1">
      <c r="A1062" s="2">
        <v>1061.0</v>
      </c>
      <c r="B1062" s="2" t="s">
        <v>2507</v>
      </c>
      <c r="C1062" s="2" t="s">
        <v>3564</v>
      </c>
      <c r="D1062" s="2">
        <v>205.0</v>
      </c>
      <c r="E1062" s="2">
        <v>1.0</v>
      </c>
      <c r="F1062" s="2">
        <v>70.0</v>
      </c>
      <c r="G1062" s="2">
        <v>189300.0</v>
      </c>
    </row>
    <row r="1063" ht="14.25" customHeight="1">
      <c r="A1063" s="2">
        <v>1062.0</v>
      </c>
      <c r="B1063" s="2" t="s">
        <v>2594</v>
      </c>
      <c r="C1063" s="2" t="s">
        <v>3565</v>
      </c>
      <c r="D1063" s="2">
        <v>184.0</v>
      </c>
      <c r="E1063" s="2">
        <v>1.0</v>
      </c>
      <c r="F1063" s="2">
        <v>60.0</v>
      </c>
      <c r="G1063" s="2">
        <v>189200.0</v>
      </c>
    </row>
    <row r="1064" ht="14.25" customHeight="1">
      <c r="A1064" s="2">
        <v>1063.0</v>
      </c>
      <c r="B1064" s="2" t="s">
        <v>2501</v>
      </c>
      <c r="C1064" s="2" t="s">
        <v>3566</v>
      </c>
      <c r="D1064" s="2">
        <v>199.0</v>
      </c>
      <c r="E1064" s="2">
        <v>1.0</v>
      </c>
      <c r="F1064" s="2">
        <v>100.0</v>
      </c>
      <c r="G1064" s="2">
        <v>189200.0</v>
      </c>
    </row>
    <row r="1065" ht="14.25" customHeight="1">
      <c r="A1065" s="2">
        <v>1064.0</v>
      </c>
      <c r="B1065" s="2" t="s">
        <v>2497</v>
      </c>
      <c r="C1065" s="2" t="s">
        <v>3567</v>
      </c>
      <c r="D1065" s="2">
        <v>151.0</v>
      </c>
      <c r="E1065" s="2">
        <v>1.0</v>
      </c>
      <c r="F1065" s="2">
        <v>75.0</v>
      </c>
      <c r="G1065" s="2">
        <v>189100.0</v>
      </c>
    </row>
    <row r="1066" ht="14.25" customHeight="1">
      <c r="A1066" s="2">
        <v>1065.0</v>
      </c>
      <c r="B1066" s="2" t="s">
        <v>2512</v>
      </c>
      <c r="C1066" s="2" t="s">
        <v>3568</v>
      </c>
      <c r="D1066" s="2">
        <v>153.0</v>
      </c>
      <c r="E1066" s="2">
        <v>1.0</v>
      </c>
      <c r="F1066" s="2">
        <v>100.0</v>
      </c>
      <c r="G1066" s="2">
        <v>189100.0</v>
      </c>
    </row>
    <row r="1067" ht="14.25" customHeight="1">
      <c r="A1067" s="2">
        <v>1066.0</v>
      </c>
      <c r="B1067" s="2" t="s">
        <v>2488</v>
      </c>
      <c r="C1067" s="2" t="s">
        <v>3569</v>
      </c>
      <c r="D1067" s="2">
        <v>333.0</v>
      </c>
      <c r="E1067" s="2">
        <v>1.0</v>
      </c>
      <c r="F1067" s="2">
        <v>80.0</v>
      </c>
      <c r="G1067" s="2">
        <v>189000.0</v>
      </c>
    </row>
    <row r="1068" ht="14.25" customHeight="1">
      <c r="A1068" s="2">
        <v>1067.0</v>
      </c>
      <c r="B1068" s="2" t="s">
        <v>2505</v>
      </c>
      <c r="C1068" s="2" t="s">
        <v>3570</v>
      </c>
      <c r="D1068" s="2">
        <v>429.0</v>
      </c>
      <c r="E1068" s="2">
        <v>1.0</v>
      </c>
      <c r="F1068" s="2">
        <v>70.0</v>
      </c>
      <c r="G1068" s="2">
        <v>189000.0</v>
      </c>
    </row>
    <row r="1069" ht="14.25" customHeight="1">
      <c r="A1069" s="2">
        <v>1068.0</v>
      </c>
      <c r="B1069" s="2" t="s">
        <v>2636</v>
      </c>
      <c r="C1069" s="2" t="s">
        <v>3571</v>
      </c>
      <c r="D1069" s="2">
        <v>145.0</v>
      </c>
      <c r="E1069" s="2">
        <v>1.0</v>
      </c>
      <c r="F1069" s="2">
        <v>100.0</v>
      </c>
      <c r="G1069" s="2">
        <v>188900.0</v>
      </c>
    </row>
    <row r="1070" ht="14.25" customHeight="1">
      <c r="A1070" s="2">
        <v>1069.0</v>
      </c>
      <c r="B1070" s="2" t="s">
        <v>2479</v>
      </c>
      <c r="C1070" s="2" t="s">
        <v>3572</v>
      </c>
      <c r="D1070" s="2">
        <v>182.0</v>
      </c>
      <c r="E1070" s="2">
        <v>1.0</v>
      </c>
      <c r="F1070" s="2">
        <v>50.0</v>
      </c>
      <c r="G1070" s="2">
        <v>188900.0</v>
      </c>
    </row>
    <row r="1071" ht="14.25" customHeight="1">
      <c r="A1071" s="2">
        <v>1070.0</v>
      </c>
      <c r="B1071" s="2" t="s">
        <v>2594</v>
      </c>
      <c r="C1071" s="2" t="s">
        <v>3573</v>
      </c>
      <c r="D1071" s="2">
        <v>184.0</v>
      </c>
      <c r="E1071" s="2">
        <v>1.0</v>
      </c>
      <c r="F1071" s="2">
        <v>60.0</v>
      </c>
      <c r="G1071" s="2">
        <v>188900.0</v>
      </c>
    </row>
    <row r="1072" ht="14.25" customHeight="1">
      <c r="A1072" s="2">
        <v>1071.0</v>
      </c>
      <c r="B1072" s="2" t="s">
        <v>2558</v>
      </c>
      <c r="C1072" s="2" t="s">
        <v>3574</v>
      </c>
      <c r="D1072" s="2">
        <v>357.0</v>
      </c>
      <c r="E1072" s="2">
        <v>1.0</v>
      </c>
      <c r="F1072" s="2">
        <v>90.0</v>
      </c>
      <c r="G1072" s="2">
        <v>188800.0</v>
      </c>
    </row>
    <row r="1073" ht="14.25" customHeight="1">
      <c r="A1073" s="2">
        <v>1072.0</v>
      </c>
      <c r="B1073" s="2" t="s">
        <v>2541</v>
      </c>
      <c r="C1073" s="2" t="s">
        <v>3575</v>
      </c>
      <c r="D1073" s="2">
        <v>195.0</v>
      </c>
      <c r="E1073" s="2">
        <v>1.0</v>
      </c>
      <c r="F1073" s="2">
        <v>75.0</v>
      </c>
      <c r="G1073" s="2">
        <v>188700.0</v>
      </c>
    </row>
    <row r="1074" ht="14.25" customHeight="1">
      <c r="A1074" s="2">
        <v>1073.0</v>
      </c>
      <c r="B1074" s="2" t="s">
        <v>2488</v>
      </c>
      <c r="C1074" s="2" t="s">
        <v>3576</v>
      </c>
      <c r="D1074" s="2">
        <v>333.0</v>
      </c>
      <c r="E1074" s="2">
        <v>1.0</v>
      </c>
      <c r="F1074" s="2">
        <v>150.0</v>
      </c>
      <c r="G1074" s="2">
        <v>188700.0</v>
      </c>
    </row>
    <row r="1075" ht="14.25" customHeight="1">
      <c r="A1075" s="2">
        <v>1074.0</v>
      </c>
      <c r="B1075" s="2" t="s">
        <v>2549</v>
      </c>
      <c r="C1075" s="2" t="s">
        <v>3577</v>
      </c>
      <c r="D1075" s="2">
        <v>115.0</v>
      </c>
      <c r="E1075" s="2">
        <v>1.0</v>
      </c>
      <c r="F1075" s="2">
        <v>100.1</v>
      </c>
      <c r="G1075" s="2">
        <v>188600.0</v>
      </c>
    </row>
    <row r="1076" ht="14.25" customHeight="1">
      <c r="A1076" s="2">
        <v>1075.0</v>
      </c>
      <c r="B1076" s="2" t="s">
        <v>2582</v>
      </c>
      <c r="C1076" s="2" t="s">
        <v>3578</v>
      </c>
      <c r="D1076" s="2">
        <v>183.0</v>
      </c>
      <c r="E1076" s="2">
        <v>1.0</v>
      </c>
      <c r="F1076" s="2">
        <v>150.0</v>
      </c>
      <c r="G1076" s="2">
        <v>188600.0</v>
      </c>
    </row>
    <row r="1077" ht="14.25" customHeight="1">
      <c r="A1077" s="2">
        <v>1076.0</v>
      </c>
      <c r="B1077" s="2" t="s">
        <v>2594</v>
      </c>
      <c r="C1077" s="2" t="s">
        <v>3579</v>
      </c>
      <c r="D1077" s="2">
        <v>184.0</v>
      </c>
      <c r="E1077" s="2">
        <v>1.0</v>
      </c>
      <c r="F1077" s="2">
        <v>66.0</v>
      </c>
      <c r="G1077" s="2">
        <v>188600.0</v>
      </c>
    </row>
    <row r="1078" ht="14.25" customHeight="1">
      <c r="A1078" s="2">
        <v>1077.0</v>
      </c>
      <c r="B1078" s="2" t="s">
        <v>2576</v>
      </c>
      <c r="C1078" s="2" t="s">
        <v>3580</v>
      </c>
      <c r="D1078" s="2">
        <v>197.0</v>
      </c>
      <c r="E1078" s="2">
        <v>1.0</v>
      </c>
      <c r="F1078" s="2">
        <v>100.0</v>
      </c>
      <c r="G1078" s="2">
        <v>188600.0</v>
      </c>
    </row>
    <row r="1079" ht="14.25" customHeight="1">
      <c r="A1079" s="2">
        <v>1078.0</v>
      </c>
      <c r="B1079" s="2" t="s">
        <v>2636</v>
      </c>
      <c r="C1079" s="2" t="s">
        <v>3581</v>
      </c>
      <c r="D1079" s="2">
        <v>145.0</v>
      </c>
      <c r="E1079" s="2">
        <v>1.0</v>
      </c>
      <c r="F1079" s="2">
        <v>200.0</v>
      </c>
      <c r="G1079" s="2">
        <v>188500.0</v>
      </c>
    </row>
    <row r="1080" ht="14.25" customHeight="1">
      <c r="A1080" s="2">
        <v>1079.0</v>
      </c>
      <c r="B1080" s="2" t="s">
        <v>2558</v>
      </c>
      <c r="C1080" s="2" t="s">
        <v>3582</v>
      </c>
      <c r="D1080" s="2">
        <v>357.0</v>
      </c>
      <c r="E1080" s="2">
        <v>1.0</v>
      </c>
      <c r="F1080" s="2">
        <v>66.0</v>
      </c>
      <c r="G1080" s="2">
        <v>188500.0</v>
      </c>
    </row>
    <row r="1081" ht="14.25" customHeight="1">
      <c r="A1081" s="2">
        <v>1080.0</v>
      </c>
      <c r="B1081" s="2" t="s">
        <v>2501</v>
      </c>
      <c r="C1081" s="2" t="s">
        <v>3583</v>
      </c>
      <c r="D1081" s="2">
        <v>199.0</v>
      </c>
      <c r="E1081" s="2">
        <v>1.0</v>
      </c>
      <c r="F1081" s="2">
        <v>99.0</v>
      </c>
      <c r="G1081" s="2">
        <v>188300.0</v>
      </c>
    </row>
    <row r="1082" ht="14.25" customHeight="1">
      <c r="A1082" s="2">
        <v>1081.0</v>
      </c>
      <c r="B1082" s="2" t="s">
        <v>2534</v>
      </c>
      <c r="C1082" s="2" t="s">
        <v>3584</v>
      </c>
      <c r="D1082" s="2">
        <v>188.0</v>
      </c>
      <c r="E1082" s="2">
        <v>1.0</v>
      </c>
      <c r="F1082" s="2">
        <v>100.0</v>
      </c>
      <c r="G1082" s="2">
        <v>188100.0</v>
      </c>
    </row>
    <row r="1083" ht="14.25" customHeight="1">
      <c r="A1083" s="2">
        <v>1082.0</v>
      </c>
      <c r="B1083" s="2" t="s">
        <v>2582</v>
      </c>
      <c r="C1083" s="2" t="s">
        <v>3585</v>
      </c>
      <c r="D1083" s="2">
        <v>183.0</v>
      </c>
      <c r="E1083" s="2">
        <v>1.0</v>
      </c>
      <c r="F1083" s="2">
        <v>100.0</v>
      </c>
      <c r="G1083" s="2">
        <v>188000.0</v>
      </c>
    </row>
    <row r="1084" ht="14.25" customHeight="1">
      <c r="A1084" s="2">
        <v>1083.0</v>
      </c>
      <c r="B1084" s="2" t="s">
        <v>2488</v>
      </c>
      <c r="C1084" s="2" t="s">
        <v>3586</v>
      </c>
      <c r="D1084" s="2">
        <v>333.0</v>
      </c>
      <c r="E1084" s="2">
        <v>1.0</v>
      </c>
      <c r="F1084" s="2">
        <v>75.0</v>
      </c>
      <c r="G1084" s="2">
        <v>188000.0</v>
      </c>
    </row>
    <row r="1085" ht="14.25" customHeight="1">
      <c r="A1085" s="2">
        <v>1084.0</v>
      </c>
      <c r="B1085" s="2" t="s">
        <v>2553</v>
      </c>
      <c r="C1085" s="2" t="s">
        <v>3587</v>
      </c>
      <c r="D1085" s="2">
        <v>187.0</v>
      </c>
      <c r="E1085" s="2">
        <v>1.0</v>
      </c>
      <c r="F1085" s="2">
        <v>190.0</v>
      </c>
      <c r="G1085" s="2">
        <v>187900.0</v>
      </c>
    </row>
    <row r="1086" ht="14.25" customHeight="1">
      <c r="A1086" s="2">
        <v>1085.0</v>
      </c>
      <c r="B1086" s="2" t="s">
        <v>2488</v>
      </c>
      <c r="C1086" s="2" t="s">
        <v>3588</v>
      </c>
      <c r="D1086" s="2">
        <v>333.0</v>
      </c>
      <c r="E1086" s="2">
        <v>1.0</v>
      </c>
      <c r="F1086" s="2">
        <v>100.0</v>
      </c>
      <c r="G1086" s="2">
        <v>187900.0</v>
      </c>
    </row>
    <row r="1087" ht="14.25" customHeight="1">
      <c r="A1087" s="2">
        <v>1086.0</v>
      </c>
      <c r="B1087" s="2" t="s">
        <v>2651</v>
      </c>
      <c r="C1087" s="2" t="s">
        <v>3589</v>
      </c>
      <c r="D1087" s="2">
        <v>347.0</v>
      </c>
      <c r="E1087" s="2">
        <v>1.0</v>
      </c>
      <c r="F1087" s="2">
        <v>70.0</v>
      </c>
      <c r="G1087" s="2">
        <v>187900.0</v>
      </c>
    </row>
    <row r="1088" ht="14.25" customHeight="1">
      <c r="A1088" s="2">
        <v>1087.0</v>
      </c>
      <c r="B1088" s="2" t="s">
        <v>2561</v>
      </c>
      <c r="C1088" s="2" t="s">
        <v>3590</v>
      </c>
      <c r="D1088" s="2">
        <v>162.0</v>
      </c>
      <c r="E1088" s="2">
        <v>1.0</v>
      </c>
      <c r="F1088" s="2">
        <v>100.0</v>
      </c>
      <c r="G1088" s="2">
        <v>187800.0</v>
      </c>
    </row>
    <row r="1089" ht="14.25" customHeight="1">
      <c r="A1089" s="2">
        <v>1088.0</v>
      </c>
      <c r="B1089" s="2" t="s">
        <v>2576</v>
      </c>
      <c r="C1089" s="2" t="s">
        <v>3591</v>
      </c>
      <c r="D1089" s="2">
        <v>197.0</v>
      </c>
      <c r="E1089" s="2">
        <v>1.0</v>
      </c>
      <c r="F1089" s="2">
        <v>100.0</v>
      </c>
      <c r="G1089" s="2">
        <v>187800.0</v>
      </c>
    </row>
    <row r="1090" ht="14.25" customHeight="1">
      <c r="A1090" s="2">
        <v>1089.0</v>
      </c>
      <c r="B1090" s="2" t="s">
        <v>2505</v>
      </c>
      <c r="C1090" s="2" t="s">
        <v>3592</v>
      </c>
      <c r="D1090" s="2">
        <v>429.0</v>
      </c>
      <c r="E1090" s="2">
        <v>1.0</v>
      </c>
      <c r="F1090" s="2">
        <v>88.0</v>
      </c>
      <c r="G1090" s="2">
        <v>187800.0</v>
      </c>
    </row>
    <row r="1091" ht="14.25" customHeight="1">
      <c r="A1091" s="2">
        <v>1090.0</v>
      </c>
      <c r="B1091" s="2" t="s">
        <v>2518</v>
      </c>
      <c r="C1091" s="2" t="s">
        <v>3593</v>
      </c>
      <c r="D1091" s="2">
        <v>161.0</v>
      </c>
      <c r="E1091" s="2">
        <v>1.0</v>
      </c>
      <c r="F1091" s="2">
        <v>75.0</v>
      </c>
      <c r="G1091" s="2">
        <v>187700.0</v>
      </c>
    </row>
    <row r="1092" ht="14.25" customHeight="1">
      <c r="A1092" s="2">
        <v>1091.0</v>
      </c>
      <c r="B1092" s="2" t="s">
        <v>2549</v>
      </c>
      <c r="C1092" s="2" t="s">
        <v>3594</v>
      </c>
      <c r="D1092" s="2">
        <v>115.0</v>
      </c>
      <c r="E1092" s="2">
        <v>1.0</v>
      </c>
      <c r="F1092" s="2">
        <v>112.5</v>
      </c>
      <c r="G1092" s="2">
        <v>187500.0</v>
      </c>
    </row>
    <row r="1093" ht="14.25" customHeight="1">
      <c r="A1093" s="2">
        <v>1092.0</v>
      </c>
      <c r="B1093" s="2" t="s">
        <v>2744</v>
      </c>
      <c r="C1093" s="2" t="s">
        <v>3595</v>
      </c>
      <c r="D1093" s="2">
        <v>169.0</v>
      </c>
      <c r="E1093" s="2">
        <v>1.0</v>
      </c>
      <c r="F1093" s="2">
        <v>150.0</v>
      </c>
      <c r="G1093" s="2">
        <v>187500.0</v>
      </c>
    </row>
    <row r="1094" ht="14.25" customHeight="1">
      <c r="A1094" s="2">
        <v>1093.0</v>
      </c>
      <c r="B1094" s="2" t="s">
        <v>2488</v>
      </c>
      <c r="C1094" s="2" t="s">
        <v>3596</v>
      </c>
      <c r="D1094" s="2">
        <v>333.0</v>
      </c>
      <c r="E1094" s="2">
        <v>1.0</v>
      </c>
      <c r="F1094" s="2">
        <v>110.0</v>
      </c>
      <c r="G1094" s="2">
        <v>187500.0</v>
      </c>
    </row>
    <row r="1095" ht="14.25" customHeight="1">
      <c r="A1095" s="2">
        <v>1094.0</v>
      </c>
      <c r="B1095" s="2" t="s">
        <v>2686</v>
      </c>
      <c r="C1095" s="2" t="s">
        <v>3597</v>
      </c>
      <c r="D1095" s="2">
        <v>127.0</v>
      </c>
      <c r="E1095" s="2">
        <v>1.0</v>
      </c>
      <c r="F1095" s="2">
        <v>130.0</v>
      </c>
      <c r="G1095" s="2">
        <v>187400.0</v>
      </c>
    </row>
    <row r="1096" ht="14.25" customHeight="1">
      <c r="A1096" s="2">
        <v>1095.0</v>
      </c>
      <c r="B1096" s="2" t="s">
        <v>2744</v>
      </c>
      <c r="C1096" s="2" t="s">
        <v>3598</v>
      </c>
      <c r="D1096" s="2">
        <v>169.0</v>
      </c>
      <c r="E1096" s="2">
        <v>1.0</v>
      </c>
      <c r="F1096" s="2">
        <v>110.0</v>
      </c>
      <c r="G1096" s="2">
        <v>187400.0</v>
      </c>
    </row>
    <row r="1097" ht="14.25" customHeight="1">
      <c r="A1097" s="2">
        <v>1096.0</v>
      </c>
      <c r="B1097" s="2" t="s">
        <v>2477</v>
      </c>
      <c r="C1097" s="2" t="s">
        <v>3599</v>
      </c>
      <c r="D1097" s="2">
        <v>152.0</v>
      </c>
      <c r="E1097" s="2">
        <v>1.0</v>
      </c>
      <c r="F1097" s="2">
        <v>130.0</v>
      </c>
      <c r="G1097" s="2">
        <v>187300.0</v>
      </c>
    </row>
    <row r="1098" ht="14.25" customHeight="1">
      <c r="A1098" s="2">
        <v>1097.0</v>
      </c>
      <c r="B1098" s="2" t="s">
        <v>2621</v>
      </c>
      <c r="C1098" s="2" t="s">
        <v>3600</v>
      </c>
      <c r="D1098" s="2">
        <v>403.0</v>
      </c>
      <c r="E1098" s="2">
        <v>1.0</v>
      </c>
      <c r="F1098" s="2">
        <v>77.5</v>
      </c>
      <c r="G1098" s="2">
        <v>187300.0</v>
      </c>
    </row>
    <row r="1099" ht="14.25" customHeight="1">
      <c r="A1099" s="2">
        <v>1098.0</v>
      </c>
      <c r="B1099" s="2" t="s">
        <v>2686</v>
      </c>
      <c r="C1099" s="2" t="s">
        <v>3601</v>
      </c>
      <c r="D1099" s="2">
        <v>127.0</v>
      </c>
      <c r="E1099" s="2">
        <v>1.0</v>
      </c>
      <c r="F1099" s="2">
        <v>120.0</v>
      </c>
      <c r="G1099" s="2">
        <v>187200.0</v>
      </c>
    </row>
    <row r="1100" ht="14.25" customHeight="1">
      <c r="A1100" s="2">
        <v>1099.0</v>
      </c>
      <c r="B1100" s="2" t="s">
        <v>2475</v>
      </c>
      <c r="C1100" s="2" t="s">
        <v>3602</v>
      </c>
      <c r="D1100" s="2">
        <v>143.0</v>
      </c>
      <c r="E1100" s="2">
        <v>1.0</v>
      </c>
      <c r="F1100" s="2">
        <v>50.0</v>
      </c>
      <c r="G1100" s="2">
        <v>187200.0</v>
      </c>
    </row>
    <row r="1101" ht="14.25" customHeight="1">
      <c r="A1101" s="2">
        <v>1100.0</v>
      </c>
      <c r="B1101" s="2" t="s">
        <v>2488</v>
      </c>
      <c r="C1101" s="2" t="s">
        <v>3603</v>
      </c>
      <c r="D1101" s="2">
        <v>333.0</v>
      </c>
      <c r="E1101" s="2">
        <v>1.0</v>
      </c>
      <c r="F1101" s="2">
        <v>100.0</v>
      </c>
      <c r="G1101" s="2">
        <v>187100.0</v>
      </c>
    </row>
    <row r="1102" ht="14.25" customHeight="1">
      <c r="A1102" s="2">
        <v>1101.0</v>
      </c>
      <c r="B1102" s="2" t="s">
        <v>2651</v>
      </c>
      <c r="C1102" s="2" t="s">
        <v>3604</v>
      </c>
      <c r="D1102" s="2">
        <v>347.0</v>
      </c>
      <c r="E1102" s="2">
        <v>1.0</v>
      </c>
      <c r="F1102" s="2">
        <v>132.0</v>
      </c>
      <c r="G1102" s="2">
        <v>187100.0</v>
      </c>
    </row>
    <row r="1103" ht="14.25" customHeight="1">
      <c r="A1103" s="2">
        <v>1102.0</v>
      </c>
      <c r="B1103" s="2" t="s">
        <v>2477</v>
      </c>
      <c r="C1103" s="2" t="s">
        <v>3605</v>
      </c>
      <c r="D1103" s="2">
        <v>152.0</v>
      </c>
      <c r="E1103" s="2">
        <v>1.0</v>
      </c>
      <c r="F1103" s="2">
        <v>100.0</v>
      </c>
      <c r="G1103" s="2">
        <v>187000.0</v>
      </c>
    </row>
    <row r="1104" ht="14.25" customHeight="1">
      <c r="A1104" s="2">
        <v>1103.0</v>
      </c>
      <c r="B1104" s="2" t="s">
        <v>2744</v>
      </c>
      <c r="C1104" s="2" t="s">
        <v>3606</v>
      </c>
      <c r="D1104" s="2">
        <v>169.0</v>
      </c>
      <c r="E1104" s="2">
        <v>1.0</v>
      </c>
      <c r="F1104" s="2">
        <v>70.0</v>
      </c>
      <c r="G1104" s="2">
        <v>187000.0</v>
      </c>
    </row>
    <row r="1105" ht="14.25" customHeight="1">
      <c r="A1105" s="2">
        <v>1104.0</v>
      </c>
      <c r="B1105" s="2" t="s">
        <v>2488</v>
      </c>
      <c r="C1105" s="2" t="s">
        <v>3607</v>
      </c>
      <c r="D1105" s="2">
        <v>333.0</v>
      </c>
      <c r="E1105" s="2">
        <v>1.0</v>
      </c>
      <c r="F1105" s="2">
        <v>75.0</v>
      </c>
      <c r="G1105" s="2">
        <v>187000.0</v>
      </c>
    </row>
    <row r="1106" ht="14.25" customHeight="1">
      <c r="A1106" s="2">
        <v>1105.0</v>
      </c>
      <c r="B1106" s="2" t="s">
        <v>2505</v>
      </c>
      <c r="C1106" s="2" t="s">
        <v>3608</v>
      </c>
      <c r="D1106" s="2">
        <v>429.0</v>
      </c>
      <c r="E1106" s="2">
        <v>1.0</v>
      </c>
      <c r="F1106" s="2">
        <v>200.0</v>
      </c>
      <c r="G1106" s="2">
        <v>187000.0</v>
      </c>
    </row>
    <row r="1107" ht="14.25" customHeight="1">
      <c r="A1107" s="2">
        <v>1106.0</v>
      </c>
      <c r="B1107" s="2" t="s">
        <v>2582</v>
      </c>
      <c r="C1107" s="2" t="s">
        <v>3609</v>
      </c>
      <c r="D1107" s="2">
        <v>183.0</v>
      </c>
      <c r="E1107" s="2">
        <v>1.0</v>
      </c>
      <c r="F1107" s="2">
        <v>112.5</v>
      </c>
      <c r="G1107" s="2">
        <v>186900.0</v>
      </c>
    </row>
    <row r="1108" ht="14.25" customHeight="1">
      <c r="A1108" s="2">
        <v>1107.0</v>
      </c>
      <c r="B1108" s="2" t="s">
        <v>2594</v>
      </c>
      <c r="C1108" s="2" t="s">
        <v>3610</v>
      </c>
      <c r="D1108" s="2">
        <v>184.0</v>
      </c>
      <c r="E1108" s="2">
        <v>1.0</v>
      </c>
      <c r="F1108" s="2">
        <v>100.0</v>
      </c>
      <c r="G1108" s="2">
        <v>186900.0</v>
      </c>
    </row>
    <row r="1109" ht="14.25" customHeight="1">
      <c r="A1109" s="2">
        <v>1108.0</v>
      </c>
      <c r="B1109" s="2" t="s">
        <v>2553</v>
      </c>
      <c r="C1109" s="2" t="s">
        <v>3611</v>
      </c>
      <c r="D1109" s="2">
        <v>187.0</v>
      </c>
      <c r="E1109" s="2">
        <v>1.0</v>
      </c>
      <c r="F1109" s="2">
        <v>130.0</v>
      </c>
      <c r="G1109" s="2">
        <v>186900.0</v>
      </c>
    </row>
    <row r="1110" ht="14.25" customHeight="1">
      <c r="A1110" s="2">
        <v>1109.0</v>
      </c>
      <c r="B1110" s="2" t="s">
        <v>2651</v>
      </c>
      <c r="C1110" s="2" t="s">
        <v>3612</v>
      </c>
      <c r="D1110" s="2">
        <v>347.0</v>
      </c>
      <c r="E1110" s="2">
        <v>1.0</v>
      </c>
      <c r="F1110" s="2">
        <v>100.0</v>
      </c>
      <c r="G1110" s="2">
        <v>186900.0</v>
      </c>
    </row>
    <row r="1111" ht="14.25" customHeight="1">
      <c r="A1111" s="2">
        <v>1110.0</v>
      </c>
      <c r="B1111" s="2" t="s">
        <v>2479</v>
      </c>
      <c r="C1111" s="2" t="s">
        <v>3613</v>
      </c>
      <c r="D1111" s="2">
        <v>182.0</v>
      </c>
      <c r="E1111" s="2">
        <v>1.0</v>
      </c>
      <c r="F1111" s="2">
        <v>75.0</v>
      </c>
      <c r="G1111" s="2">
        <v>186800.0</v>
      </c>
    </row>
    <row r="1112" ht="14.25" customHeight="1">
      <c r="A1112" s="2">
        <v>1111.0</v>
      </c>
      <c r="B1112" s="2" t="s">
        <v>2582</v>
      </c>
      <c r="C1112" s="2" t="s">
        <v>3614</v>
      </c>
      <c r="D1112" s="2">
        <v>183.0</v>
      </c>
      <c r="E1112" s="2">
        <v>1.0</v>
      </c>
      <c r="F1112" s="2">
        <v>132.0</v>
      </c>
      <c r="G1112" s="2">
        <v>186800.0</v>
      </c>
    </row>
    <row r="1113" ht="14.25" customHeight="1">
      <c r="A1113" s="2">
        <v>1112.0</v>
      </c>
      <c r="B1113" s="2" t="s">
        <v>2594</v>
      </c>
      <c r="C1113" s="2" t="s">
        <v>3615</v>
      </c>
      <c r="D1113" s="2">
        <v>184.0</v>
      </c>
      <c r="E1113" s="2">
        <v>1.0</v>
      </c>
      <c r="F1113" s="2">
        <v>100.0</v>
      </c>
      <c r="G1113" s="2">
        <v>186700.0</v>
      </c>
    </row>
    <row r="1114" ht="14.25" customHeight="1">
      <c r="A1114" s="2">
        <v>1113.0</v>
      </c>
      <c r="B1114" s="2" t="s">
        <v>2491</v>
      </c>
      <c r="C1114" s="2" t="s">
        <v>3616</v>
      </c>
      <c r="D1114" s="2">
        <v>116.0</v>
      </c>
      <c r="E1114" s="2">
        <v>1.0</v>
      </c>
      <c r="F1114" s="2">
        <v>100.0</v>
      </c>
      <c r="G1114" s="2">
        <v>186500.0</v>
      </c>
    </row>
    <row r="1115" ht="14.25" customHeight="1">
      <c r="A1115" s="2">
        <v>1114.0</v>
      </c>
      <c r="B1115" s="2" t="s">
        <v>2501</v>
      </c>
      <c r="C1115" s="2" t="s">
        <v>3617</v>
      </c>
      <c r="D1115" s="2">
        <v>199.0</v>
      </c>
      <c r="E1115" s="2">
        <v>1.0</v>
      </c>
      <c r="F1115" s="2">
        <v>65.0</v>
      </c>
      <c r="G1115" s="2">
        <v>186400.0</v>
      </c>
    </row>
    <row r="1116" ht="14.25" customHeight="1">
      <c r="A1116" s="2">
        <v>1115.0</v>
      </c>
      <c r="B1116" s="2" t="s">
        <v>2558</v>
      </c>
      <c r="C1116" s="2" t="s">
        <v>3618</v>
      </c>
      <c r="D1116" s="2">
        <v>357.0</v>
      </c>
      <c r="E1116" s="2">
        <v>1.0</v>
      </c>
      <c r="F1116" s="2">
        <v>65.0</v>
      </c>
      <c r="G1116" s="2">
        <v>186300.0</v>
      </c>
    </row>
    <row r="1117" ht="14.25" customHeight="1">
      <c r="A1117" s="2">
        <v>1116.0</v>
      </c>
      <c r="B1117" s="2" t="s">
        <v>2558</v>
      </c>
      <c r="C1117" s="2" t="s">
        <v>3619</v>
      </c>
      <c r="D1117" s="2">
        <v>357.0</v>
      </c>
      <c r="E1117" s="2">
        <v>1.0</v>
      </c>
      <c r="F1117" s="2">
        <v>90.0</v>
      </c>
      <c r="G1117" s="2">
        <v>186300.0</v>
      </c>
    </row>
    <row r="1118" ht="14.25" customHeight="1">
      <c r="A1118" s="2">
        <v>1117.0</v>
      </c>
      <c r="B1118" s="2" t="s">
        <v>2497</v>
      </c>
      <c r="C1118" s="2" t="s">
        <v>3620</v>
      </c>
      <c r="D1118" s="2">
        <v>151.0</v>
      </c>
      <c r="E1118" s="2">
        <v>1.0</v>
      </c>
      <c r="F1118" s="2">
        <v>88.0</v>
      </c>
      <c r="G1118" s="2">
        <v>186000.0</v>
      </c>
    </row>
    <row r="1119" ht="14.25" customHeight="1">
      <c r="A1119" s="2">
        <v>1118.0</v>
      </c>
      <c r="B1119" s="2" t="s">
        <v>2651</v>
      </c>
      <c r="C1119" s="2" t="s">
        <v>3621</v>
      </c>
      <c r="D1119" s="2">
        <v>347.0</v>
      </c>
      <c r="E1119" s="2">
        <v>1.0</v>
      </c>
      <c r="F1119" s="2">
        <v>103.0</v>
      </c>
      <c r="G1119" s="2">
        <v>186000.0</v>
      </c>
    </row>
    <row r="1120" ht="14.25" customHeight="1">
      <c r="A1120" s="2">
        <v>1119.0</v>
      </c>
      <c r="B1120" s="2" t="s">
        <v>2518</v>
      </c>
      <c r="C1120" s="2" t="s">
        <v>3622</v>
      </c>
      <c r="D1120" s="2">
        <v>161.0</v>
      </c>
      <c r="E1120" s="2">
        <v>1.0</v>
      </c>
      <c r="F1120" s="2">
        <v>75.0</v>
      </c>
      <c r="G1120" s="2">
        <v>185900.0</v>
      </c>
    </row>
    <row r="1121" ht="14.25" customHeight="1">
      <c r="A1121" s="2">
        <v>1120.0</v>
      </c>
      <c r="B1121" s="2" t="s">
        <v>2576</v>
      </c>
      <c r="C1121" s="2" t="s">
        <v>3623</v>
      </c>
      <c r="D1121" s="2">
        <v>197.0</v>
      </c>
      <c r="E1121" s="2">
        <v>1.0</v>
      </c>
      <c r="F1121" s="2">
        <v>100.0</v>
      </c>
      <c r="G1121" s="2">
        <v>185800.0</v>
      </c>
    </row>
    <row r="1122" ht="14.25" customHeight="1">
      <c r="A1122" s="2">
        <v>1121.0</v>
      </c>
      <c r="B1122" s="2" t="s">
        <v>2576</v>
      </c>
      <c r="C1122" s="2" t="s">
        <v>3624</v>
      </c>
      <c r="D1122" s="2">
        <v>197.0</v>
      </c>
      <c r="E1122" s="2">
        <v>1.0</v>
      </c>
      <c r="F1122" s="2">
        <v>100.0</v>
      </c>
      <c r="G1122" s="2">
        <v>185700.0</v>
      </c>
    </row>
    <row r="1123" ht="14.25" customHeight="1">
      <c r="A1123" s="2">
        <v>1122.0</v>
      </c>
      <c r="B1123" s="2" t="s">
        <v>2524</v>
      </c>
      <c r="C1123" s="2" t="s">
        <v>3625</v>
      </c>
      <c r="D1123" s="2">
        <v>331.0</v>
      </c>
      <c r="E1123" s="2">
        <v>1.0</v>
      </c>
      <c r="F1123" s="2">
        <v>75.0</v>
      </c>
      <c r="G1123" s="2">
        <v>185600.0</v>
      </c>
    </row>
    <row r="1124" ht="14.25" customHeight="1">
      <c r="A1124" s="2">
        <v>1123.0</v>
      </c>
      <c r="B1124" s="2" t="s">
        <v>2503</v>
      </c>
      <c r="C1124" s="2" t="s">
        <v>3626</v>
      </c>
      <c r="D1124" s="2">
        <v>105.0</v>
      </c>
      <c r="E1124" s="2">
        <v>1.0</v>
      </c>
      <c r="F1124" s="2">
        <v>75.0</v>
      </c>
      <c r="G1124" s="2">
        <v>185500.0</v>
      </c>
    </row>
    <row r="1125" ht="14.25" customHeight="1">
      <c r="A1125" s="2">
        <v>1124.0</v>
      </c>
      <c r="B1125" s="2" t="s">
        <v>2503</v>
      </c>
      <c r="C1125" s="2" t="s">
        <v>3627</v>
      </c>
      <c r="D1125" s="2">
        <v>105.0</v>
      </c>
      <c r="E1125" s="2">
        <v>1.0</v>
      </c>
      <c r="F1125" s="2">
        <v>90.0</v>
      </c>
      <c r="G1125" s="2">
        <v>185500.0</v>
      </c>
    </row>
    <row r="1126" ht="14.25" customHeight="1">
      <c r="A1126" s="2">
        <v>1125.0</v>
      </c>
      <c r="B1126" s="2" t="s">
        <v>2558</v>
      </c>
      <c r="C1126" s="2" t="s">
        <v>3628</v>
      </c>
      <c r="D1126" s="2">
        <v>357.0</v>
      </c>
      <c r="E1126" s="2">
        <v>1.0</v>
      </c>
      <c r="F1126" s="2">
        <v>132.0</v>
      </c>
      <c r="G1126" s="2">
        <v>185500.0</v>
      </c>
    </row>
    <row r="1127" ht="14.25" customHeight="1">
      <c r="A1127" s="2">
        <v>1126.0</v>
      </c>
      <c r="B1127" s="2" t="s">
        <v>2503</v>
      </c>
      <c r="C1127" s="2" t="s">
        <v>3629</v>
      </c>
      <c r="D1127" s="2">
        <v>105.0</v>
      </c>
      <c r="E1127" s="2">
        <v>1.0</v>
      </c>
      <c r="F1127" s="2">
        <v>99.0</v>
      </c>
      <c r="G1127" s="2">
        <v>185400.0</v>
      </c>
    </row>
    <row r="1128" ht="14.25" customHeight="1">
      <c r="A1128" s="2">
        <v>1127.0</v>
      </c>
      <c r="B1128" s="2" t="s">
        <v>2576</v>
      </c>
      <c r="C1128" s="2" t="s">
        <v>3630</v>
      </c>
      <c r="D1128" s="2">
        <v>197.0</v>
      </c>
      <c r="E1128" s="2">
        <v>1.0</v>
      </c>
      <c r="F1128" s="2">
        <v>100.0</v>
      </c>
      <c r="G1128" s="2">
        <v>185400.0</v>
      </c>
    </row>
    <row r="1129" ht="14.25" customHeight="1">
      <c r="A1129" s="2">
        <v>1128.0</v>
      </c>
      <c r="B1129" s="2" t="s">
        <v>2518</v>
      </c>
      <c r="C1129" s="2" t="s">
        <v>3631</v>
      </c>
      <c r="D1129" s="2">
        <v>161.0</v>
      </c>
      <c r="E1129" s="2">
        <v>1.0</v>
      </c>
      <c r="F1129" s="2">
        <v>75.0</v>
      </c>
      <c r="G1129" s="2">
        <v>185300.0</v>
      </c>
    </row>
    <row r="1130" ht="14.25" customHeight="1">
      <c r="A1130" s="2">
        <v>1129.0</v>
      </c>
      <c r="B1130" s="2" t="s">
        <v>2744</v>
      </c>
      <c r="C1130" s="2" t="s">
        <v>3632</v>
      </c>
      <c r="D1130" s="2">
        <v>169.0</v>
      </c>
      <c r="E1130" s="2">
        <v>1.0</v>
      </c>
      <c r="F1130" s="2">
        <v>100.0</v>
      </c>
      <c r="G1130" s="2">
        <v>185200.0</v>
      </c>
    </row>
    <row r="1131" ht="14.25" customHeight="1">
      <c r="A1131" s="2">
        <v>1130.0</v>
      </c>
      <c r="B1131" s="2" t="s">
        <v>2524</v>
      </c>
      <c r="C1131" s="2" t="s">
        <v>3633</v>
      </c>
      <c r="D1131" s="2">
        <v>331.0</v>
      </c>
      <c r="E1131" s="2">
        <v>1.0</v>
      </c>
      <c r="F1131" s="2">
        <v>100.0</v>
      </c>
      <c r="G1131" s="2">
        <v>185200.0</v>
      </c>
    </row>
    <row r="1132" ht="14.25" customHeight="1">
      <c r="A1132" s="2">
        <v>1131.0</v>
      </c>
      <c r="B1132" s="2" t="s">
        <v>2497</v>
      </c>
      <c r="C1132" s="2" t="s">
        <v>3634</v>
      </c>
      <c r="D1132" s="2">
        <v>151.0</v>
      </c>
      <c r="E1132" s="2">
        <v>1.0</v>
      </c>
      <c r="F1132" s="2">
        <v>150.0</v>
      </c>
      <c r="G1132" s="2">
        <v>185100.0</v>
      </c>
    </row>
    <row r="1133" ht="14.25" customHeight="1">
      <c r="A1133" s="2">
        <v>1132.0</v>
      </c>
      <c r="B1133" s="2" t="s">
        <v>2561</v>
      </c>
      <c r="C1133" s="2" t="s">
        <v>3635</v>
      </c>
      <c r="D1133" s="2">
        <v>162.0</v>
      </c>
      <c r="E1133" s="2">
        <v>1.0</v>
      </c>
      <c r="F1133" s="2">
        <v>100.0</v>
      </c>
      <c r="G1133" s="2">
        <v>185100.0</v>
      </c>
    </row>
    <row r="1134" ht="14.25" customHeight="1">
      <c r="A1134" s="2">
        <v>1133.0</v>
      </c>
      <c r="B1134" s="2" t="s">
        <v>2497</v>
      </c>
      <c r="C1134" s="2" t="s">
        <v>3636</v>
      </c>
      <c r="D1134" s="2">
        <v>151.0</v>
      </c>
      <c r="E1134" s="2">
        <v>1.0</v>
      </c>
      <c r="F1134" s="2">
        <v>120.0</v>
      </c>
      <c r="G1134" s="2">
        <v>185000.0</v>
      </c>
    </row>
    <row r="1135" ht="14.25" customHeight="1">
      <c r="A1135" s="2">
        <v>1134.0</v>
      </c>
      <c r="B1135" s="2" t="s">
        <v>2558</v>
      </c>
      <c r="C1135" s="2" t="s">
        <v>3637</v>
      </c>
      <c r="D1135" s="2">
        <v>357.0</v>
      </c>
      <c r="E1135" s="2">
        <v>1.0</v>
      </c>
      <c r="F1135" s="2">
        <v>85.0</v>
      </c>
      <c r="G1135" s="2">
        <v>185000.0</v>
      </c>
    </row>
    <row r="1136" ht="14.25" customHeight="1">
      <c r="A1136" s="2">
        <v>1135.0</v>
      </c>
      <c r="B1136" s="2" t="s">
        <v>2576</v>
      </c>
      <c r="C1136" s="2" t="s">
        <v>3638</v>
      </c>
      <c r="D1136" s="2">
        <v>197.0</v>
      </c>
      <c r="E1136" s="2">
        <v>1.0</v>
      </c>
      <c r="F1136" s="2">
        <v>100.0</v>
      </c>
      <c r="G1136" s="2">
        <v>184900.0</v>
      </c>
    </row>
    <row r="1137" ht="14.25" customHeight="1">
      <c r="A1137" s="2">
        <v>1136.0</v>
      </c>
      <c r="B1137" s="2" t="s">
        <v>2477</v>
      </c>
      <c r="C1137" s="2" t="s">
        <v>3639</v>
      </c>
      <c r="D1137" s="2">
        <v>152.0</v>
      </c>
      <c r="E1137" s="2">
        <v>1.0</v>
      </c>
      <c r="F1137" s="2">
        <v>70.0</v>
      </c>
      <c r="G1137" s="2">
        <v>184800.0</v>
      </c>
    </row>
    <row r="1138" ht="14.25" customHeight="1">
      <c r="A1138" s="2">
        <v>1137.0</v>
      </c>
      <c r="B1138" s="2" t="s">
        <v>2549</v>
      </c>
      <c r="C1138" s="2" t="s">
        <v>3640</v>
      </c>
      <c r="D1138" s="2">
        <v>115.0</v>
      </c>
      <c r="E1138" s="2">
        <v>1.0</v>
      </c>
      <c r="F1138" s="2">
        <v>45.0</v>
      </c>
      <c r="G1138" s="2">
        <v>184600.0</v>
      </c>
    </row>
    <row r="1139" ht="14.25" customHeight="1">
      <c r="A1139" s="2">
        <v>1138.0</v>
      </c>
      <c r="B1139" s="2" t="s">
        <v>2501</v>
      </c>
      <c r="C1139" s="2" t="s">
        <v>3641</v>
      </c>
      <c r="D1139" s="2">
        <v>199.0</v>
      </c>
      <c r="E1139" s="2">
        <v>1.0</v>
      </c>
      <c r="F1139" s="2">
        <v>66.0</v>
      </c>
      <c r="G1139" s="2">
        <v>184600.0</v>
      </c>
    </row>
    <row r="1140" ht="14.25" customHeight="1">
      <c r="A1140" s="2">
        <v>1139.0</v>
      </c>
      <c r="B1140" s="2" t="s">
        <v>2524</v>
      </c>
      <c r="C1140" s="2" t="s">
        <v>3642</v>
      </c>
      <c r="D1140" s="2">
        <v>331.0</v>
      </c>
      <c r="E1140" s="2">
        <v>1.0</v>
      </c>
      <c r="F1140" s="2">
        <v>156.0</v>
      </c>
      <c r="G1140" s="2">
        <v>184600.0</v>
      </c>
    </row>
    <row r="1141" ht="14.25" customHeight="1">
      <c r="A1141" s="2">
        <v>1140.0</v>
      </c>
      <c r="B1141" s="2" t="s">
        <v>2518</v>
      </c>
      <c r="C1141" s="2" t="s">
        <v>3643</v>
      </c>
      <c r="D1141" s="2">
        <v>161.0</v>
      </c>
      <c r="E1141" s="2">
        <v>1.0</v>
      </c>
      <c r="F1141" s="2">
        <v>100.0</v>
      </c>
      <c r="G1141" s="2">
        <v>184500.0</v>
      </c>
    </row>
    <row r="1142" ht="14.25" customHeight="1">
      <c r="A1142" s="2">
        <v>1141.0</v>
      </c>
      <c r="B1142" s="2" t="s">
        <v>2561</v>
      </c>
      <c r="C1142" s="2" t="s">
        <v>3644</v>
      </c>
      <c r="D1142" s="2">
        <v>162.0</v>
      </c>
      <c r="E1142" s="2">
        <v>1.0</v>
      </c>
      <c r="F1142" s="2">
        <v>100.0</v>
      </c>
      <c r="G1142" s="2">
        <v>184500.0</v>
      </c>
    </row>
    <row r="1143" ht="14.25" customHeight="1">
      <c r="A1143" s="2">
        <v>1142.0</v>
      </c>
      <c r="B1143" s="2" t="s">
        <v>2576</v>
      </c>
      <c r="C1143" s="2" t="s">
        <v>3645</v>
      </c>
      <c r="D1143" s="2">
        <v>197.0</v>
      </c>
      <c r="E1143" s="2">
        <v>1.0</v>
      </c>
      <c r="F1143" s="2">
        <v>100.0</v>
      </c>
      <c r="G1143" s="2">
        <v>184500.0</v>
      </c>
    </row>
    <row r="1144" ht="14.25" customHeight="1">
      <c r="A1144" s="2">
        <v>1143.0</v>
      </c>
      <c r="B1144" s="2" t="s">
        <v>2503</v>
      </c>
      <c r="C1144" s="2" t="s">
        <v>3646</v>
      </c>
      <c r="D1144" s="2">
        <v>105.0</v>
      </c>
      <c r="E1144" s="2">
        <v>1.0</v>
      </c>
      <c r="F1144" s="2">
        <v>272.7</v>
      </c>
      <c r="G1144" s="2">
        <v>184400.0</v>
      </c>
    </row>
    <row r="1145" ht="14.25" customHeight="1">
      <c r="A1145" s="2">
        <v>1144.0</v>
      </c>
      <c r="B1145" s="2" t="s">
        <v>2582</v>
      </c>
      <c r="C1145" s="2" t="s">
        <v>3647</v>
      </c>
      <c r="D1145" s="2">
        <v>183.0</v>
      </c>
      <c r="E1145" s="2">
        <v>1.0</v>
      </c>
      <c r="F1145" s="2">
        <v>70.0</v>
      </c>
      <c r="G1145" s="2">
        <v>184400.0</v>
      </c>
    </row>
    <row r="1146" ht="14.25" customHeight="1">
      <c r="A1146" s="2">
        <v>1145.0</v>
      </c>
      <c r="B1146" s="2" t="s">
        <v>2501</v>
      </c>
      <c r="C1146" s="2" t="s">
        <v>3648</v>
      </c>
      <c r="D1146" s="2">
        <v>199.0</v>
      </c>
      <c r="E1146" s="2">
        <v>1.0</v>
      </c>
      <c r="F1146" s="2">
        <v>70.0</v>
      </c>
      <c r="G1146" s="2">
        <v>184400.0</v>
      </c>
    </row>
    <row r="1147" ht="14.25" customHeight="1">
      <c r="A1147" s="2">
        <v>1146.0</v>
      </c>
      <c r="B1147" s="2" t="s">
        <v>2518</v>
      </c>
      <c r="C1147" s="2" t="s">
        <v>3649</v>
      </c>
      <c r="D1147" s="2">
        <v>161.0</v>
      </c>
      <c r="E1147" s="2">
        <v>1.0</v>
      </c>
      <c r="F1147" s="2">
        <v>150.0</v>
      </c>
      <c r="G1147" s="2">
        <v>184300.0</v>
      </c>
    </row>
    <row r="1148" ht="14.25" customHeight="1">
      <c r="A1148" s="2">
        <v>1147.0</v>
      </c>
      <c r="B1148" s="2" t="s">
        <v>2594</v>
      </c>
      <c r="C1148" s="2" t="s">
        <v>3650</v>
      </c>
      <c r="D1148" s="2">
        <v>184.0</v>
      </c>
      <c r="E1148" s="2">
        <v>1.0</v>
      </c>
      <c r="F1148" s="2">
        <v>132.0</v>
      </c>
      <c r="G1148" s="2">
        <v>184300.0</v>
      </c>
    </row>
    <row r="1149" ht="14.25" customHeight="1">
      <c r="A1149" s="2">
        <v>1148.0</v>
      </c>
      <c r="B1149" s="2" t="s">
        <v>2558</v>
      </c>
      <c r="C1149" s="2" t="s">
        <v>3651</v>
      </c>
      <c r="D1149" s="2">
        <v>357.0</v>
      </c>
      <c r="E1149" s="2">
        <v>1.0</v>
      </c>
      <c r="F1149" s="2">
        <v>66.0</v>
      </c>
      <c r="G1149" s="2">
        <v>184300.0</v>
      </c>
    </row>
    <row r="1150" ht="14.25" customHeight="1">
      <c r="A1150" s="2">
        <v>1149.0</v>
      </c>
      <c r="B1150" s="2" t="s">
        <v>2491</v>
      </c>
      <c r="C1150" s="2" t="s">
        <v>3652</v>
      </c>
      <c r="D1150" s="2">
        <v>116.0</v>
      </c>
      <c r="E1150" s="2">
        <v>1.0</v>
      </c>
      <c r="F1150" s="2">
        <v>100.0</v>
      </c>
      <c r="G1150" s="2">
        <v>184100.0</v>
      </c>
    </row>
    <row r="1151" ht="14.25" customHeight="1">
      <c r="A1151" s="2">
        <v>1150.0</v>
      </c>
      <c r="B1151" s="2" t="s">
        <v>2479</v>
      </c>
      <c r="C1151" s="2" t="s">
        <v>3653</v>
      </c>
      <c r="D1151" s="2">
        <v>182.0</v>
      </c>
      <c r="E1151" s="2">
        <v>1.0</v>
      </c>
      <c r="F1151" s="2">
        <v>50.0</v>
      </c>
      <c r="G1151" s="2">
        <v>184100.0</v>
      </c>
    </row>
    <row r="1152" ht="14.25" customHeight="1">
      <c r="A1152" s="2">
        <v>1151.0</v>
      </c>
      <c r="B1152" s="2" t="s">
        <v>2571</v>
      </c>
      <c r="C1152" s="2" t="s">
        <v>3654</v>
      </c>
      <c r="D1152" s="2">
        <v>185.0</v>
      </c>
      <c r="E1152" s="2">
        <v>1.0</v>
      </c>
      <c r="F1152" s="2">
        <v>145.0</v>
      </c>
      <c r="G1152" s="2">
        <v>184100.0</v>
      </c>
    </row>
    <row r="1153" ht="14.25" customHeight="1">
      <c r="A1153" s="2">
        <v>1152.0</v>
      </c>
      <c r="B1153" s="2" t="s">
        <v>2604</v>
      </c>
      <c r="C1153" s="2" t="s">
        <v>3655</v>
      </c>
      <c r="D1153" s="2">
        <v>200.0</v>
      </c>
      <c r="E1153" s="2">
        <v>1.0</v>
      </c>
      <c r="F1153" s="2">
        <v>100.0</v>
      </c>
      <c r="G1153" s="2">
        <v>184100.0</v>
      </c>
    </row>
    <row r="1154" ht="14.25" customHeight="1">
      <c r="A1154" s="2">
        <v>1153.0</v>
      </c>
      <c r="B1154" s="2" t="s">
        <v>2558</v>
      </c>
      <c r="C1154" s="2" t="s">
        <v>3656</v>
      </c>
      <c r="D1154" s="2">
        <v>357.0</v>
      </c>
      <c r="E1154" s="2">
        <v>1.0</v>
      </c>
      <c r="F1154" s="2">
        <v>75.0</v>
      </c>
      <c r="G1154" s="2">
        <v>184100.0</v>
      </c>
    </row>
    <row r="1155" ht="14.25" customHeight="1">
      <c r="A1155" s="2">
        <v>1154.0</v>
      </c>
      <c r="B1155" s="2" t="s">
        <v>2518</v>
      </c>
      <c r="C1155" s="2" t="s">
        <v>3657</v>
      </c>
      <c r="D1155" s="2">
        <v>161.0</v>
      </c>
      <c r="E1155" s="2">
        <v>1.0</v>
      </c>
      <c r="F1155" s="2">
        <v>125.0</v>
      </c>
      <c r="G1155" s="2">
        <v>184000.0</v>
      </c>
    </row>
    <row r="1156" ht="14.25" customHeight="1">
      <c r="A1156" s="2">
        <v>1155.0</v>
      </c>
      <c r="B1156" s="2" t="s">
        <v>2582</v>
      </c>
      <c r="C1156" s="2" t="s">
        <v>3658</v>
      </c>
      <c r="D1156" s="2">
        <v>183.0</v>
      </c>
      <c r="E1156" s="2">
        <v>1.0</v>
      </c>
      <c r="F1156" s="2">
        <v>90.0</v>
      </c>
      <c r="G1156" s="2">
        <v>184000.0</v>
      </c>
    </row>
    <row r="1157" ht="14.25" customHeight="1">
      <c r="A1157" s="2">
        <v>1156.0</v>
      </c>
      <c r="B1157" s="2" t="s">
        <v>2501</v>
      </c>
      <c r="C1157" s="2" t="s">
        <v>3659</v>
      </c>
      <c r="D1157" s="2">
        <v>199.0</v>
      </c>
      <c r="E1157" s="2">
        <v>1.0</v>
      </c>
      <c r="F1157" s="2">
        <v>120.0</v>
      </c>
      <c r="G1157" s="2">
        <v>184000.0</v>
      </c>
    </row>
    <row r="1158" ht="14.25" customHeight="1">
      <c r="A1158" s="2">
        <v>1157.0</v>
      </c>
      <c r="B1158" s="2" t="s">
        <v>2524</v>
      </c>
      <c r="C1158" s="2" t="s">
        <v>3660</v>
      </c>
      <c r="D1158" s="2">
        <v>331.0</v>
      </c>
      <c r="E1158" s="2">
        <v>1.0</v>
      </c>
      <c r="F1158" s="2">
        <v>60.0</v>
      </c>
      <c r="G1158" s="2">
        <v>184000.0</v>
      </c>
    </row>
    <row r="1159" ht="14.25" customHeight="1">
      <c r="A1159" s="2">
        <v>1158.0</v>
      </c>
      <c r="B1159" s="2" t="s">
        <v>2491</v>
      </c>
      <c r="C1159" s="2" t="s">
        <v>3661</v>
      </c>
      <c r="D1159" s="2">
        <v>116.0</v>
      </c>
      <c r="E1159" s="2">
        <v>1.0</v>
      </c>
      <c r="F1159" s="2">
        <v>100.0</v>
      </c>
      <c r="G1159" s="2">
        <v>183800.0</v>
      </c>
    </row>
    <row r="1160" ht="14.25" customHeight="1">
      <c r="A1160" s="2">
        <v>1159.0</v>
      </c>
      <c r="B1160" s="2" t="s">
        <v>2503</v>
      </c>
      <c r="C1160" s="2" t="s">
        <v>3662</v>
      </c>
      <c r="D1160" s="2">
        <v>105.0</v>
      </c>
      <c r="E1160" s="2">
        <v>1.0</v>
      </c>
      <c r="F1160" s="2">
        <v>150.0</v>
      </c>
      <c r="G1160" s="2">
        <v>183600.0</v>
      </c>
    </row>
    <row r="1161" ht="14.25" customHeight="1">
      <c r="A1161" s="2">
        <v>1160.0</v>
      </c>
      <c r="B1161" s="2" t="s">
        <v>2549</v>
      </c>
      <c r="C1161" s="2" t="s">
        <v>3663</v>
      </c>
      <c r="D1161" s="2">
        <v>115.0</v>
      </c>
      <c r="E1161" s="2">
        <v>1.0</v>
      </c>
      <c r="F1161" s="2">
        <v>100.0</v>
      </c>
      <c r="G1161" s="2">
        <v>183600.0</v>
      </c>
    </row>
    <row r="1162" ht="14.25" customHeight="1">
      <c r="A1162" s="2">
        <v>1161.0</v>
      </c>
      <c r="B1162" s="2" t="s">
        <v>2475</v>
      </c>
      <c r="C1162" s="2" t="s">
        <v>3664</v>
      </c>
      <c r="D1162" s="2">
        <v>143.0</v>
      </c>
      <c r="E1162" s="2">
        <v>1.0</v>
      </c>
      <c r="F1162" s="2">
        <v>60.0</v>
      </c>
      <c r="G1162" s="2">
        <v>183600.0</v>
      </c>
    </row>
    <row r="1163" ht="14.25" customHeight="1">
      <c r="A1163" s="2">
        <v>1162.0</v>
      </c>
      <c r="B1163" s="2" t="s">
        <v>2594</v>
      </c>
      <c r="C1163" s="2" t="s">
        <v>3665</v>
      </c>
      <c r="D1163" s="2">
        <v>184.0</v>
      </c>
      <c r="E1163" s="2">
        <v>1.0</v>
      </c>
      <c r="F1163" s="2">
        <v>100.0</v>
      </c>
      <c r="G1163" s="2">
        <v>183600.0</v>
      </c>
    </row>
    <row r="1164" ht="14.25" customHeight="1">
      <c r="A1164" s="2">
        <v>1163.0</v>
      </c>
      <c r="B1164" s="2" t="s">
        <v>2488</v>
      </c>
      <c r="C1164" s="2" t="s">
        <v>3666</v>
      </c>
      <c r="D1164" s="2">
        <v>333.0</v>
      </c>
      <c r="E1164" s="2">
        <v>1.0</v>
      </c>
      <c r="F1164" s="2">
        <v>100.0</v>
      </c>
      <c r="G1164" s="2">
        <v>183600.0</v>
      </c>
    </row>
    <row r="1165" ht="14.25" customHeight="1">
      <c r="A1165" s="2">
        <v>1164.0</v>
      </c>
      <c r="B1165" s="2" t="s">
        <v>2488</v>
      </c>
      <c r="C1165" s="2" t="s">
        <v>3667</v>
      </c>
      <c r="D1165" s="2">
        <v>333.0</v>
      </c>
      <c r="E1165" s="2">
        <v>1.0</v>
      </c>
      <c r="F1165" s="2">
        <v>75.0</v>
      </c>
      <c r="G1165" s="2">
        <v>183600.0</v>
      </c>
    </row>
    <row r="1166" ht="14.25" customHeight="1">
      <c r="A1166" s="2">
        <v>1165.0</v>
      </c>
      <c r="B1166" s="2" t="s">
        <v>2488</v>
      </c>
      <c r="C1166" s="2" t="s">
        <v>3668</v>
      </c>
      <c r="D1166" s="2">
        <v>333.0</v>
      </c>
      <c r="E1166" s="2">
        <v>1.0</v>
      </c>
      <c r="F1166" s="2">
        <v>107.0</v>
      </c>
      <c r="G1166" s="2">
        <v>183600.0</v>
      </c>
    </row>
    <row r="1167" ht="14.25" customHeight="1">
      <c r="A1167" s="2">
        <v>1166.0</v>
      </c>
      <c r="B1167" s="2" t="s">
        <v>2594</v>
      </c>
      <c r="C1167" s="2" t="s">
        <v>3669</v>
      </c>
      <c r="D1167" s="2">
        <v>184.0</v>
      </c>
      <c r="E1167" s="2">
        <v>1.0</v>
      </c>
      <c r="F1167" s="2">
        <v>125.0</v>
      </c>
      <c r="G1167" s="2">
        <v>183500.0</v>
      </c>
    </row>
    <row r="1168" ht="14.25" customHeight="1">
      <c r="A1168" s="2">
        <v>1167.0</v>
      </c>
      <c r="B1168" s="2" t="s">
        <v>2576</v>
      </c>
      <c r="C1168" s="2" t="s">
        <v>3670</v>
      </c>
      <c r="D1168" s="2">
        <v>197.0</v>
      </c>
      <c r="E1168" s="2">
        <v>1.0</v>
      </c>
      <c r="F1168" s="2">
        <v>132.0</v>
      </c>
      <c r="G1168" s="2">
        <v>183500.0</v>
      </c>
    </row>
    <row r="1169" ht="14.25" customHeight="1">
      <c r="A1169" s="2">
        <v>1168.0</v>
      </c>
      <c r="B1169" s="2" t="s">
        <v>2501</v>
      </c>
      <c r="C1169" s="2" t="s">
        <v>3671</v>
      </c>
      <c r="D1169" s="2">
        <v>199.0</v>
      </c>
      <c r="E1169" s="2">
        <v>1.0</v>
      </c>
      <c r="F1169" s="2">
        <v>75.0</v>
      </c>
      <c r="G1169" s="2">
        <v>183400.0</v>
      </c>
    </row>
    <row r="1170" ht="14.25" customHeight="1">
      <c r="A1170" s="2">
        <v>1169.0</v>
      </c>
      <c r="B1170" s="2" t="s">
        <v>2604</v>
      </c>
      <c r="C1170" s="2" t="s">
        <v>3672</v>
      </c>
      <c r="D1170" s="2">
        <v>200.0</v>
      </c>
      <c r="E1170" s="2">
        <v>1.0</v>
      </c>
      <c r="F1170" s="2">
        <v>90.0</v>
      </c>
      <c r="G1170" s="2">
        <v>183300.0</v>
      </c>
    </row>
    <row r="1171" ht="14.25" customHeight="1">
      <c r="A1171" s="2">
        <v>1170.0</v>
      </c>
      <c r="B1171" s="2" t="s">
        <v>2491</v>
      </c>
      <c r="C1171" s="2" t="s">
        <v>3673</v>
      </c>
      <c r="D1171" s="2">
        <v>116.0</v>
      </c>
      <c r="E1171" s="2">
        <v>1.0</v>
      </c>
      <c r="F1171" s="2">
        <v>100.0</v>
      </c>
      <c r="G1171" s="2">
        <v>183200.0</v>
      </c>
    </row>
    <row r="1172" ht="14.25" customHeight="1">
      <c r="A1172" s="2">
        <v>1171.0</v>
      </c>
      <c r="B1172" s="2" t="s">
        <v>2477</v>
      </c>
      <c r="C1172" s="2" t="s">
        <v>3674</v>
      </c>
      <c r="D1172" s="2">
        <v>152.0</v>
      </c>
      <c r="E1172" s="2">
        <v>1.0</v>
      </c>
      <c r="F1172" s="2">
        <v>118.0</v>
      </c>
      <c r="G1172" s="2">
        <v>183200.0</v>
      </c>
    </row>
    <row r="1173" ht="14.25" customHeight="1">
      <c r="A1173" s="2">
        <v>1172.0</v>
      </c>
      <c r="B1173" s="2" t="s">
        <v>2686</v>
      </c>
      <c r="C1173" s="2" t="s">
        <v>3675</v>
      </c>
      <c r="D1173" s="2">
        <v>127.0</v>
      </c>
      <c r="E1173" s="2">
        <v>1.0</v>
      </c>
      <c r="F1173" s="2">
        <v>120.0</v>
      </c>
      <c r="G1173" s="2">
        <v>183000.0</v>
      </c>
    </row>
    <row r="1174" ht="14.25" customHeight="1">
      <c r="A1174" s="2">
        <v>1173.0</v>
      </c>
      <c r="B1174" s="2" t="s">
        <v>2477</v>
      </c>
      <c r="C1174" s="2" t="s">
        <v>3676</v>
      </c>
      <c r="D1174" s="2">
        <v>152.0</v>
      </c>
      <c r="E1174" s="2">
        <v>1.0</v>
      </c>
      <c r="F1174" s="2">
        <v>75.0</v>
      </c>
      <c r="G1174" s="2">
        <v>182900.0</v>
      </c>
    </row>
    <row r="1175" ht="14.25" customHeight="1">
      <c r="A1175" s="2">
        <v>1174.0</v>
      </c>
      <c r="B1175" s="2" t="s">
        <v>2651</v>
      </c>
      <c r="C1175" s="2" t="s">
        <v>3677</v>
      </c>
      <c r="D1175" s="2">
        <v>347.0</v>
      </c>
      <c r="E1175" s="2">
        <v>1.0</v>
      </c>
      <c r="F1175" s="2">
        <v>110.0</v>
      </c>
      <c r="G1175" s="2">
        <v>182900.0</v>
      </c>
    </row>
    <row r="1176" ht="14.25" customHeight="1">
      <c r="A1176" s="2">
        <v>1175.0</v>
      </c>
      <c r="B1176" s="2" t="s">
        <v>2518</v>
      </c>
      <c r="C1176" s="2" t="s">
        <v>3678</v>
      </c>
      <c r="D1176" s="2">
        <v>161.0</v>
      </c>
      <c r="E1176" s="2">
        <v>1.0</v>
      </c>
      <c r="F1176" s="2">
        <v>100.0</v>
      </c>
      <c r="G1176" s="2">
        <v>182700.0</v>
      </c>
    </row>
    <row r="1177" ht="14.25" customHeight="1">
      <c r="A1177" s="2">
        <v>1176.0</v>
      </c>
      <c r="B1177" s="2" t="s">
        <v>2512</v>
      </c>
      <c r="C1177" s="2" t="s">
        <v>3679</v>
      </c>
      <c r="D1177" s="2">
        <v>153.0</v>
      </c>
      <c r="E1177" s="2">
        <v>1.0</v>
      </c>
      <c r="F1177" s="2">
        <v>100.0</v>
      </c>
      <c r="G1177" s="2">
        <v>182600.0</v>
      </c>
    </row>
    <row r="1178" ht="14.25" customHeight="1">
      <c r="A1178" s="2">
        <v>1177.0</v>
      </c>
      <c r="B1178" s="2" t="s">
        <v>2501</v>
      </c>
      <c r="C1178" s="2" t="s">
        <v>3680</v>
      </c>
      <c r="D1178" s="2">
        <v>199.0</v>
      </c>
      <c r="E1178" s="2">
        <v>1.0</v>
      </c>
      <c r="F1178" s="2">
        <v>100.0</v>
      </c>
      <c r="G1178" s="2">
        <v>182600.0</v>
      </c>
    </row>
    <row r="1179" ht="14.25" customHeight="1">
      <c r="A1179" s="2">
        <v>1178.0</v>
      </c>
      <c r="B1179" s="2" t="s">
        <v>2686</v>
      </c>
      <c r="C1179" s="2" t="s">
        <v>3681</v>
      </c>
      <c r="D1179" s="2">
        <v>127.0</v>
      </c>
      <c r="E1179" s="2">
        <v>1.0</v>
      </c>
      <c r="F1179" s="2">
        <v>120.0</v>
      </c>
      <c r="G1179" s="2">
        <v>182500.0</v>
      </c>
    </row>
    <row r="1180" ht="14.25" customHeight="1">
      <c r="A1180" s="2">
        <v>1179.0</v>
      </c>
      <c r="B1180" s="2" t="s">
        <v>2594</v>
      </c>
      <c r="C1180" s="2" t="s">
        <v>3682</v>
      </c>
      <c r="D1180" s="2">
        <v>184.0</v>
      </c>
      <c r="E1180" s="2">
        <v>1.0</v>
      </c>
      <c r="F1180" s="2">
        <v>66.0</v>
      </c>
      <c r="G1180" s="2">
        <v>182500.0</v>
      </c>
    </row>
    <row r="1181" ht="14.25" customHeight="1">
      <c r="A1181" s="2">
        <v>1180.0</v>
      </c>
      <c r="B1181" s="2" t="s">
        <v>2541</v>
      </c>
      <c r="C1181" s="2" t="s">
        <v>3683</v>
      </c>
      <c r="D1181" s="2">
        <v>195.0</v>
      </c>
      <c r="E1181" s="2">
        <v>1.0</v>
      </c>
      <c r="F1181" s="2">
        <v>100.0</v>
      </c>
      <c r="G1181" s="2">
        <v>182500.0</v>
      </c>
    </row>
    <row r="1182" ht="14.25" customHeight="1">
      <c r="A1182" s="2">
        <v>1181.0</v>
      </c>
      <c r="B1182" s="2" t="s">
        <v>2524</v>
      </c>
      <c r="C1182" s="2" t="s">
        <v>3684</v>
      </c>
      <c r="D1182" s="2">
        <v>331.0</v>
      </c>
      <c r="E1182" s="2">
        <v>1.0</v>
      </c>
      <c r="F1182" s="2">
        <v>75.0</v>
      </c>
      <c r="G1182" s="2">
        <v>182500.0</v>
      </c>
    </row>
    <row r="1183" ht="14.25" customHeight="1">
      <c r="A1183" s="2">
        <v>1182.0</v>
      </c>
      <c r="B1183" s="2" t="s">
        <v>2744</v>
      </c>
      <c r="C1183" s="2" t="s">
        <v>3685</v>
      </c>
      <c r="D1183" s="2">
        <v>169.0</v>
      </c>
      <c r="E1183" s="2">
        <v>1.0</v>
      </c>
      <c r="F1183" s="2">
        <v>100.0</v>
      </c>
      <c r="G1183" s="2">
        <v>182400.0</v>
      </c>
    </row>
    <row r="1184" ht="14.25" customHeight="1">
      <c r="A1184" s="2">
        <v>1183.0</v>
      </c>
      <c r="B1184" s="2" t="s">
        <v>2479</v>
      </c>
      <c r="C1184" s="2" t="s">
        <v>3686</v>
      </c>
      <c r="D1184" s="2">
        <v>182.0</v>
      </c>
      <c r="E1184" s="2">
        <v>1.0</v>
      </c>
      <c r="F1184" s="2">
        <v>100.0</v>
      </c>
      <c r="G1184" s="2">
        <v>182400.0</v>
      </c>
    </row>
    <row r="1185" ht="14.25" customHeight="1">
      <c r="A1185" s="2">
        <v>1184.0</v>
      </c>
      <c r="B1185" s="2" t="s">
        <v>2488</v>
      </c>
      <c r="C1185" s="2" t="s">
        <v>3687</v>
      </c>
      <c r="D1185" s="2">
        <v>333.0</v>
      </c>
      <c r="E1185" s="2">
        <v>1.0</v>
      </c>
      <c r="F1185" s="2">
        <v>75.0</v>
      </c>
      <c r="G1185" s="2">
        <v>182400.0</v>
      </c>
    </row>
    <row r="1186" ht="14.25" customHeight="1">
      <c r="A1186" s="2">
        <v>1185.0</v>
      </c>
      <c r="B1186" s="2" t="s">
        <v>2561</v>
      </c>
      <c r="C1186" s="2" t="s">
        <v>3688</v>
      </c>
      <c r="D1186" s="2">
        <v>162.0</v>
      </c>
      <c r="E1186" s="2">
        <v>1.0</v>
      </c>
      <c r="F1186" s="2">
        <v>70.0</v>
      </c>
      <c r="G1186" s="2">
        <v>182300.0</v>
      </c>
    </row>
    <row r="1187" ht="14.25" customHeight="1">
      <c r="A1187" s="2">
        <v>1186.0</v>
      </c>
      <c r="B1187" s="2" t="s">
        <v>2518</v>
      </c>
      <c r="C1187" s="2" t="s">
        <v>3689</v>
      </c>
      <c r="D1187" s="2">
        <v>161.0</v>
      </c>
      <c r="E1187" s="2">
        <v>1.0</v>
      </c>
      <c r="F1187" s="2">
        <v>100.0</v>
      </c>
      <c r="G1187" s="2">
        <v>182200.0</v>
      </c>
    </row>
    <row r="1188" ht="14.25" customHeight="1">
      <c r="A1188" s="2">
        <v>1187.0</v>
      </c>
      <c r="B1188" s="2" t="s">
        <v>2518</v>
      </c>
      <c r="C1188" s="2" t="s">
        <v>3690</v>
      </c>
      <c r="D1188" s="2">
        <v>161.0</v>
      </c>
      <c r="E1188" s="2">
        <v>1.0</v>
      </c>
      <c r="F1188" s="2">
        <v>75.0</v>
      </c>
      <c r="G1188" s="2">
        <v>182200.0</v>
      </c>
    </row>
    <row r="1189" ht="14.25" customHeight="1">
      <c r="A1189" s="2">
        <v>1188.0</v>
      </c>
      <c r="B1189" s="2" t="s">
        <v>2488</v>
      </c>
      <c r="C1189" s="2" t="s">
        <v>3691</v>
      </c>
      <c r="D1189" s="2">
        <v>333.0</v>
      </c>
      <c r="E1189" s="2">
        <v>1.0</v>
      </c>
      <c r="F1189" s="2">
        <v>65.0</v>
      </c>
      <c r="G1189" s="2">
        <v>182200.0</v>
      </c>
    </row>
    <row r="1190" ht="14.25" customHeight="1">
      <c r="A1190" s="2">
        <v>1189.0</v>
      </c>
      <c r="B1190" s="2" t="s">
        <v>2503</v>
      </c>
      <c r="C1190" s="2" t="s">
        <v>3692</v>
      </c>
      <c r="D1190" s="2">
        <v>105.0</v>
      </c>
      <c r="E1190" s="2">
        <v>1.0</v>
      </c>
      <c r="F1190" s="2">
        <v>100.0</v>
      </c>
      <c r="G1190" s="2">
        <v>182100.0</v>
      </c>
    </row>
    <row r="1191" ht="14.25" customHeight="1">
      <c r="A1191" s="2">
        <v>1190.0</v>
      </c>
      <c r="B1191" s="2" t="s">
        <v>2507</v>
      </c>
      <c r="C1191" s="2" t="s">
        <v>3693</v>
      </c>
      <c r="D1191" s="2">
        <v>205.0</v>
      </c>
      <c r="E1191" s="2">
        <v>1.0</v>
      </c>
      <c r="F1191" s="2">
        <v>125.0</v>
      </c>
      <c r="G1191" s="2">
        <v>182000.0</v>
      </c>
    </row>
    <row r="1192" ht="14.25" customHeight="1">
      <c r="A1192" s="2">
        <v>1191.0</v>
      </c>
      <c r="B1192" s="2" t="s">
        <v>2488</v>
      </c>
      <c r="C1192" s="2" t="s">
        <v>3694</v>
      </c>
      <c r="D1192" s="2">
        <v>333.0</v>
      </c>
      <c r="E1192" s="2">
        <v>1.0</v>
      </c>
      <c r="F1192" s="2">
        <v>80.0</v>
      </c>
      <c r="G1192" s="2">
        <v>182000.0</v>
      </c>
    </row>
    <row r="1193" ht="14.25" customHeight="1">
      <c r="A1193" s="2">
        <v>1192.0</v>
      </c>
      <c r="B1193" s="2" t="s">
        <v>2497</v>
      </c>
      <c r="C1193" s="2" t="s">
        <v>3695</v>
      </c>
      <c r="D1193" s="2">
        <v>151.0</v>
      </c>
      <c r="E1193" s="2">
        <v>1.0</v>
      </c>
      <c r="F1193" s="2">
        <v>110.0</v>
      </c>
      <c r="G1193" s="2">
        <v>181900.0</v>
      </c>
    </row>
    <row r="1194" ht="14.25" customHeight="1">
      <c r="A1194" s="2">
        <v>1193.0</v>
      </c>
      <c r="B1194" s="2" t="s">
        <v>2594</v>
      </c>
      <c r="C1194" s="2" t="s">
        <v>3696</v>
      </c>
      <c r="D1194" s="2">
        <v>184.0</v>
      </c>
      <c r="E1194" s="2">
        <v>1.0</v>
      </c>
      <c r="F1194" s="2">
        <v>100.0</v>
      </c>
      <c r="G1194" s="2">
        <v>181900.0</v>
      </c>
    </row>
    <row r="1195" ht="14.25" customHeight="1">
      <c r="A1195" s="2">
        <v>1194.0</v>
      </c>
      <c r="B1195" s="2" t="s">
        <v>2553</v>
      </c>
      <c r="C1195" s="2" t="s">
        <v>3697</v>
      </c>
      <c r="D1195" s="2">
        <v>187.0</v>
      </c>
      <c r="E1195" s="2">
        <v>1.0</v>
      </c>
      <c r="F1195" s="2">
        <v>150.0</v>
      </c>
      <c r="G1195" s="2">
        <v>181900.0</v>
      </c>
    </row>
    <row r="1196" ht="14.25" customHeight="1">
      <c r="A1196" s="2">
        <v>1195.0</v>
      </c>
      <c r="B1196" s="2" t="s">
        <v>2594</v>
      </c>
      <c r="C1196" s="2" t="s">
        <v>3698</v>
      </c>
      <c r="D1196" s="2">
        <v>184.0</v>
      </c>
      <c r="E1196" s="2">
        <v>1.0</v>
      </c>
      <c r="F1196" s="2">
        <v>66.0</v>
      </c>
      <c r="G1196" s="2">
        <v>181800.0</v>
      </c>
    </row>
    <row r="1197" ht="14.25" customHeight="1">
      <c r="A1197" s="2">
        <v>1196.0</v>
      </c>
      <c r="B1197" s="2" t="s">
        <v>2501</v>
      </c>
      <c r="C1197" s="2" t="s">
        <v>3699</v>
      </c>
      <c r="D1197" s="2">
        <v>199.0</v>
      </c>
      <c r="E1197" s="2">
        <v>1.0</v>
      </c>
      <c r="F1197" s="2">
        <v>50.0</v>
      </c>
      <c r="G1197" s="2">
        <v>181800.0</v>
      </c>
    </row>
    <row r="1198" ht="14.25" customHeight="1">
      <c r="A1198" s="2">
        <v>1197.0</v>
      </c>
      <c r="B1198" s="2" t="s">
        <v>2686</v>
      </c>
      <c r="C1198" s="2" t="s">
        <v>3700</v>
      </c>
      <c r="D1198" s="2">
        <v>127.0</v>
      </c>
      <c r="E1198" s="2">
        <v>1.0</v>
      </c>
      <c r="F1198" s="2">
        <v>90.0</v>
      </c>
      <c r="G1198" s="2">
        <v>181700.0</v>
      </c>
    </row>
    <row r="1199" ht="14.25" customHeight="1">
      <c r="A1199" s="2">
        <v>1198.0</v>
      </c>
      <c r="B1199" s="2" t="s">
        <v>2518</v>
      </c>
      <c r="C1199" s="2" t="s">
        <v>3701</v>
      </c>
      <c r="D1199" s="2">
        <v>161.0</v>
      </c>
      <c r="E1199" s="2">
        <v>1.0</v>
      </c>
      <c r="F1199" s="2">
        <v>75.0</v>
      </c>
      <c r="G1199" s="2">
        <v>181700.0</v>
      </c>
    </row>
    <row r="1200" ht="14.25" customHeight="1">
      <c r="A1200" s="2">
        <v>1199.0</v>
      </c>
      <c r="B1200" s="2" t="s">
        <v>2518</v>
      </c>
      <c r="C1200" s="2" t="s">
        <v>3702</v>
      </c>
      <c r="D1200" s="2">
        <v>161.0</v>
      </c>
      <c r="E1200" s="2">
        <v>1.0</v>
      </c>
      <c r="F1200" s="2">
        <v>50.0</v>
      </c>
      <c r="G1200" s="2">
        <v>181600.0</v>
      </c>
    </row>
    <row r="1201" ht="14.25" customHeight="1">
      <c r="A1201" s="2">
        <v>1200.0</v>
      </c>
      <c r="B1201" s="2" t="s">
        <v>2651</v>
      </c>
      <c r="C1201" s="2" t="s">
        <v>3703</v>
      </c>
      <c r="D1201" s="2">
        <v>347.0</v>
      </c>
      <c r="E1201" s="2">
        <v>1.0</v>
      </c>
      <c r="F1201" s="2">
        <v>120.0</v>
      </c>
      <c r="G1201" s="2">
        <v>181600.0</v>
      </c>
    </row>
    <row r="1202" ht="14.25" customHeight="1">
      <c r="A1202" s="2">
        <v>1201.0</v>
      </c>
      <c r="B1202" s="2" t="s">
        <v>2549</v>
      </c>
      <c r="C1202" s="2" t="s">
        <v>3704</v>
      </c>
      <c r="D1202" s="2">
        <v>115.0</v>
      </c>
      <c r="E1202" s="2">
        <v>1.0</v>
      </c>
      <c r="F1202" s="2">
        <v>100.0</v>
      </c>
      <c r="G1202" s="2">
        <v>181500.0</v>
      </c>
    </row>
    <row r="1203" ht="14.25" customHeight="1">
      <c r="A1203" s="2">
        <v>1202.0</v>
      </c>
      <c r="B1203" s="2" t="s">
        <v>2477</v>
      </c>
      <c r="C1203" s="2" t="s">
        <v>3705</v>
      </c>
      <c r="D1203" s="2">
        <v>152.0</v>
      </c>
      <c r="E1203" s="2">
        <v>1.0</v>
      </c>
      <c r="F1203" s="2">
        <v>150.0</v>
      </c>
      <c r="G1203" s="2">
        <v>181500.0</v>
      </c>
    </row>
    <row r="1204" ht="14.25" customHeight="1">
      <c r="A1204" s="2">
        <v>1203.0</v>
      </c>
      <c r="B1204" s="2" t="s">
        <v>2477</v>
      </c>
      <c r="C1204" s="2" t="s">
        <v>3706</v>
      </c>
      <c r="D1204" s="2">
        <v>152.0</v>
      </c>
      <c r="E1204" s="2">
        <v>1.0</v>
      </c>
      <c r="F1204" s="2">
        <v>70.0</v>
      </c>
      <c r="G1204" s="2">
        <v>181500.0</v>
      </c>
    </row>
    <row r="1205" ht="14.25" customHeight="1">
      <c r="A1205" s="2">
        <v>1204.0</v>
      </c>
      <c r="B1205" s="2" t="s">
        <v>2518</v>
      </c>
      <c r="C1205" s="2" t="s">
        <v>3707</v>
      </c>
      <c r="D1205" s="2">
        <v>161.0</v>
      </c>
      <c r="E1205" s="2">
        <v>1.0</v>
      </c>
      <c r="F1205" s="2">
        <v>75.0</v>
      </c>
      <c r="G1205" s="2">
        <v>181400.0</v>
      </c>
    </row>
    <row r="1206" ht="14.25" customHeight="1">
      <c r="A1206" s="2">
        <v>1205.0</v>
      </c>
      <c r="B1206" s="2" t="s">
        <v>2534</v>
      </c>
      <c r="C1206" s="2" t="s">
        <v>3708</v>
      </c>
      <c r="D1206" s="2">
        <v>188.0</v>
      </c>
      <c r="E1206" s="2">
        <v>1.0</v>
      </c>
      <c r="F1206" s="2">
        <v>100.0</v>
      </c>
      <c r="G1206" s="2">
        <v>181400.0</v>
      </c>
    </row>
    <row r="1207" ht="14.25" customHeight="1">
      <c r="A1207" s="2">
        <v>1206.0</v>
      </c>
      <c r="B1207" s="2" t="s">
        <v>2651</v>
      </c>
      <c r="C1207" s="2" t="s">
        <v>3709</v>
      </c>
      <c r="D1207" s="2">
        <v>347.0</v>
      </c>
      <c r="E1207" s="2">
        <v>1.0</v>
      </c>
      <c r="F1207" s="2">
        <v>55.0</v>
      </c>
      <c r="G1207" s="2">
        <v>181400.0</v>
      </c>
    </row>
    <row r="1208" ht="14.25" customHeight="1">
      <c r="A1208" s="2">
        <v>1207.0</v>
      </c>
      <c r="B1208" s="2" t="s">
        <v>2475</v>
      </c>
      <c r="C1208" s="2" t="s">
        <v>3710</v>
      </c>
      <c r="D1208" s="2">
        <v>143.0</v>
      </c>
      <c r="E1208" s="2">
        <v>1.0</v>
      </c>
      <c r="F1208" s="2">
        <v>50.0</v>
      </c>
      <c r="G1208" s="2">
        <v>181300.0</v>
      </c>
    </row>
    <row r="1209" ht="14.25" customHeight="1">
      <c r="A1209" s="2">
        <v>1208.0</v>
      </c>
      <c r="B1209" s="2" t="s">
        <v>2621</v>
      </c>
      <c r="C1209" s="2" t="s">
        <v>3711</v>
      </c>
      <c r="D1209" s="2">
        <v>403.0</v>
      </c>
      <c r="E1209" s="2">
        <v>1.0</v>
      </c>
      <c r="F1209" s="2">
        <v>100.0</v>
      </c>
      <c r="G1209" s="2">
        <v>181300.0</v>
      </c>
    </row>
    <row r="1210" ht="14.25" customHeight="1">
      <c r="A1210" s="2">
        <v>1209.0</v>
      </c>
      <c r="B1210" s="2" t="s">
        <v>2945</v>
      </c>
      <c r="C1210" s="2" t="s">
        <v>3712</v>
      </c>
      <c r="D1210" s="2">
        <v>619.0</v>
      </c>
      <c r="E1210" s="2">
        <v>1.0</v>
      </c>
      <c r="F1210" s="2">
        <v>54.0</v>
      </c>
      <c r="G1210" s="2">
        <v>181300.0</v>
      </c>
    </row>
    <row r="1211" ht="14.25" customHeight="1">
      <c r="A1211" s="2">
        <v>1210.0</v>
      </c>
      <c r="B1211" s="2" t="s">
        <v>2582</v>
      </c>
      <c r="C1211" s="2" t="s">
        <v>3713</v>
      </c>
      <c r="D1211" s="2">
        <v>183.0</v>
      </c>
      <c r="E1211" s="2">
        <v>1.0</v>
      </c>
      <c r="F1211" s="2">
        <v>100.1</v>
      </c>
      <c r="G1211" s="2">
        <v>181200.0</v>
      </c>
    </row>
    <row r="1212" ht="14.25" customHeight="1">
      <c r="A1212" s="2">
        <v>1211.0</v>
      </c>
      <c r="B1212" s="2" t="s">
        <v>2501</v>
      </c>
      <c r="C1212" s="2" t="s">
        <v>3714</v>
      </c>
      <c r="D1212" s="2">
        <v>199.0</v>
      </c>
      <c r="E1212" s="2">
        <v>1.0</v>
      </c>
      <c r="F1212" s="2">
        <v>100.0</v>
      </c>
      <c r="G1212" s="2">
        <v>181100.0</v>
      </c>
    </row>
    <row r="1213" ht="14.25" customHeight="1">
      <c r="A1213" s="2">
        <v>1212.0</v>
      </c>
      <c r="B1213" s="2" t="s">
        <v>2621</v>
      </c>
      <c r="C1213" s="2" t="s">
        <v>3715</v>
      </c>
      <c r="D1213" s="2">
        <v>403.0</v>
      </c>
      <c r="E1213" s="2">
        <v>1.0</v>
      </c>
      <c r="F1213" s="2">
        <v>175.0</v>
      </c>
      <c r="G1213" s="2">
        <v>181100.0</v>
      </c>
    </row>
    <row r="1214" ht="14.25" customHeight="1">
      <c r="A1214" s="2">
        <v>1213.0</v>
      </c>
      <c r="B1214" s="2" t="s">
        <v>2686</v>
      </c>
      <c r="C1214" s="2" t="s">
        <v>3716</v>
      </c>
      <c r="D1214" s="2">
        <v>127.0</v>
      </c>
      <c r="E1214" s="2">
        <v>1.0</v>
      </c>
      <c r="F1214" s="2">
        <v>120.0</v>
      </c>
      <c r="G1214" s="2">
        <v>181000.0</v>
      </c>
    </row>
    <row r="1215" ht="14.25" customHeight="1">
      <c r="A1215" s="2">
        <v>1214.0</v>
      </c>
      <c r="B1215" s="2" t="s">
        <v>2503</v>
      </c>
      <c r="C1215" s="2" t="s">
        <v>3717</v>
      </c>
      <c r="D1215" s="2">
        <v>105.0</v>
      </c>
      <c r="E1215" s="2">
        <v>1.0</v>
      </c>
      <c r="F1215" s="2">
        <v>75.0</v>
      </c>
      <c r="G1215" s="2">
        <v>180800.0</v>
      </c>
    </row>
    <row r="1216" ht="14.25" customHeight="1">
      <c r="A1216" s="2">
        <v>1215.0</v>
      </c>
      <c r="B1216" s="2" t="s">
        <v>2561</v>
      </c>
      <c r="C1216" s="2" t="s">
        <v>3718</v>
      </c>
      <c r="D1216" s="2">
        <v>162.0</v>
      </c>
      <c r="E1216" s="2">
        <v>1.0</v>
      </c>
      <c r="F1216" s="2">
        <v>50.0</v>
      </c>
      <c r="G1216" s="2">
        <v>180800.0</v>
      </c>
    </row>
    <row r="1217" ht="14.25" customHeight="1">
      <c r="A1217" s="2">
        <v>1216.0</v>
      </c>
      <c r="B1217" s="2" t="s">
        <v>2571</v>
      </c>
      <c r="C1217" s="2" t="s">
        <v>3719</v>
      </c>
      <c r="D1217" s="2">
        <v>185.0</v>
      </c>
      <c r="E1217" s="2">
        <v>1.0</v>
      </c>
      <c r="F1217" s="2">
        <v>120.0</v>
      </c>
      <c r="G1217" s="2">
        <v>180800.0</v>
      </c>
    </row>
    <row r="1218" ht="14.25" customHeight="1">
      <c r="A1218" s="2">
        <v>1217.0</v>
      </c>
      <c r="B1218" s="2" t="s">
        <v>2534</v>
      </c>
      <c r="C1218" s="2" t="s">
        <v>3720</v>
      </c>
      <c r="D1218" s="2">
        <v>188.0</v>
      </c>
      <c r="E1218" s="2">
        <v>1.0</v>
      </c>
      <c r="F1218" s="2">
        <v>50.0</v>
      </c>
      <c r="G1218" s="2">
        <v>180700.0</v>
      </c>
    </row>
    <row r="1219" ht="14.25" customHeight="1">
      <c r="A1219" s="2">
        <v>1218.0</v>
      </c>
      <c r="B1219" s="2" t="s">
        <v>2744</v>
      </c>
      <c r="C1219" s="2" t="s">
        <v>3721</v>
      </c>
      <c r="D1219" s="2">
        <v>169.0</v>
      </c>
      <c r="E1219" s="2">
        <v>1.0</v>
      </c>
      <c r="F1219" s="2">
        <v>70.0</v>
      </c>
      <c r="G1219" s="2">
        <v>180300.0</v>
      </c>
    </row>
    <row r="1220" ht="14.25" customHeight="1">
      <c r="A1220" s="2">
        <v>1219.0</v>
      </c>
      <c r="B1220" s="2" t="s">
        <v>2541</v>
      </c>
      <c r="C1220" s="2" t="s">
        <v>3722</v>
      </c>
      <c r="D1220" s="2">
        <v>195.0</v>
      </c>
      <c r="E1220" s="2">
        <v>1.0</v>
      </c>
      <c r="F1220" s="2">
        <v>100.0</v>
      </c>
      <c r="G1220" s="2">
        <v>180200.0</v>
      </c>
    </row>
    <row r="1221" ht="14.25" customHeight="1">
      <c r="A1221" s="2">
        <v>1220.0</v>
      </c>
      <c r="B1221" s="2" t="s">
        <v>2541</v>
      </c>
      <c r="C1221" s="2" t="s">
        <v>3723</v>
      </c>
      <c r="D1221" s="2">
        <v>195.0</v>
      </c>
      <c r="E1221" s="2">
        <v>1.0</v>
      </c>
      <c r="F1221" s="2">
        <v>60.0</v>
      </c>
      <c r="G1221" s="2">
        <v>180200.0</v>
      </c>
    </row>
    <row r="1222" ht="14.25" customHeight="1">
      <c r="A1222" s="2">
        <v>1221.0</v>
      </c>
      <c r="B1222" s="2" t="s">
        <v>2549</v>
      </c>
      <c r="C1222" s="2" t="s">
        <v>3724</v>
      </c>
      <c r="D1222" s="2">
        <v>115.0</v>
      </c>
      <c r="E1222" s="2">
        <v>1.0</v>
      </c>
      <c r="F1222" s="2">
        <v>105.0</v>
      </c>
      <c r="G1222" s="2">
        <v>180100.0</v>
      </c>
    </row>
    <row r="1223" ht="14.25" customHeight="1">
      <c r="A1223" s="2">
        <v>1222.0</v>
      </c>
      <c r="B1223" s="2" t="s">
        <v>2488</v>
      </c>
      <c r="C1223" s="2" t="s">
        <v>3725</v>
      </c>
      <c r="D1223" s="2">
        <v>333.0</v>
      </c>
      <c r="E1223" s="2">
        <v>1.0</v>
      </c>
      <c r="F1223" s="2">
        <v>75.0</v>
      </c>
      <c r="G1223" s="2">
        <v>180100.0</v>
      </c>
    </row>
    <row r="1224" ht="14.25" customHeight="1">
      <c r="A1224" s="2">
        <v>1223.0</v>
      </c>
      <c r="B1224" s="2" t="s">
        <v>2512</v>
      </c>
      <c r="C1224" s="2" t="s">
        <v>3726</v>
      </c>
      <c r="D1224" s="2">
        <v>153.0</v>
      </c>
      <c r="E1224" s="2">
        <v>1.0</v>
      </c>
      <c r="F1224" s="2">
        <v>100.0</v>
      </c>
      <c r="G1224" s="2">
        <v>180000.0</v>
      </c>
    </row>
    <row r="1225" ht="14.25" customHeight="1">
      <c r="A1225" s="2">
        <v>1224.0</v>
      </c>
      <c r="B1225" s="2" t="s">
        <v>2512</v>
      </c>
      <c r="C1225" s="2" t="s">
        <v>3727</v>
      </c>
      <c r="D1225" s="2">
        <v>153.0</v>
      </c>
      <c r="E1225" s="2">
        <v>1.0</v>
      </c>
      <c r="F1225" s="2">
        <v>100.0</v>
      </c>
      <c r="G1225" s="2">
        <v>179800.0</v>
      </c>
    </row>
    <row r="1226" ht="14.25" customHeight="1">
      <c r="A1226" s="2">
        <v>1225.0</v>
      </c>
      <c r="B1226" s="2" t="s">
        <v>2561</v>
      </c>
      <c r="C1226" s="2" t="s">
        <v>3728</v>
      </c>
      <c r="D1226" s="2">
        <v>162.0</v>
      </c>
      <c r="E1226" s="2">
        <v>1.0</v>
      </c>
      <c r="F1226" s="2">
        <v>75.0</v>
      </c>
      <c r="G1226" s="2">
        <v>179800.0</v>
      </c>
    </row>
    <row r="1227" ht="14.25" customHeight="1">
      <c r="A1227" s="2">
        <v>1226.0</v>
      </c>
      <c r="B1227" s="2" t="s">
        <v>2479</v>
      </c>
      <c r="C1227" s="2" t="s">
        <v>3729</v>
      </c>
      <c r="D1227" s="2">
        <v>182.0</v>
      </c>
      <c r="E1227" s="2">
        <v>1.0</v>
      </c>
      <c r="F1227" s="2">
        <v>200.0</v>
      </c>
      <c r="G1227" s="2">
        <v>179800.0</v>
      </c>
    </row>
    <row r="1228" ht="14.25" customHeight="1">
      <c r="A1228" s="2">
        <v>1227.0</v>
      </c>
      <c r="B1228" s="2" t="s">
        <v>2512</v>
      </c>
      <c r="C1228" s="2" t="s">
        <v>3730</v>
      </c>
      <c r="D1228" s="2">
        <v>153.0</v>
      </c>
      <c r="E1228" s="2">
        <v>1.0</v>
      </c>
      <c r="F1228" s="2">
        <v>100.0</v>
      </c>
      <c r="G1228" s="2">
        <v>179700.0</v>
      </c>
    </row>
    <row r="1229" ht="14.25" customHeight="1">
      <c r="A1229" s="2">
        <v>1228.0</v>
      </c>
      <c r="B1229" s="2" t="s">
        <v>2524</v>
      </c>
      <c r="C1229" s="2" t="s">
        <v>3731</v>
      </c>
      <c r="D1229" s="2">
        <v>331.0</v>
      </c>
      <c r="E1229" s="2">
        <v>1.0</v>
      </c>
      <c r="F1229" s="2">
        <v>75.0</v>
      </c>
      <c r="G1229" s="2">
        <v>179700.0</v>
      </c>
    </row>
    <row r="1230" ht="14.25" customHeight="1">
      <c r="A1230" s="2">
        <v>1229.0</v>
      </c>
      <c r="B1230" s="2" t="s">
        <v>2686</v>
      </c>
      <c r="C1230" s="2" t="s">
        <v>3732</v>
      </c>
      <c r="D1230" s="2">
        <v>127.0</v>
      </c>
      <c r="E1230" s="2">
        <v>1.0</v>
      </c>
      <c r="F1230" s="2">
        <v>66.0</v>
      </c>
      <c r="G1230" s="2">
        <v>179500.0</v>
      </c>
    </row>
    <row r="1231" ht="14.25" customHeight="1">
      <c r="A1231" s="2">
        <v>1230.0</v>
      </c>
      <c r="B1231" s="2" t="s">
        <v>2475</v>
      </c>
      <c r="C1231" s="2" t="s">
        <v>3733</v>
      </c>
      <c r="D1231" s="2">
        <v>143.0</v>
      </c>
      <c r="E1231" s="2">
        <v>1.0</v>
      </c>
      <c r="F1231" s="2">
        <v>50.0</v>
      </c>
      <c r="G1231" s="2">
        <v>179500.0</v>
      </c>
    </row>
    <row r="1232" ht="14.25" customHeight="1">
      <c r="A1232" s="2">
        <v>1231.0</v>
      </c>
      <c r="B1232" s="2" t="s">
        <v>2561</v>
      </c>
      <c r="C1232" s="2" t="s">
        <v>3734</v>
      </c>
      <c r="D1232" s="2">
        <v>162.0</v>
      </c>
      <c r="E1232" s="2">
        <v>1.0</v>
      </c>
      <c r="F1232" s="2">
        <v>100.0</v>
      </c>
      <c r="G1232" s="2">
        <v>179500.0</v>
      </c>
    </row>
    <row r="1233" ht="14.25" customHeight="1">
      <c r="A1233" s="2">
        <v>1232.0</v>
      </c>
      <c r="B1233" s="2" t="s">
        <v>2479</v>
      </c>
      <c r="C1233" s="2" t="s">
        <v>3735</v>
      </c>
      <c r="D1233" s="2">
        <v>182.0</v>
      </c>
      <c r="E1233" s="2">
        <v>1.0</v>
      </c>
      <c r="F1233" s="2">
        <v>100.0</v>
      </c>
      <c r="G1233" s="2">
        <v>179400.0</v>
      </c>
    </row>
    <row r="1234" ht="14.25" customHeight="1">
      <c r="A1234" s="2">
        <v>1233.0</v>
      </c>
      <c r="B1234" s="2" t="s">
        <v>2594</v>
      </c>
      <c r="C1234" s="2" t="s">
        <v>3736</v>
      </c>
      <c r="D1234" s="2">
        <v>184.0</v>
      </c>
      <c r="E1234" s="2">
        <v>1.0</v>
      </c>
      <c r="F1234" s="2">
        <v>60.0</v>
      </c>
      <c r="G1234" s="2">
        <v>179400.0</v>
      </c>
    </row>
    <row r="1235" ht="14.25" customHeight="1">
      <c r="A1235" s="2">
        <v>1234.0</v>
      </c>
      <c r="B1235" s="2" t="s">
        <v>2507</v>
      </c>
      <c r="C1235" s="2" t="s">
        <v>3737</v>
      </c>
      <c r="D1235" s="2">
        <v>205.0</v>
      </c>
      <c r="E1235" s="2">
        <v>1.0</v>
      </c>
      <c r="F1235" s="2">
        <v>160.0</v>
      </c>
      <c r="G1235" s="2">
        <v>179400.0</v>
      </c>
    </row>
    <row r="1236" ht="14.25" customHeight="1">
      <c r="A1236" s="2">
        <v>1235.0</v>
      </c>
      <c r="B1236" s="2" t="s">
        <v>2621</v>
      </c>
      <c r="C1236" s="2" t="s">
        <v>3738</v>
      </c>
      <c r="D1236" s="2">
        <v>403.0</v>
      </c>
      <c r="E1236" s="2">
        <v>1.0</v>
      </c>
      <c r="F1236" s="2">
        <v>150.0</v>
      </c>
      <c r="G1236" s="2">
        <v>179400.0</v>
      </c>
    </row>
    <row r="1237" ht="14.25" customHeight="1">
      <c r="A1237" s="2">
        <v>1236.0</v>
      </c>
      <c r="B1237" s="2" t="s">
        <v>2475</v>
      </c>
      <c r="C1237" s="2" t="s">
        <v>3739</v>
      </c>
      <c r="D1237" s="2">
        <v>143.0</v>
      </c>
      <c r="E1237" s="2">
        <v>1.0</v>
      </c>
      <c r="F1237" s="2">
        <v>75.0</v>
      </c>
      <c r="G1237" s="2">
        <v>179200.0</v>
      </c>
    </row>
    <row r="1238" ht="14.25" customHeight="1">
      <c r="A1238" s="2">
        <v>1237.0</v>
      </c>
      <c r="B1238" s="2" t="s">
        <v>2561</v>
      </c>
      <c r="C1238" s="2" t="s">
        <v>3740</v>
      </c>
      <c r="D1238" s="2">
        <v>162.0</v>
      </c>
      <c r="E1238" s="2">
        <v>1.0</v>
      </c>
      <c r="F1238" s="2">
        <v>100.0</v>
      </c>
      <c r="G1238" s="2">
        <v>179200.0</v>
      </c>
    </row>
    <row r="1239" ht="14.25" customHeight="1">
      <c r="A1239" s="2">
        <v>1238.0</v>
      </c>
      <c r="B1239" s="2" t="s">
        <v>2945</v>
      </c>
      <c r="C1239" s="2" t="s">
        <v>3741</v>
      </c>
      <c r="D1239" s="2">
        <v>619.0</v>
      </c>
      <c r="E1239" s="2">
        <v>1.0</v>
      </c>
      <c r="F1239" s="2">
        <v>60.0</v>
      </c>
      <c r="G1239" s="2">
        <v>179000.0</v>
      </c>
    </row>
    <row r="1240" ht="14.25" customHeight="1">
      <c r="A1240" s="2">
        <v>1239.0</v>
      </c>
      <c r="B1240" s="2" t="s">
        <v>2491</v>
      </c>
      <c r="C1240" s="2" t="s">
        <v>3742</v>
      </c>
      <c r="D1240" s="2">
        <v>116.0</v>
      </c>
      <c r="E1240" s="2">
        <v>1.0</v>
      </c>
      <c r="F1240" s="2">
        <v>100.0</v>
      </c>
      <c r="G1240" s="2">
        <v>178800.0</v>
      </c>
    </row>
    <row r="1241" ht="14.25" customHeight="1">
      <c r="A1241" s="2">
        <v>1240.0</v>
      </c>
      <c r="B1241" s="2" t="s">
        <v>2507</v>
      </c>
      <c r="C1241" s="2" t="s">
        <v>3743</v>
      </c>
      <c r="D1241" s="2">
        <v>205.0</v>
      </c>
      <c r="E1241" s="2">
        <v>1.0</v>
      </c>
      <c r="F1241" s="2">
        <v>130.0</v>
      </c>
      <c r="G1241" s="2">
        <v>178800.0</v>
      </c>
    </row>
    <row r="1242" ht="14.25" customHeight="1">
      <c r="A1242" s="2">
        <v>1241.0</v>
      </c>
      <c r="B1242" s="2" t="s">
        <v>2651</v>
      </c>
      <c r="C1242" s="2" t="s">
        <v>3744</v>
      </c>
      <c r="D1242" s="2">
        <v>347.0</v>
      </c>
      <c r="E1242" s="2">
        <v>1.0</v>
      </c>
      <c r="F1242" s="2">
        <v>85.0</v>
      </c>
      <c r="G1242" s="2">
        <v>178800.0</v>
      </c>
    </row>
    <row r="1243" ht="14.25" customHeight="1">
      <c r="A1243" s="2">
        <v>1242.0</v>
      </c>
      <c r="B1243" s="2" t="s">
        <v>2636</v>
      </c>
      <c r="C1243" s="2" t="s">
        <v>3745</v>
      </c>
      <c r="D1243" s="2">
        <v>145.0</v>
      </c>
      <c r="E1243" s="2">
        <v>1.0</v>
      </c>
      <c r="F1243" s="2">
        <v>200.0</v>
      </c>
      <c r="G1243" s="2">
        <v>178700.0</v>
      </c>
    </row>
    <row r="1244" ht="14.25" customHeight="1">
      <c r="A1244" s="2">
        <v>1243.0</v>
      </c>
      <c r="B1244" s="2" t="s">
        <v>2744</v>
      </c>
      <c r="C1244" s="2" t="s">
        <v>3746</v>
      </c>
      <c r="D1244" s="2">
        <v>169.0</v>
      </c>
      <c r="E1244" s="2">
        <v>1.0</v>
      </c>
      <c r="F1244" s="2">
        <v>80.0</v>
      </c>
      <c r="G1244" s="2">
        <v>178700.0</v>
      </c>
    </row>
    <row r="1245" ht="14.25" customHeight="1">
      <c r="A1245" s="2">
        <v>1244.0</v>
      </c>
      <c r="B1245" s="2" t="s">
        <v>2576</v>
      </c>
      <c r="C1245" s="2" t="s">
        <v>3747</v>
      </c>
      <c r="D1245" s="2">
        <v>197.0</v>
      </c>
      <c r="E1245" s="2">
        <v>1.0</v>
      </c>
      <c r="F1245" s="2">
        <v>100.0</v>
      </c>
      <c r="G1245" s="2">
        <v>178700.0</v>
      </c>
    </row>
    <row r="1246" ht="14.25" customHeight="1">
      <c r="A1246" s="2">
        <v>1245.0</v>
      </c>
      <c r="B1246" s="2" t="s">
        <v>2744</v>
      </c>
      <c r="C1246" s="2" t="s">
        <v>3748</v>
      </c>
      <c r="D1246" s="2">
        <v>169.0</v>
      </c>
      <c r="E1246" s="2">
        <v>1.0</v>
      </c>
      <c r="F1246" s="2">
        <v>80.0</v>
      </c>
      <c r="G1246" s="2">
        <v>178500.0</v>
      </c>
    </row>
    <row r="1247" ht="14.25" customHeight="1">
      <c r="A1247" s="2">
        <v>1246.0</v>
      </c>
      <c r="B1247" s="2" t="s">
        <v>2534</v>
      </c>
      <c r="C1247" s="2" t="s">
        <v>3749</v>
      </c>
      <c r="D1247" s="2">
        <v>188.0</v>
      </c>
      <c r="E1247" s="2">
        <v>1.0</v>
      </c>
      <c r="F1247" s="2">
        <v>100.0</v>
      </c>
      <c r="G1247" s="2">
        <v>178500.0</v>
      </c>
    </row>
    <row r="1248" ht="14.25" customHeight="1">
      <c r="A1248" s="2">
        <v>1247.0</v>
      </c>
      <c r="B1248" s="2" t="s">
        <v>2488</v>
      </c>
      <c r="C1248" s="2" t="s">
        <v>3750</v>
      </c>
      <c r="D1248" s="2">
        <v>333.0</v>
      </c>
      <c r="E1248" s="2">
        <v>1.0</v>
      </c>
      <c r="F1248" s="2">
        <v>100.0</v>
      </c>
      <c r="G1248" s="2">
        <v>178500.0</v>
      </c>
    </row>
    <row r="1249" ht="14.25" customHeight="1">
      <c r="A1249" s="2">
        <v>1248.0</v>
      </c>
      <c r="B1249" s="2" t="s">
        <v>2475</v>
      </c>
      <c r="C1249" s="2" t="s">
        <v>3751</v>
      </c>
      <c r="D1249" s="2">
        <v>143.0</v>
      </c>
      <c r="E1249" s="2">
        <v>1.0</v>
      </c>
      <c r="F1249" s="2">
        <v>60.0</v>
      </c>
      <c r="G1249" s="2">
        <v>178400.0</v>
      </c>
    </row>
    <row r="1250" ht="14.25" customHeight="1">
      <c r="A1250" s="2">
        <v>1249.0</v>
      </c>
      <c r="B1250" s="2" t="s">
        <v>2501</v>
      </c>
      <c r="C1250" s="2" t="s">
        <v>3752</v>
      </c>
      <c r="D1250" s="2">
        <v>199.0</v>
      </c>
      <c r="E1250" s="2">
        <v>1.0</v>
      </c>
      <c r="F1250" s="2">
        <v>66.0</v>
      </c>
      <c r="G1250" s="2">
        <v>178400.0</v>
      </c>
    </row>
    <row r="1251" ht="14.25" customHeight="1">
      <c r="A1251" s="2">
        <v>1250.0</v>
      </c>
      <c r="B1251" s="2" t="s">
        <v>2621</v>
      </c>
      <c r="C1251" s="2" t="s">
        <v>3753</v>
      </c>
      <c r="D1251" s="2">
        <v>403.0</v>
      </c>
      <c r="E1251" s="2">
        <v>1.0</v>
      </c>
      <c r="F1251" s="2">
        <v>75.0</v>
      </c>
      <c r="G1251" s="2">
        <v>178400.0</v>
      </c>
    </row>
    <row r="1252" ht="14.25" customHeight="1">
      <c r="A1252" s="2">
        <v>1251.0</v>
      </c>
      <c r="B1252" s="2" t="s">
        <v>2636</v>
      </c>
      <c r="C1252" s="2" t="s">
        <v>3754</v>
      </c>
      <c r="D1252" s="2">
        <v>145.0</v>
      </c>
      <c r="E1252" s="2">
        <v>1.0</v>
      </c>
      <c r="F1252" s="2">
        <v>200.0</v>
      </c>
      <c r="G1252" s="2">
        <v>178300.0</v>
      </c>
    </row>
    <row r="1253" ht="14.25" customHeight="1">
      <c r="A1253" s="2">
        <v>1252.0</v>
      </c>
      <c r="B1253" s="2" t="s">
        <v>2501</v>
      </c>
      <c r="C1253" s="2" t="s">
        <v>3755</v>
      </c>
      <c r="D1253" s="2">
        <v>199.0</v>
      </c>
      <c r="E1253" s="2">
        <v>1.0</v>
      </c>
      <c r="F1253" s="2">
        <v>100.0</v>
      </c>
      <c r="G1253" s="2">
        <v>178300.0</v>
      </c>
    </row>
    <row r="1254" ht="14.25" customHeight="1">
      <c r="A1254" s="2">
        <v>1253.0</v>
      </c>
      <c r="B1254" s="2" t="s">
        <v>2561</v>
      </c>
      <c r="C1254" s="2" t="s">
        <v>3756</v>
      </c>
      <c r="D1254" s="2">
        <v>162.0</v>
      </c>
      <c r="E1254" s="2">
        <v>1.0</v>
      </c>
      <c r="F1254" s="2">
        <v>50.0</v>
      </c>
      <c r="G1254" s="2">
        <v>178200.0</v>
      </c>
    </row>
    <row r="1255" ht="14.25" customHeight="1">
      <c r="A1255" s="2">
        <v>1254.0</v>
      </c>
      <c r="B1255" s="2" t="s">
        <v>2501</v>
      </c>
      <c r="C1255" s="2" t="s">
        <v>3757</v>
      </c>
      <c r="D1255" s="2">
        <v>199.0</v>
      </c>
      <c r="E1255" s="2">
        <v>1.0</v>
      </c>
      <c r="F1255" s="2">
        <v>100.0</v>
      </c>
      <c r="G1255" s="2">
        <v>178200.0</v>
      </c>
    </row>
    <row r="1256" ht="14.25" customHeight="1">
      <c r="A1256" s="2">
        <v>1255.0</v>
      </c>
      <c r="B1256" s="2" t="s">
        <v>2594</v>
      </c>
      <c r="C1256" s="2" t="s">
        <v>3758</v>
      </c>
      <c r="D1256" s="2">
        <v>184.0</v>
      </c>
      <c r="E1256" s="2">
        <v>1.0</v>
      </c>
      <c r="F1256" s="2">
        <v>60.0</v>
      </c>
      <c r="G1256" s="2">
        <v>178100.0</v>
      </c>
    </row>
    <row r="1257" ht="14.25" customHeight="1">
      <c r="A1257" s="2">
        <v>1256.0</v>
      </c>
      <c r="B1257" s="2" t="s">
        <v>2497</v>
      </c>
      <c r="C1257" s="2" t="s">
        <v>3759</v>
      </c>
      <c r="D1257" s="2">
        <v>151.0</v>
      </c>
      <c r="E1257" s="2">
        <v>1.0</v>
      </c>
      <c r="F1257" s="2">
        <v>75.0</v>
      </c>
      <c r="G1257" s="2">
        <v>178000.0</v>
      </c>
    </row>
    <row r="1258" ht="14.25" customHeight="1">
      <c r="A1258" s="2">
        <v>1257.0</v>
      </c>
      <c r="B1258" s="2" t="s">
        <v>2576</v>
      </c>
      <c r="C1258" s="2" t="s">
        <v>3760</v>
      </c>
      <c r="D1258" s="2">
        <v>197.0</v>
      </c>
      <c r="E1258" s="2">
        <v>1.0</v>
      </c>
      <c r="F1258" s="2">
        <v>75.0</v>
      </c>
      <c r="G1258" s="2">
        <v>178000.0</v>
      </c>
    </row>
    <row r="1259" ht="14.25" customHeight="1">
      <c r="A1259" s="2">
        <v>1258.0</v>
      </c>
      <c r="B1259" s="2" t="s">
        <v>2549</v>
      </c>
      <c r="C1259" s="2" t="s">
        <v>3761</v>
      </c>
      <c r="D1259" s="2">
        <v>115.0</v>
      </c>
      <c r="E1259" s="2">
        <v>1.0</v>
      </c>
      <c r="F1259" s="2">
        <v>75.0</v>
      </c>
      <c r="G1259" s="2">
        <v>177900.0</v>
      </c>
    </row>
    <row r="1260" ht="14.25" customHeight="1">
      <c r="A1260" s="2">
        <v>1259.0</v>
      </c>
      <c r="B1260" s="2" t="s">
        <v>2501</v>
      </c>
      <c r="C1260" s="2" t="s">
        <v>3762</v>
      </c>
      <c r="D1260" s="2">
        <v>199.0</v>
      </c>
      <c r="E1260" s="2">
        <v>1.0</v>
      </c>
      <c r="F1260" s="2">
        <v>200.0</v>
      </c>
      <c r="G1260" s="2">
        <v>177800.0</v>
      </c>
    </row>
    <row r="1261" ht="14.25" customHeight="1">
      <c r="A1261" s="2">
        <v>1260.0</v>
      </c>
      <c r="B1261" s="2" t="s">
        <v>2488</v>
      </c>
      <c r="C1261" s="2" t="s">
        <v>3763</v>
      </c>
      <c r="D1261" s="2">
        <v>333.0</v>
      </c>
      <c r="E1261" s="2">
        <v>1.0</v>
      </c>
      <c r="F1261" s="2">
        <v>50.0</v>
      </c>
      <c r="G1261" s="2">
        <v>177800.0</v>
      </c>
    </row>
    <row r="1262" ht="14.25" customHeight="1">
      <c r="A1262" s="2">
        <v>1261.0</v>
      </c>
      <c r="B1262" s="2" t="s">
        <v>2549</v>
      </c>
      <c r="C1262" s="2" t="s">
        <v>3764</v>
      </c>
      <c r="D1262" s="2">
        <v>115.0</v>
      </c>
      <c r="E1262" s="2">
        <v>1.0</v>
      </c>
      <c r="F1262" s="2">
        <v>75.0</v>
      </c>
      <c r="G1262" s="2">
        <v>177700.0</v>
      </c>
    </row>
    <row r="1263" ht="14.25" customHeight="1">
      <c r="A1263" s="2">
        <v>1262.0</v>
      </c>
      <c r="B1263" s="2" t="s">
        <v>2479</v>
      </c>
      <c r="C1263" s="2" t="s">
        <v>3765</v>
      </c>
      <c r="D1263" s="2">
        <v>182.0</v>
      </c>
      <c r="E1263" s="2">
        <v>1.0</v>
      </c>
      <c r="F1263" s="2">
        <v>100.0</v>
      </c>
      <c r="G1263" s="2">
        <v>177700.0</v>
      </c>
    </row>
    <row r="1264" ht="14.25" customHeight="1">
      <c r="A1264" s="2">
        <v>1263.0</v>
      </c>
      <c r="B1264" s="2" t="s">
        <v>2594</v>
      </c>
      <c r="C1264" s="2" t="s">
        <v>3766</v>
      </c>
      <c r="D1264" s="2">
        <v>184.0</v>
      </c>
      <c r="E1264" s="2">
        <v>1.0</v>
      </c>
      <c r="F1264" s="2">
        <v>150.0</v>
      </c>
      <c r="G1264" s="2">
        <v>177700.0</v>
      </c>
    </row>
    <row r="1265" ht="14.25" customHeight="1">
      <c r="A1265" s="2">
        <v>1264.0</v>
      </c>
      <c r="B1265" s="2" t="s">
        <v>2479</v>
      </c>
      <c r="C1265" s="2" t="s">
        <v>3767</v>
      </c>
      <c r="D1265" s="2">
        <v>182.0</v>
      </c>
      <c r="E1265" s="2">
        <v>1.0</v>
      </c>
      <c r="F1265" s="2">
        <v>100.0</v>
      </c>
      <c r="G1265" s="2">
        <v>177600.0</v>
      </c>
    </row>
    <row r="1266" ht="14.25" customHeight="1">
      <c r="A1266" s="2">
        <v>1265.0</v>
      </c>
      <c r="B1266" s="2" t="s">
        <v>2503</v>
      </c>
      <c r="C1266" s="2" t="s">
        <v>3768</v>
      </c>
      <c r="D1266" s="2">
        <v>105.0</v>
      </c>
      <c r="E1266" s="2">
        <v>1.0</v>
      </c>
      <c r="F1266" s="2">
        <v>110.0</v>
      </c>
      <c r="G1266" s="2">
        <v>177500.0</v>
      </c>
    </row>
    <row r="1267" ht="14.25" customHeight="1">
      <c r="A1267" s="2">
        <v>1266.0</v>
      </c>
      <c r="B1267" s="2" t="s">
        <v>2503</v>
      </c>
      <c r="C1267" s="2" t="s">
        <v>3769</v>
      </c>
      <c r="D1267" s="2">
        <v>105.0</v>
      </c>
      <c r="E1267" s="2">
        <v>1.0</v>
      </c>
      <c r="F1267" s="2">
        <v>150.0</v>
      </c>
      <c r="G1267" s="2">
        <v>177500.0</v>
      </c>
    </row>
    <row r="1268" ht="14.25" customHeight="1">
      <c r="A1268" s="2">
        <v>1267.0</v>
      </c>
      <c r="B1268" s="2" t="s">
        <v>2549</v>
      </c>
      <c r="C1268" s="2" t="s">
        <v>3770</v>
      </c>
      <c r="D1268" s="2">
        <v>115.0</v>
      </c>
      <c r="E1268" s="2">
        <v>1.0</v>
      </c>
      <c r="F1268" s="2">
        <v>50.0</v>
      </c>
      <c r="G1268" s="2">
        <v>177300.0</v>
      </c>
    </row>
    <row r="1269" ht="14.25" customHeight="1">
      <c r="A1269" s="2">
        <v>1268.0</v>
      </c>
      <c r="B1269" s="2" t="s">
        <v>2549</v>
      </c>
      <c r="C1269" s="2" t="s">
        <v>3771</v>
      </c>
      <c r="D1269" s="2">
        <v>115.0</v>
      </c>
      <c r="E1269" s="2">
        <v>1.0</v>
      </c>
      <c r="F1269" s="2">
        <v>50.0</v>
      </c>
      <c r="G1269" s="2">
        <v>177200.0</v>
      </c>
    </row>
    <row r="1270" ht="14.25" customHeight="1">
      <c r="A1270" s="2">
        <v>1269.0</v>
      </c>
      <c r="B1270" s="2" t="s">
        <v>2475</v>
      </c>
      <c r="C1270" s="2" t="s">
        <v>3772</v>
      </c>
      <c r="D1270" s="2">
        <v>143.0</v>
      </c>
      <c r="E1270" s="2">
        <v>1.0</v>
      </c>
      <c r="F1270" s="2">
        <v>50.0</v>
      </c>
      <c r="G1270" s="2">
        <v>177200.0</v>
      </c>
    </row>
    <row r="1271" ht="14.25" customHeight="1">
      <c r="A1271" s="2">
        <v>1270.0</v>
      </c>
      <c r="B1271" s="2" t="s">
        <v>2497</v>
      </c>
      <c r="C1271" s="2" t="s">
        <v>3773</v>
      </c>
      <c r="D1271" s="2">
        <v>151.0</v>
      </c>
      <c r="E1271" s="2">
        <v>1.0</v>
      </c>
      <c r="F1271" s="2">
        <v>150.0</v>
      </c>
      <c r="G1271" s="2">
        <v>177200.0</v>
      </c>
    </row>
    <row r="1272" ht="14.25" customHeight="1">
      <c r="A1272" s="2">
        <v>1271.0</v>
      </c>
      <c r="B1272" s="2" t="s">
        <v>2501</v>
      </c>
      <c r="C1272" s="2" t="s">
        <v>3774</v>
      </c>
      <c r="D1272" s="2">
        <v>199.0</v>
      </c>
      <c r="E1272" s="2">
        <v>1.0</v>
      </c>
      <c r="F1272" s="2">
        <v>165.0</v>
      </c>
      <c r="G1272" s="2">
        <v>177200.0</v>
      </c>
    </row>
    <row r="1273" ht="14.25" customHeight="1">
      <c r="A1273" s="2">
        <v>1272.0</v>
      </c>
      <c r="B1273" s="2" t="s">
        <v>2477</v>
      </c>
      <c r="C1273" s="2" t="s">
        <v>3775</v>
      </c>
      <c r="D1273" s="2">
        <v>152.0</v>
      </c>
      <c r="E1273" s="2">
        <v>1.0</v>
      </c>
      <c r="F1273" s="2">
        <v>100.0</v>
      </c>
      <c r="G1273" s="2">
        <v>177100.0</v>
      </c>
    </row>
    <row r="1274" ht="14.25" customHeight="1">
      <c r="A1274" s="2">
        <v>1273.0</v>
      </c>
      <c r="B1274" s="2" t="s">
        <v>2534</v>
      </c>
      <c r="C1274" s="2" t="s">
        <v>3776</v>
      </c>
      <c r="D1274" s="2">
        <v>188.0</v>
      </c>
      <c r="E1274" s="2">
        <v>1.0</v>
      </c>
      <c r="F1274" s="2">
        <v>75.0</v>
      </c>
      <c r="G1274" s="2">
        <v>177100.0</v>
      </c>
    </row>
    <row r="1275" ht="14.25" customHeight="1">
      <c r="A1275" s="2">
        <v>1274.0</v>
      </c>
      <c r="B1275" s="2" t="s">
        <v>2497</v>
      </c>
      <c r="C1275" s="2" t="s">
        <v>3777</v>
      </c>
      <c r="D1275" s="2">
        <v>151.0</v>
      </c>
      <c r="E1275" s="2">
        <v>1.0</v>
      </c>
      <c r="F1275" s="2">
        <v>70.0</v>
      </c>
      <c r="G1275" s="2">
        <v>177000.0</v>
      </c>
    </row>
    <row r="1276" ht="14.25" customHeight="1">
      <c r="A1276" s="2">
        <v>1275.0</v>
      </c>
      <c r="B1276" s="2" t="s">
        <v>2518</v>
      </c>
      <c r="C1276" s="2" t="s">
        <v>3778</v>
      </c>
      <c r="D1276" s="2">
        <v>161.0</v>
      </c>
      <c r="E1276" s="2">
        <v>1.0</v>
      </c>
      <c r="F1276" s="2">
        <v>100.0</v>
      </c>
      <c r="G1276" s="2">
        <v>177000.0</v>
      </c>
    </row>
    <row r="1277" ht="14.25" customHeight="1">
      <c r="A1277" s="2">
        <v>1276.0</v>
      </c>
      <c r="B1277" s="2" t="s">
        <v>2582</v>
      </c>
      <c r="C1277" s="2" t="s">
        <v>3779</v>
      </c>
      <c r="D1277" s="2">
        <v>183.0</v>
      </c>
      <c r="E1277" s="2">
        <v>1.0</v>
      </c>
      <c r="F1277" s="2">
        <v>100.0</v>
      </c>
      <c r="G1277" s="2">
        <v>177000.0</v>
      </c>
    </row>
    <row r="1278" ht="14.25" customHeight="1">
      <c r="A1278" s="2">
        <v>1277.0</v>
      </c>
      <c r="B1278" s="2" t="s">
        <v>2594</v>
      </c>
      <c r="C1278" s="2" t="s">
        <v>3780</v>
      </c>
      <c r="D1278" s="2">
        <v>184.0</v>
      </c>
      <c r="E1278" s="2">
        <v>1.0</v>
      </c>
      <c r="F1278" s="2">
        <v>66.0</v>
      </c>
      <c r="G1278" s="2">
        <v>177000.0</v>
      </c>
    </row>
    <row r="1279" ht="14.25" customHeight="1">
      <c r="A1279" s="2">
        <v>1278.0</v>
      </c>
      <c r="B1279" s="2" t="s">
        <v>2501</v>
      </c>
      <c r="C1279" s="2" t="s">
        <v>3781</v>
      </c>
      <c r="D1279" s="2">
        <v>199.0</v>
      </c>
      <c r="E1279" s="2">
        <v>1.0</v>
      </c>
      <c r="F1279" s="2">
        <v>99.0</v>
      </c>
      <c r="G1279" s="2">
        <v>177000.0</v>
      </c>
    </row>
    <row r="1280" ht="14.25" customHeight="1">
      <c r="A1280" s="2">
        <v>1279.0</v>
      </c>
      <c r="B1280" s="2" t="s">
        <v>2651</v>
      </c>
      <c r="C1280" s="2" t="s">
        <v>3782</v>
      </c>
      <c r="D1280" s="2">
        <v>347.0</v>
      </c>
      <c r="E1280" s="2">
        <v>1.0</v>
      </c>
      <c r="F1280" s="2">
        <v>99.0</v>
      </c>
      <c r="G1280" s="2">
        <v>177000.0</v>
      </c>
    </row>
    <row r="1281" ht="14.25" customHeight="1">
      <c r="A1281" s="2">
        <v>1280.0</v>
      </c>
      <c r="B1281" s="2" t="s">
        <v>2686</v>
      </c>
      <c r="C1281" s="2" t="s">
        <v>3783</v>
      </c>
      <c r="D1281" s="2">
        <v>127.0</v>
      </c>
      <c r="E1281" s="2">
        <v>1.0</v>
      </c>
      <c r="F1281" s="2">
        <v>120.0</v>
      </c>
      <c r="G1281" s="2">
        <v>176900.0</v>
      </c>
    </row>
    <row r="1282" ht="14.25" customHeight="1">
      <c r="A1282" s="2">
        <v>1281.0</v>
      </c>
      <c r="B1282" s="2" t="s">
        <v>2501</v>
      </c>
      <c r="C1282" s="2" t="s">
        <v>3784</v>
      </c>
      <c r="D1282" s="2">
        <v>199.0</v>
      </c>
      <c r="E1282" s="2">
        <v>1.0</v>
      </c>
      <c r="F1282" s="2">
        <v>70.0</v>
      </c>
      <c r="G1282" s="2">
        <v>176800.0</v>
      </c>
    </row>
    <row r="1283" ht="14.25" customHeight="1">
      <c r="A1283" s="2">
        <v>1282.0</v>
      </c>
      <c r="B1283" s="2" t="s">
        <v>2488</v>
      </c>
      <c r="C1283" s="2" t="s">
        <v>3785</v>
      </c>
      <c r="D1283" s="2">
        <v>333.0</v>
      </c>
      <c r="E1283" s="2">
        <v>1.0</v>
      </c>
      <c r="F1283" s="2">
        <v>65.0</v>
      </c>
      <c r="G1283" s="2">
        <v>176800.0</v>
      </c>
    </row>
    <row r="1284" ht="14.25" customHeight="1">
      <c r="A1284" s="2">
        <v>1283.0</v>
      </c>
      <c r="B1284" s="2" t="s">
        <v>2491</v>
      </c>
      <c r="C1284" s="2" t="s">
        <v>3786</v>
      </c>
      <c r="D1284" s="2">
        <v>116.0</v>
      </c>
      <c r="E1284" s="2">
        <v>1.0</v>
      </c>
      <c r="F1284" s="2">
        <v>145.0</v>
      </c>
      <c r="G1284" s="2">
        <v>176700.0</v>
      </c>
    </row>
    <row r="1285" ht="14.25" customHeight="1">
      <c r="A1285" s="2">
        <v>1284.0</v>
      </c>
      <c r="B1285" s="2" t="s">
        <v>2594</v>
      </c>
      <c r="C1285" s="2" t="s">
        <v>3787</v>
      </c>
      <c r="D1285" s="2">
        <v>184.0</v>
      </c>
      <c r="E1285" s="2">
        <v>1.0</v>
      </c>
      <c r="F1285" s="2">
        <v>66.0</v>
      </c>
      <c r="G1285" s="2">
        <v>176700.0</v>
      </c>
    </row>
    <row r="1286" ht="14.25" customHeight="1">
      <c r="A1286" s="2">
        <v>1285.0</v>
      </c>
      <c r="B1286" s="2" t="s">
        <v>2534</v>
      </c>
      <c r="C1286" s="2" t="s">
        <v>3788</v>
      </c>
      <c r="D1286" s="2">
        <v>188.0</v>
      </c>
      <c r="E1286" s="2">
        <v>1.0</v>
      </c>
      <c r="F1286" s="2">
        <v>150.0</v>
      </c>
      <c r="G1286" s="2">
        <v>176600.0</v>
      </c>
    </row>
    <row r="1287" ht="14.25" customHeight="1">
      <c r="A1287" s="2">
        <v>1286.0</v>
      </c>
      <c r="B1287" s="2" t="s">
        <v>2491</v>
      </c>
      <c r="C1287" s="2" t="s">
        <v>3789</v>
      </c>
      <c r="D1287" s="2">
        <v>116.0</v>
      </c>
      <c r="E1287" s="2">
        <v>1.0</v>
      </c>
      <c r="F1287" s="2">
        <v>100.0</v>
      </c>
      <c r="G1287" s="2">
        <v>176500.0</v>
      </c>
    </row>
    <row r="1288" ht="14.25" customHeight="1">
      <c r="A1288" s="2">
        <v>1287.0</v>
      </c>
      <c r="B1288" s="2" t="s">
        <v>2744</v>
      </c>
      <c r="C1288" s="2" t="s">
        <v>3790</v>
      </c>
      <c r="D1288" s="2">
        <v>169.0</v>
      </c>
      <c r="E1288" s="2">
        <v>1.0</v>
      </c>
      <c r="F1288" s="2">
        <v>90.0</v>
      </c>
      <c r="G1288" s="2">
        <v>176500.0</v>
      </c>
    </row>
    <row r="1289" ht="14.25" customHeight="1">
      <c r="A1289" s="2">
        <v>1288.0</v>
      </c>
      <c r="B1289" s="2" t="s">
        <v>2475</v>
      </c>
      <c r="C1289" s="2" t="s">
        <v>3791</v>
      </c>
      <c r="D1289" s="2">
        <v>143.0</v>
      </c>
      <c r="E1289" s="2">
        <v>1.0</v>
      </c>
      <c r="F1289" s="2">
        <v>100.0</v>
      </c>
      <c r="G1289" s="2">
        <v>176400.0</v>
      </c>
    </row>
    <row r="1290" ht="14.25" customHeight="1">
      <c r="A1290" s="2">
        <v>1289.0</v>
      </c>
      <c r="B1290" s="2" t="s">
        <v>2561</v>
      </c>
      <c r="C1290" s="2" t="s">
        <v>3792</v>
      </c>
      <c r="D1290" s="2">
        <v>162.0</v>
      </c>
      <c r="E1290" s="2">
        <v>1.0</v>
      </c>
      <c r="F1290" s="2">
        <v>125.0</v>
      </c>
      <c r="G1290" s="2">
        <v>176400.0</v>
      </c>
    </row>
    <row r="1291" ht="14.25" customHeight="1">
      <c r="A1291" s="2">
        <v>1290.0</v>
      </c>
      <c r="B1291" s="2" t="s">
        <v>2594</v>
      </c>
      <c r="C1291" s="2" t="s">
        <v>3793</v>
      </c>
      <c r="D1291" s="2">
        <v>184.0</v>
      </c>
      <c r="E1291" s="2">
        <v>1.0</v>
      </c>
      <c r="F1291" s="2">
        <v>100.0</v>
      </c>
      <c r="G1291" s="2">
        <v>176400.0</v>
      </c>
    </row>
    <row r="1292" ht="14.25" customHeight="1">
      <c r="A1292" s="2">
        <v>1291.0</v>
      </c>
      <c r="B1292" s="2" t="s">
        <v>2621</v>
      </c>
      <c r="C1292" s="2" t="s">
        <v>3794</v>
      </c>
      <c r="D1292" s="2">
        <v>403.0</v>
      </c>
      <c r="E1292" s="2">
        <v>1.0</v>
      </c>
      <c r="F1292" s="2">
        <v>50.0</v>
      </c>
      <c r="G1292" s="2">
        <v>176400.0</v>
      </c>
    </row>
    <row r="1293" ht="14.25" customHeight="1">
      <c r="A1293" s="2">
        <v>1292.0</v>
      </c>
      <c r="B1293" s="2" t="s">
        <v>2541</v>
      </c>
      <c r="C1293" s="2" t="s">
        <v>3795</v>
      </c>
      <c r="D1293" s="2">
        <v>195.0</v>
      </c>
      <c r="E1293" s="2">
        <v>1.0</v>
      </c>
      <c r="F1293" s="2">
        <v>50.0</v>
      </c>
      <c r="G1293" s="2">
        <v>176300.0</v>
      </c>
    </row>
    <row r="1294" ht="14.25" customHeight="1">
      <c r="A1294" s="2">
        <v>1293.0</v>
      </c>
      <c r="B1294" s="2" t="s">
        <v>2604</v>
      </c>
      <c r="C1294" s="2" t="s">
        <v>3796</v>
      </c>
      <c r="D1294" s="2">
        <v>200.0</v>
      </c>
      <c r="E1294" s="2">
        <v>1.0</v>
      </c>
      <c r="F1294" s="2">
        <v>130.0</v>
      </c>
      <c r="G1294" s="2">
        <v>176300.0</v>
      </c>
    </row>
    <row r="1295" ht="14.25" customHeight="1">
      <c r="A1295" s="2">
        <v>1294.0</v>
      </c>
      <c r="B1295" s="2" t="s">
        <v>2604</v>
      </c>
      <c r="C1295" s="2" t="s">
        <v>3797</v>
      </c>
      <c r="D1295" s="2">
        <v>200.0</v>
      </c>
      <c r="E1295" s="2">
        <v>1.0</v>
      </c>
      <c r="F1295" s="2">
        <v>50.0</v>
      </c>
      <c r="G1295" s="2">
        <v>176300.0</v>
      </c>
    </row>
    <row r="1296" ht="14.25" customHeight="1">
      <c r="A1296" s="2">
        <v>1295.0</v>
      </c>
      <c r="B1296" s="2" t="s">
        <v>2503</v>
      </c>
      <c r="C1296" s="2" t="s">
        <v>3798</v>
      </c>
      <c r="D1296" s="2">
        <v>105.0</v>
      </c>
      <c r="E1296" s="2">
        <v>1.0</v>
      </c>
      <c r="F1296" s="2">
        <v>100.0</v>
      </c>
      <c r="G1296" s="2">
        <v>176200.0</v>
      </c>
    </row>
    <row r="1297" ht="14.25" customHeight="1">
      <c r="A1297" s="2">
        <v>1296.0</v>
      </c>
      <c r="B1297" s="2" t="s">
        <v>2582</v>
      </c>
      <c r="C1297" s="2" t="s">
        <v>3799</v>
      </c>
      <c r="D1297" s="2">
        <v>183.0</v>
      </c>
      <c r="E1297" s="2">
        <v>1.0</v>
      </c>
      <c r="F1297" s="2">
        <v>100.0</v>
      </c>
      <c r="G1297" s="2">
        <v>176200.0</v>
      </c>
    </row>
    <row r="1298" ht="14.25" customHeight="1">
      <c r="A1298" s="2">
        <v>1297.0</v>
      </c>
      <c r="B1298" s="2" t="s">
        <v>2651</v>
      </c>
      <c r="C1298" s="2" t="s">
        <v>3800</v>
      </c>
      <c r="D1298" s="2">
        <v>347.0</v>
      </c>
      <c r="E1298" s="2">
        <v>1.0</v>
      </c>
      <c r="F1298" s="2">
        <v>66.0</v>
      </c>
      <c r="G1298" s="2">
        <v>176200.0</v>
      </c>
    </row>
    <row r="1299" ht="14.25" customHeight="1">
      <c r="A1299" s="2">
        <v>1298.0</v>
      </c>
      <c r="B1299" s="2" t="s">
        <v>2501</v>
      </c>
      <c r="C1299" s="2" t="s">
        <v>3801</v>
      </c>
      <c r="D1299" s="2">
        <v>199.0</v>
      </c>
      <c r="E1299" s="2">
        <v>1.0</v>
      </c>
      <c r="F1299" s="2">
        <v>85.0</v>
      </c>
      <c r="G1299" s="2">
        <v>176100.0</v>
      </c>
    </row>
    <row r="1300" ht="14.25" customHeight="1">
      <c r="A1300" s="2">
        <v>1299.0</v>
      </c>
      <c r="B1300" s="2" t="s">
        <v>2686</v>
      </c>
      <c r="C1300" s="2" t="s">
        <v>3802</v>
      </c>
      <c r="D1300" s="2">
        <v>127.0</v>
      </c>
      <c r="E1300" s="2">
        <v>1.0</v>
      </c>
      <c r="F1300" s="2">
        <v>250.0</v>
      </c>
      <c r="G1300" s="2">
        <v>176000.0</v>
      </c>
    </row>
    <row r="1301" ht="14.25" customHeight="1">
      <c r="A1301" s="2">
        <v>1300.0</v>
      </c>
      <c r="B1301" s="2" t="s">
        <v>2686</v>
      </c>
      <c r="C1301" s="2" t="s">
        <v>3803</v>
      </c>
      <c r="D1301" s="2">
        <v>127.0</v>
      </c>
      <c r="E1301" s="2">
        <v>1.0</v>
      </c>
      <c r="F1301" s="2">
        <v>120.0</v>
      </c>
      <c r="G1301" s="2">
        <v>176000.0</v>
      </c>
    </row>
    <row r="1302" ht="14.25" customHeight="1">
      <c r="A1302" s="2">
        <v>1301.0</v>
      </c>
      <c r="B1302" s="2" t="s">
        <v>2553</v>
      </c>
      <c r="C1302" s="2" t="s">
        <v>3804</v>
      </c>
      <c r="D1302" s="2">
        <v>187.0</v>
      </c>
      <c r="E1302" s="2">
        <v>1.0</v>
      </c>
      <c r="F1302" s="2">
        <v>125.0</v>
      </c>
      <c r="G1302" s="2">
        <v>176000.0</v>
      </c>
    </row>
    <row r="1303" ht="14.25" customHeight="1">
      <c r="A1303" s="2">
        <v>1302.0</v>
      </c>
      <c r="B1303" s="2" t="s">
        <v>2488</v>
      </c>
      <c r="C1303" s="2" t="s">
        <v>3805</v>
      </c>
      <c r="D1303" s="2">
        <v>333.0</v>
      </c>
      <c r="E1303" s="2">
        <v>1.0</v>
      </c>
      <c r="F1303" s="2">
        <v>65.0</v>
      </c>
      <c r="G1303" s="2">
        <v>176000.0</v>
      </c>
    </row>
    <row r="1304" ht="14.25" customHeight="1">
      <c r="A1304" s="2">
        <v>1303.0</v>
      </c>
      <c r="B1304" s="2" t="s">
        <v>2561</v>
      </c>
      <c r="C1304" s="2" t="s">
        <v>3806</v>
      </c>
      <c r="D1304" s="2">
        <v>162.0</v>
      </c>
      <c r="E1304" s="2">
        <v>1.0</v>
      </c>
      <c r="F1304" s="2">
        <v>100.0</v>
      </c>
      <c r="G1304" s="2">
        <v>175900.0</v>
      </c>
    </row>
    <row r="1305" ht="14.25" customHeight="1">
      <c r="A1305" s="2">
        <v>1304.0</v>
      </c>
      <c r="B1305" s="2" t="s">
        <v>2561</v>
      </c>
      <c r="C1305" s="2" t="s">
        <v>3807</v>
      </c>
      <c r="D1305" s="2">
        <v>162.0</v>
      </c>
      <c r="E1305" s="2">
        <v>1.0</v>
      </c>
      <c r="F1305" s="2">
        <v>150.0</v>
      </c>
      <c r="G1305" s="2">
        <v>175700.0</v>
      </c>
    </row>
    <row r="1306" ht="14.25" customHeight="1">
      <c r="A1306" s="2">
        <v>1305.0</v>
      </c>
      <c r="B1306" s="2" t="s">
        <v>2503</v>
      </c>
      <c r="C1306" s="2" t="s">
        <v>3808</v>
      </c>
      <c r="D1306" s="2">
        <v>105.0</v>
      </c>
      <c r="E1306" s="2">
        <v>1.0</v>
      </c>
      <c r="F1306" s="2">
        <v>120.0</v>
      </c>
      <c r="G1306" s="2">
        <v>175300.0</v>
      </c>
    </row>
    <row r="1307" ht="14.25" customHeight="1">
      <c r="A1307" s="2">
        <v>1306.0</v>
      </c>
      <c r="B1307" s="2" t="s">
        <v>2477</v>
      </c>
      <c r="C1307" s="2" t="s">
        <v>3809</v>
      </c>
      <c r="D1307" s="2">
        <v>152.0</v>
      </c>
      <c r="E1307" s="2">
        <v>1.0</v>
      </c>
      <c r="F1307" s="2">
        <v>110.0</v>
      </c>
      <c r="G1307" s="2">
        <v>175300.0</v>
      </c>
    </row>
    <row r="1308" ht="14.25" customHeight="1">
      <c r="A1308" s="2">
        <v>1307.0</v>
      </c>
      <c r="B1308" s="2" t="s">
        <v>2571</v>
      </c>
      <c r="C1308" s="2" t="s">
        <v>3810</v>
      </c>
      <c r="D1308" s="2">
        <v>185.0</v>
      </c>
      <c r="E1308" s="2">
        <v>1.0</v>
      </c>
      <c r="F1308" s="2">
        <v>75.0</v>
      </c>
      <c r="G1308" s="2">
        <v>175200.0</v>
      </c>
    </row>
    <row r="1309" ht="14.25" customHeight="1">
      <c r="A1309" s="2">
        <v>1308.0</v>
      </c>
      <c r="B1309" s="2" t="s">
        <v>2576</v>
      </c>
      <c r="C1309" s="2" t="s">
        <v>3811</v>
      </c>
      <c r="D1309" s="2">
        <v>197.0</v>
      </c>
      <c r="E1309" s="2">
        <v>1.0</v>
      </c>
      <c r="F1309" s="2">
        <v>100.0</v>
      </c>
      <c r="G1309" s="2">
        <v>175200.0</v>
      </c>
    </row>
    <row r="1310" ht="14.25" customHeight="1">
      <c r="A1310" s="2">
        <v>1309.0</v>
      </c>
      <c r="B1310" s="2" t="s">
        <v>2576</v>
      </c>
      <c r="C1310" s="2" t="s">
        <v>3812</v>
      </c>
      <c r="D1310" s="2">
        <v>197.0</v>
      </c>
      <c r="E1310" s="2">
        <v>1.0</v>
      </c>
      <c r="F1310" s="2">
        <v>100.0</v>
      </c>
      <c r="G1310" s="2">
        <v>175200.0</v>
      </c>
    </row>
    <row r="1311" ht="14.25" customHeight="1">
      <c r="A1311" s="2">
        <v>1310.0</v>
      </c>
      <c r="B1311" s="2" t="s">
        <v>2686</v>
      </c>
      <c r="C1311" s="2" t="s">
        <v>3813</v>
      </c>
      <c r="D1311" s="2">
        <v>127.0</v>
      </c>
      <c r="E1311" s="2">
        <v>1.0</v>
      </c>
      <c r="F1311" s="2">
        <v>90.0</v>
      </c>
      <c r="G1311" s="2">
        <v>175000.0</v>
      </c>
    </row>
    <row r="1312" ht="14.25" customHeight="1">
      <c r="A1312" s="2">
        <v>1311.0</v>
      </c>
      <c r="B1312" s="2" t="s">
        <v>2651</v>
      </c>
      <c r="C1312" s="2" t="s">
        <v>3814</v>
      </c>
      <c r="D1312" s="2">
        <v>347.0</v>
      </c>
      <c r="E1312" s="2">
        <v>1.0</v>
      </c>
      <c r="F1312" s="2">
        <v>75.0</v>
      </c>
      <c r="G1312" s="2">
        <v>175000.0</v>
      </c>
    </row>
    <row r="1313" ht="14.25" customHeight="1">
      <c r="A1313" s="2">
        <v>1312.0</v>
      </c>
      <c r="B1313" s="2" t="s">
        <v>2621</v>
      </c>
      <c r="C1313" s="2" t="s">
        <v>3815</v>
      </c>
      <c r="D1313" s="2">
        <v>403.0</v>
      </c>
      <c r="E1313" s="2">
        <v>1.0</v>
      </c>
      <c r="F1313" s="2">
        <v>200.0</v>
      </c>
      <c r="G1313" s="2">
        <v>175000.0</v>
      </c>
    </row>
    <row r="1314" ht="14.25" customHeight="1">
      <c r="A1314" s="2">
        <v>1313.0</v>
      </c>
      <c r="B1314" s="2" t="s">
        <v>2636</v>
      </c>
      <c r="C1314" s="2" t="s">
        <v>3816</v>
      </c>
      <c r="D1314" s="2">
        <v>145.0</v>
      </c>
      <c r="E1314" s="2">
        <v>1.0</v>
      </c>
      <c r="F1314" s="2">
        <v>100.0</v>
      </c>
      <c r="G1314" s="2">
        <v>174700.0</v>
      </c>
    </row>
    <row r="1315" ht="14.25" customHeight="1">
      <c r="A1315" s="2">
        <v>1314.0</v>
      </c>
      <c r="B1315" s="2" t="s">
        <v>2488</v>
      </c>
      <c r="C1315" s="2" t="s">
        <v>3817</v>
      </c>
      <c r="D1315" s="2">
        <v>333.0</v>
      </c>
      <c r="E1315" s="2">
        <v>1.0</v>
      </c>
      <c r="F1315" s="2">
        <v>90.0</v>
      </c>
      <c r="G1315" s="2">
        <v>174700.0</v>
      </c>
    </row>
    <row r="1316" ht="14.25" customHeight="1">
      <c r="A1316" s="2">
        <v>1315.0</v>
      </c>
      <c r="B1316" s="2" t="s">
        <v>2503</v>
      </c>
      <c r="C1316" s="2" t="s">
        <v>3818</v>
      </c>
      <c r="D1316" s="2">
        <v>105.0</v>
      </c>
      <c r="E1316" s="2">
        <v>1.0</v>
      </c>
      <c r="F1316" s="2">
        <v>100.0</v>
      </c>
      <c r="G1316" s="2">
        <v>174600.0</v>
      </c>
    </row>
    <row r="1317" ht="14.25" customHeight="1">
      <c r="A1317" s="2">
        <v>1316.0</v>
      </c>
      <c r="B1317" s="2" t="s">
        <v>2576</v>
      </c>
      <c r="C1317" s="2" t="s">
        <v>3819</v>
      </c>
      <c r="D1317" s="2">
        <v>197.0</v>
      </c>
      <c r="E1317" s="2">
        <v>1.0</v>
      </c>
      <c r="F1317" s="2">
        <v>132.0</v>
      </c>
      <c r="G1317" s="2">
        <v>174600.0</v>
      </c>
    </row>
    <row r="1318" ht="14.25" customHeight="1">
      <c r="A1318" s="2">
        <v>1317.0</v>
      </c>
      <c r="B1318" s="2" t="s">
        <v>2501</v>
      </c>
      <c r="C1318" s="2" t="s">
        <v>3820</v>
      </c>
      <c r="D1318" s="2">
        <v>199.0</v>
      </c>
      <c r="E1318" s="2">
        <v>1.0</v>
      </c>
      <c r="F1318" s="2">
        <v>75.0</v>
      </c>
      <c r="G1318" s="2">
        <v>174600.0</v>
      </c>
    </row>
    <row r="1319" ht="14.25" customHeight="1">
      <c r="A1319" s="2">
        <v>1318.0</v>
      </c>
      <c r="B1319" s="2" t="s">
        <v>2604</v>
      </c>
      <c r="C1319" s="2" t="s">
        <v>3821</v>
      </c>
      <c r="D1319" s="2">
        <v>200.0</v>
      </c>
      <c r="E1319" s="2">
        <v>1.0</v>
      </c>
      <c r="F1319" s="2">
        <v>65.0</v>
      </c>
      <c r="G1319" s="2">
        <v>174600.0</v>
      </c>
    </row>
    <row r="1320" ht="14.25" customHeight="1">
      <c r="A1320" s="2">
        <v>1319.0</v>
      </c>
      <c r="B1320" s="2" t="s">
        <v>2505</v>
      </c>
      <c r="C1320" s="2" t="s">
        <v>3822</v>
      </c>
      <c r="D1320" s="2">
        <v>429.0</v>
      </c>
      <c r="E1320" s="2">
        <v>1.0</v>
      </c>
      <c r="F1320" s="2">
        <v>75.0</v>
      </c>
      <c r="G1320" s="2">
        <v>174600.0</v>
      </c>
    </row>
    <row r="1321" ht="14.25" customHeight="1">
      <c r="A1321" s="2">
        <v>1320.0</v>
      </c>
      <c r="B1321" s="2" t="s">
        <v>2477</v>
      </c>
      <c r="C1321" s="2" t="s">
        <v>3823</v>
      </c>
      <c r="D1321" s="2">
        <v>152.0</v>
      </c>
      <c r="E1321" s="2">
        <v>1.0</v>
      </c>
      <c r="F1321" s="2">
        <v>70.0</v>
      </c>
      <c r="G1321" s="2">
        <v>174500.0</v>
      </c>
    </row>
    <row r="1322" ht="14.25" customHeight="1">
      <c r="A1322" s="2">
        <v>1321.0</v>
      </c>
      <c r="B1322" s="2" t="s">
        <v>2477</v>
      </c>
      <c r="C1322" s="2" t="s">
        <v>3824</v>
      </c>
      <c r="D1322" s="2">
        <v>152.0</v>
      </c>
      <c r="E1322" s="2">
        <v>1.0</v>
      </c>
      <c r="F1322" s="2">
        <v>200.0</v>
      </c>
      <c r="G1322" s="2">
        <v>174500.0</v>
      </c>
    </row>
    <row r="1323" ht="14.25" customHeight="1">
      <c r="A1323" s="2">
        <v>1322.0</v>
      </c>
      <c r="B1323" s="2" t="s">
        <v>2594</v>
      </c>
      <c r="C1323" s="2" t="s">
        <v>3825</v>
      </c>
      <c r="D1323" s="2">
        <v>184.0</v>
      </c>
      <c r="E1323" s="2">
        <v>1.0</v>
      </c>
      <c r="F1323" s="2">
        <v>80.0</v>
      </c>
      <c r="G1323" s="2">
        <v>174500.0</v>
      </c>
    </row>
    <row r="1324" ht="14.25" customHeight="1">
      <c r="A1324" s="2">
        <v>1323.0</v>
      </c>
      <c r="B1324" s="2" t="s">
        <v>2604</v>
      </c>
      <c r="C1324" s="2" t="s">
        <v>3826</v>
      </c>
      <c r="D1324" s="2">
        <v>200.0</v>
      </c>
      <c r="E1324" s="2">
        <v>1.0</v>
      </c>
      <c r="F1324" s="2">
        <v>132.0</v>
      </c>
      <c r="G1324" s="2">
        <v>174500.0</v>
      </c>
    </row>
    <row r="1325" ht="14.25" customHeight="1">
      <c r="A1325" s="2">
        <v>1324.0</v>
      </c>
      <c r="B1325" s="2" t="s">
        <v>2636</v>
      </c>
      <c r="C1325" s="2" t="s">
        <v>3827</v>
      </c>
      <c r="D1325" s="2">
        <v>145.0</v>
      </c>
      <c r="E1325" s="2">
        <v>1.0</v>
      </c>
      <c r="F1325" s="2">
        <v>125.0</v>
      </c>
      <c r="G1325" s="2">
        <v>174400.0</v>
      </c>
    </row>
    <row r="1326" ht="14.25" customHeight="1">
      <c r="A1326" s="2">
        <v>1325.0</v>
      </c>
      <c r="B1326" s="2" t="s">
        <v>2561</v>
      </c>
      <c r="C1326" s="2" t="s">
        <v>3828</v>
      </c>
      <c r="D1326" s="2">
        <v>162.0</v>
      </c>
      <c r="E1326" s="2">
        <v>1.0</v>
      </c>
      <c r="F1326" s="2">
        <v>50.0</v>
      </c>
      <c r="G1326" s="2">
        <v>174400.0</v>
      </c>
    </row>
    <row r="1327" ht="14.25" customHeight="1">
      <c r="A1327" s="2">
        <v>1326.0</v>
      </c>
      <c r="B1327" s="2" t="s">
        <v>2479</v>
      </c>
      <c r="C1327" s="2" t="s">
        <v>3829</v>
      </c>
      <c r="D1327" s="2">
        <v>182.0</v>
      </c>
      <c r="E1327" s="2">
        <v>1.0</v>
      </c>
      <c r="F1327" s="2">
        <v>60.0</v>
      </c>
      <c r="G1327" s="2">
        <v>174400.0</v>
      </c>
    </row>
    <row r="1328" ht="14.25" customHeight="1">
      <c r="A1328" s="2">
        <v>1327.0</v>
      </c>
      <c r="B1328" s="2" t="s">
        <v>2604</v>
      </c>
      <c r="C1328" s="2" t="s">
        <v>3830</v>
      </c>
      <c r="D1328" s="2">
        <v>200.0</v>
      </c>
      <c r="E1328" s="2">
        <v>1.0</v>
      </c>
      <c r="F1328" s="2">
        <v>75.0</v>
      </c>
      <c r="G1328" s="2">
        <v>174400.0</v>
      </c>
    </row>
    <row r="1329" ht="14.25" customHeight="1">
      <c r="A1329" s="2">
        <v>1328.0</v>
      </c>
      <c r="B1329" s="2" t="s">
        <v>2488</v>
      </c>
      <c r="C1329" s="2" t="s">
        <v>3831</v>
      </c>
      <c r="D1329" s="2">
        <v>333.0</v>
      </c>
      <c r="E1329" s="2">
        <v>1.0</v>
      </c>
      <c r="F1329" s="2">
        <v>60.0</v>
      </c>
      <c r="G1329" s="2">
        <v>174400.0</v>
      </c>
    </row>
    <row r="1330" ht="14.25" customHeight="1">
      <c r="A1330" s="2">
        <v>1329.0</v>
      </c>
      <c r="B1330" s="2" t="s">
        <v>2518</v>
      </c>
      <c r="C1330" s="2" t="s">
        <v>3832</v>
      </c>
      <c r="D1330" s="2">
        <v>161.0</v>
      </c>
      <c r="E1330" s="2">
        <v>1.0</v>
      </c>
      <c r="F1330" s="2">
        <v>100.0</v>
      </c>
      <c r="G1330" s="2">
        <v>174300.0</v>
      </c>
    </row>
    <row r="1331" ht="14.25" customHeight="1">
      <c r="A1331" s="2">
        <v>1330.0</v>
      </c>
      <c r="B1331" s="2" t="s">
        <v>2488</v>
      </c>
      <c r="C1331" s="2" t="s">
        <v>3833</v>
      </c>
      <c r="D1331" s="2">
        <v>333.0</v>
      </c>
      <c r="E1331" s="2">
        <v>1.0</v>
      </c>
      <c r="F1331" s="2">
        <v>80.0</v>
      </c>
      <c r="G1331" s="2">
        <v>174200.0</v>
      </c>
    </row>
    <row r="1332" ht="14.25" customHeight="1">
      <c r="A1332" s="2">
        <v>1331.0</v>
      </c>
      <c r="B1332" s="2" t="s">
        <v>2651</v>
      </c>
      <c r="C1332" s="2" t="s">
        <v>3834</v>
      </c>
      <c r="D1332" s="2">
        <v>347.0</v>
      </c>
      <c r="E1332" s="2">
        <v>1.0</v>
      </c>
      <c r="F1332" s="2">
        <v>200.0</v>
      </c>
      <c r="G1332" s="2">
        <v>174100.0</v>
      </c>
    </row>
    <row r="1333" ht="14.25" customHeight="1">
      <c r="A1333" s="2">
        <v>1332.0</v>
      </c>
      <c r="B1333" s="2" t="s">
        <v>2558</v>
      </c>
      <c r="C1333" s="2" t="s">
        <v>3835</v>
      </c>
      <c r="D1333" s="2">
        <v>357.0</v>
      </c>
      <c r="E1333" s="2">
        <v>1.0</v>
      </c>
      <c r="F1333" s="2">
        <v>99.0</v>
      </c>
      <c r="G1333" s="2">
        <v>174100.0</v>
      </c>
    </row>
    <row r="1334" ht="14.25" customHeight="1">
      <c r="A1334" s="2">
        <v>1333.0</v>
      </c>
      <c r="B1334" s="2" t="s">
        <v>2505</v>
      </c>
      <c r="C1334" s="2" t="s">
        <v>3836</v>
      </c>
      <c r="D1334" s="2">
        <v>429.0</v>
      </c>
      <c r="E1334" s="2">
        <v>1.0</v>
      </c>
      <c r="F1334" s="2">
        <v>120.0</v>
      </c>
      <c r="G1334" s="2">
        <v>174100.0</v>
      </c>
    </row>
    <row r="1335" ht="14.25" customHeight="1">
      <c r="A1335" s="2">
        <v>1334.0</v>
      </c>
      <c r="B1335" s="2" t="s">
        <v>2512</v>
      </c>
      <c r="C1335" s="2" t="s">
        <v>3837</v>
      </c>
      <c r="D1335" s="2">
        <v>153.0</v>
      </c>
      <c r="E1335" s="2">
        <v>1.0</v>
      </c>
      <c r="F1335" s="2">
        <v>50.0</v>
      </c>
      <c r="G1335" s="2">
        <v>174000.0</v>
      </c>
    </row>
    <row r="1336" ht="14.25" customHeight="1">
      <c r="A1336" s="2">
        <v>1335.0</v>
      </c>
      <c r="B1336" s="2" t="s">
        <v>2561</v>
      </c>
      <c r="C1336" s="2" t="s">
        <v>3838</v>
      </c>
      <c r="D1336" s="2">
        <v>162.0</v>
      </c>
      <c r="E1336" s="2">
        <v>1.0</v>
      </c>
      <c r="F1336" s="2">
        <v>200.0</v>
      </c>
      <c r="G1336" s="2">
        <v>174000.0</v>
      </c>
    </row>
    <row r="1337" ht="14.25" customHeight="1">
      <c r="A1337" s="2">
        <v>1336.0</v>
      </c>
      <c r="B1337" s="2" t="s">
        <v>2503</v>
      </c>
      <c r="C1337" s="2" t="s">
        <v>3839</v>
      </c>
      <c r="D1337" s="2">
        <v>105.0</v>
      </c>
      <c r="E1337" s="2">
        <v>1.0</v>
      </c>
      <c r="F1337" s="2">
        <v>132.0</v>
      </c>
      <c r="G1337" s="2">
        <v>173900.0</v>
      </c>
    </row>
    <row r="1338" ht="14.25" customHeight="1">
      <c r="A1338" s="2">
        <v>1337.0</v>
      </c>
      <c r="B1338" s="2" t="s">
        <v>2686</v>
      </c>
      <c r="C1338" s="2" t="s">
        <v>3840</v>
      </c>
      <c r="D1338" s="2">
        <v>127.0</v>
      </c>
      <c r="E1338" s="2">
        <v>1.0</v>
      </c>
      <c r="F1338" s="2">
        <v>120.0</v>
      </c>
      <c r="G1338" s="2">
        <v>173800.0</v>
      </c>
    </row>
    <row r="1339" ht="14.25" customHeight="1">
      <c r="A1339" s="2">
        <v>1338.0</v>
      </c>
      <c r="B1339" s="2" t="s">
        <v>2636</v>
      </c>
      <c r="C1339" s="2" t="s">
        <v>3841</v>
      </c>
      <c r="D1339" s="2">
        <v>145.0</v>
      </c>
      <c r="E1339" s="2">
        <v>1.0</v>
      </c>
      <c r="F1339" s="2">
        <v>150.0</v>
      </c>
      <c r="G1339" s="2">
        <v>173800.0</v>
      </c>
    </row>
    <row r="1340" ht="14.25" customHeight="1">
      <c r="A1340" s="2">
        <v>1339.0</v>
      </c>
      <c r="B1340" s="2" t="s">
        <v>2553</v>
      </c>
      <c r="C1340" s="2" t="s">
        <v>3842</v>
      </c>
      <c r="D1340" s="2">
        <v>187.0</v>
      </c>
      <c r="E1340" s="2">
        <v>1.0</v>
      </c>
      <c r="F1340" s="2">
        <v>100.0</v>
      </c>
      <c r="G1340" s="2">
        <v>173800.0</v>
      </c>
    </row>
    <row r="1341" ht="14.25" customHeight="1">
      <c r="A1341" s="2">
        <v>1340.0</v>
      </c>
      <c r="B1341" s="2" t="s">
        <v>2501</v>
      </c>
      <c r="C1341" s="2" t="s">
        <v>3843</v>
      </c>
      <c r="D1341" s="2">
        <v>199.0</v>
      </c>
      <c r="E1341" s="2">
        <v>1.0</v>
      </c>
      <c r="F1341" s="2">
        <v>99.0</v>
      </c>
      <c r="G1341" s="2">
        <v>173800.0</v>
      </c>
    </row>
    <row r="1342" ht="14.25" customHeight="1">
      <c r="A1342" s="2">
        <v>1341.0</v>
      </c>
      <c r="B1342" s="2" t="s">
        <v>2477</v>
      </c>
      <c r="C1342" s="2" t="s">
        <v>3844</v>
      </c>
      <c r="D1342" s="2">
        <v>152.0</v>
      </c>
      <c r="E1342" s="2">
        <v>1.0</v>
      </c>
      <c r="F1342" s="2">
        <v>125.0</v>
      </c>
      <c r="G1342" s="2">
        <v>173400.0</v>
      </c>
    </row>
    <row r="1343" ht="14.25" customHeight="1">
      <c r="A1343" s="2">
        <v>1342.0</v>
      </c>
      <c r="B1343" s="2" t="s">
        <v>2479</v>
      </c>
      <c r="C1343" s="2" t="s">
        <v>3845</v>
      </c>
      <c r="D1343" s="2">
        <v>182.0</v>
      </c>
      <c r="E1343" s="2">
        <v>1.0</v>
      </c>
      <c r="F1343" s="2">
        <v>110.0</v>
      </c>
      <c r="G1343" s="2">
        <v>173300.0</v>
      </c>
    </row>
    <row r="1344" ht="14.25" customHeight="1">
      <c r="A1344" s="2">
        <v>1343.0</v>
      </c>
      <c r="B1344" s="2" t="s">
        <v>2488</v>
      </c>
      <c r="C1344" s="2" t="s">
        <v>3846</v>
      </c>
      <c r="D1344" s="2">
        <v>333.0</v>
      </c>
      <c r="E1344" s="2">
        <v>1.0</v>
      </c>
      <c r="F1344" s="2">
        <v>80.0</v>
      </c>
      <c r="G1344" s="2">
        <v>173300.0</v>
      </c>
    </row>
    <row r="1345" ht="14.25" customHeight="1">
      <c r="A1345" s="2">
        <v>1344.0</v>
      </c>
      <c r="B1345" s="2" t="s">
        <v>2497</v>
      </c>
      <c r="C1345" s="2" t="s">
        <v>3847</v>
      </c>
      <c r="D1345" s="2">
        <v>151.0</v>
      </c>
      <c r="E1345" s="2">
        <v>1.0</v>
      </c>
      <c r="F1345" s="2">
        <v>150.0</v>
      </c>
      <c r="G1345" s="2">
        <v>173200.0</v>
      </c>
    </row>
    <row r="1346" ht="14.25" customHeight="1">
      <c r="A1346" s="2">
        <v>1345.0</v>
      </c>
      <c r="B1346" s="2" t="s">
        <v>2488</v>
      </c>
      <c r="C1346" s="2" t="s">
        <v>3848</v>
      </c>
      <c r="D1346" s="2">
        <v>333.0</v>
      </c>
      <c r="E1346" s="2">
        <v>1.0</v>
      </c>
      <c r="F1346" s="2">
        <v>70.0</v>
      </c>
      <c r="G1346" s="2">
        <v>173200.0</v>
      </c>
    </row>
    <row r="1347" ht="14.25" customHeight="1">
      <c r="A1347" s="2">
        <v>1346.0</v>
      </c>
      <c r="B1347" s="2" t="s">
        <v>2503</v>
      </c>
      <c r="C1347" s="2" t="s">
        <v>3849</v>
      </c>
      <c r="D1347" s="2">
        <v>105.0</v>
      </c>
      <c r="E1347" s="2">
        <v>1.0</v>
      </c>
      <c r="F1347" s="2">
        <v>132.0</v>
      </c>
      <c r="G1347" s="2">
        <v>173100.0</v>
      </c>
    </row>
    <row r="1348" ht="14.25" customHeight="1">
      <c r="A1348" s="2">
        <v>1347.0</v>
      </c>
      <c r="B1348" s="2" t="s">
        <v>2571</v>
      </c>
      <c r="C1348" s="2" t="s">
        <v>3850</v>
      </c>
      <c r="D1348" s="2">
        <v>185.0</v>
      </c>
      <c r="E1348" s="2">
        <v>1.0</v>
      </c>
      <c r="F1348" s="2">
        <v>100.0</v>
      </c>
      <c r="G1348" s="2">
        <v>173000.0</v>
      </c>
    </row>
    <row r="1349" ht="14.25" customHeight="1">
      <c r="A1349" s="2">
        <v>1348.0</v>
      </c>
      <c r="B1349" s="2" t="s">
        <v>2488</v>
      </c>
      <c r="C1349" s="2" t="s">
        <v>3851</v>
      </c>
      <c r="D1349" s="2">
        <v>333.0</v>
      </c>
      <c r="E1349" s="2">
        <v>1.0</v>
      </c>
      <c r="F1349" s="2">
        <v>100.0</v>
      </c>
      <c r="G1349" s="2">
        <v>173000.0</v>
      </c>
    </row>
    <row r="1350" ht="14.25" customHeight="1">
      <c r="A1350" s="2">
        <v>1349.0</v>
      </c>
      <c r="B1350" s="2" t="s">
        <v>2558</v>
      </c>
      <c r="C1350" s="2" t="s">
        <v>3852</v>
      </c>
      <c r="D1350" s="2">
        <v>357.0</v>
      </c>
      <c r="E1350" s="2">
        <v>1.0</v>
      </c>
      <c r="F1350" s="2">
        <v>66.0</v>
      </c>
      <c r="G1350" s="2">
        <v>173000.0</v>
      </c>
    </row>
    <row r="1351" ht="14.25" customHeight="1">
      <c r="A1351" s="2">
        <v>1350.0</v>
      </c>
      <c r="B1351" s="2" t="s">
        <v>2488</v>
      </c>
      <c r="C1351" s="2" t="s">
        <v>3853</v>
      </c>
      <c r="D1351" s="2">
        <v>333.0</v>
      </c>
      <c r="E1351" s="2">
        <v>1.0</v>
      </c>
      <c r="F1351" s="2">
        <v>90.0</v>
      </c>
      <c r="G1351" s="2">
        <v>172900.0</v>
      </c>
    </row>
    <row r="1352" ht="14.25" customHeight="1">
      <c r="A1352" s="2">
        <v>1351.0</v>
      </c>
      <c r="B1352" s="2" t="s">
        <v>2488</v>
      </c>
      <c r="C1352" s="2" t="s">
        <v>3854</v>
      </c>
      <c r="D1352" s="2">
        <v>333.0</v>
      </c>
      <c r="E1352" s="2">
        <v>1.0</v>
      </c>
      <c r="F1352" s="2">
        <v>75.0</v>
      </c>
      <c r="G1352" s="2">
        <v>172900.0</v>
      </c>
    </row>
    <row r="1353" ht="14.25" customHeight="1">
      <c r="A1353" s="2">
        <v>1352.0</v>
      </c>
      <c r="B1353" s="2" t="s">
        <v>2558</v>
      </c>
      <c r="C1353" s="2" t="s">
        <v>3855</v>
      </c>
      <c r="D1353" s="2">
        <v>357.0</v>
      </c>
      <c r="E1353" s="2">
        <v>1.0</v>
      </c>
      <c r="F1353" s="2">
        <v>66.0</v>
      </c>
      <c r="G1353" s="2">
        <v>172900.0</v>
      </c>
    </row>
    <row r="1354" ht="14.25" customHeight="1">
      <c r="A1354" s="2">
        <v>1353.0</v>
      </c>
      <c r="B1354" s="2" t="s">
        <v>2582</v>
      </c>
      <c r="C1354" s="2" t="s">
        <v>3856</v>
      </c>
      <c r="D1354" s="2">
        <v>183.0</v>
      </c>
      <c r="E1354" s="2">
        <v>1.0</v>
      </c>
      <c r="F1354" s="2">
        <v>100.0</v>
      </c>
      <c r="G1354" s="2">
        <v>172800.0</v>
      </c>
    </row>
    <row r="1355" ht="14.25" customHeight="1">
      <c r="A1355" s="2">
        <v>1354.0</v>
      </c>
      <c r="B1355" s="2" t="s">
        <v>2501</v>
      </c>
      <c r="C1355" s="2" t="s">
        <v>3857</v>
      </c>
      <c r="D1355" s="2">
        <v>199.0</v>
      </c>
      <c r="E1355" s="2">
        <v>1.0</v>
      </c>
      <c r="F1355" s="2">
        <v>100.0</v>
      </c>
      <c r="G1355" s="2">
        <v>172800.0</v>
      </c>
    </row>
    <row r="1356" ht="14.25" customHeight="1">
      <c r="A1356" s="2">
        <v>1355.0</v>
      </c>
      <c r="B1356" s="2" t="s">
        <v>2477</v>
      </c>
      <c r="C1356" s="2" t="s">
        <v>3858</v>
      </c>
      <c r="D1356" s="2">
        <v>152.0</v>
      </c>
      <c r="E1356" s="2">
        <v>1.0</v>
      </c>
      <c r="F1356" s="2">
        <v>100.0</v>
      </c>
      <c r="G1356" s="2">
        <v>172700.0</v>
      </c>
    </row>
    <row r="1357" ht="14.25" customHeight="1">
      <c r="A1357" s="2">
        <v>1356.0</v>
      </c>
      <c r="B1357" s="2" t="s">
        <v>2571</v>
      </c>
      <c r="C1357" s="2" t="s">
        <v>3859</v>
      </c>
      <c r="D1357" s="2">
        <v>185.0</v>
      </c>
      <c r="E1357" s="2">
        <v>1.0</v>
      </c>
      <c r="F1357" s="2">
        <v>66.0</v>
      </c>
      <c r="G1357" s="2">
        <v>172700.0</v>
      </c>
    </row>
    <row r="1358" ht="14.25" customHeight="1">
      <c r="A1358" s="2">
        <v>1357.0</v>
      </c>
      <c r="B1358" s="2" t="s">
        <v>2651</v>
      </c>
      <c r="C1358" s="2" t="s">
        <v>3860</v>
      </c>
      <c r="D1358" s="2">
        <v>347.0</v>
      </c>
      <c r="E1358" s="2">
        <v>1.0</v>
      </c>
      <c r="F1358" s="2">
        <v>75.0</v>
      </c>
      <c r="G1358" s="2">
        <v>172600.0</v>
      </c>
    </row>
    <row r="1359" ht="14.25" customHeight="1">
      <c r="A1359" s="2">
        <v>1358.0</v>
      </c>
      <c r="B1359" s="2" t="s">
        <v>2512</v>
      </c>
      <c r="C1359" s="2" t="s">
        <v>3861</v>
      </c>
      <c r="D1359" s="2">
        <v>153.0</v>
      </c>
      <c r="E1359" s="2">
        <v>1.0</v>
      </c>
      <c r="F1359" s="2">
        <v>65.0</v>
      </c>
      <c r="G1359" s="2">
        <v>172500.0</v>
      </c>
    </row>
    <row r="1360" ht="14.25" customHeight="1">
      <c r="A1360" s="2">
        <v>1359.0</v>
      </c>
      <c r="B1360" s="2" t="s">
        <v>2534</v>
      </c>
      <c r="C1360" s="2" t="s">
        <v>3862</v>
      </c>
      <c r="D1360" s="2">
        <v>188.0</v>
      </c>
      <c r="E1360" s="2">
        <v>1.0</v>
      </c>
      <c r="F1360" s="2">
        <v>130.0</v>
      </c>
      <c r="G1360" s="2">
        <v>172500.0</v>
      </c>
    </row>
    <row r="1361" ht="14.25" customHeight="1">
      <c r="A1361" s="2">
        <v>1360.0</v>
      </c>
      <c r="B1361" s="2" t="s">
        <v>2501</v>
      </c>
      <c r="C1361" s="2" t="s">
        <v>3863</v>
      </c>
      <c r="D1361" s="2">
        <v>199.0</v>
      </c>
      <c r="E1361" s="2">
        <v>1.0</v>
      </c>
      <c r="F1361" s="2">
        <v>54.0</v>
      </c>
      <c r="G1361" s="2">
        <v>172300.0</v>
      </c>
    </row>
    <row r="1362" ht="14.25" customHeight="1">
      <c r="A1362" s="2">
        <v>1361.0</v>
      </c>
      <c r="B1362" s="2" t="s">
        <v>2505</v>
      </c>
      <c r="C1362" s="2" t="s">
        <v>3864</v>
      </c>
      <c r="D1362" s="2">
        <v>429.0</v>
      </c>
      <c r="E1362" s="2">
        <v>1.0</v>
      </c>
      <c r="F1362" s="2">
        <v>70.0</v>
      </c>
      <c r="G1362" s="2">
        <v>172200.0</v>
      </c>
    </row>
    <row r="1363" ht="14.25" customHeight="1">
      <c r="A1363" s="2">
        <v>1362.0</v>
      </c>
      <c r="B1363" s="2" t="s">
        <v>2491</v>
      </c>
      <c r="C1363" s="2" t="s">
        <v>3865</v>
      </c>
      <c r="D1363" s="2">
        <v>116.0</v>
      </c>
      <c r="E1363" s="2">
        <v>1.0</v>
      </c>
      <c r="F1363" s="2">
        <v>54.0</v>
      </c>
      <c r="G1363" s="2">
        <v>172100.0</v>
      </c>
    </row>
    <row r="1364" ht="14.25" customHeight="1">
      <c r="A1364" s="2">
        <v>1363.0</v>
      </c>
      <c r="B1364" s="2" t="s">
        <v>2636</v>
      </c>
      <c r="C1364" s="2" t="s">
        <v>3866</v>
      </c>
      <c r="D1364" s="2">
        <v>145.0</v>
      </c>
      <c r="E1364" s="2">
        <v>1.0</v>
      </c>
      <c r="F1364" s="2">
        <v>250.0</v>
      </c>
      <c r="G1364" s="2">
        <v>172100.0</v>
      </c>
    </row>
    <row r="1365" ht="14.25" customHeight="1">
      <c r="A1365" s="2">
        <v>1364.0</v>
      </c>
      <c r="B1365" s="2" t="s">
        <v>2686</v>
      </c>
      <c r="C1365" s="2" t="s">
        <v>3867</v>
      </c>
      <c r="D1365" s="2">
        <v>127.0</v>
      </c>
      <c r="E1365" s="2">
        <v>1.0</v>
      </c>
      <c r="F1365" s="2">
        <v>60.0</v>
      </c>
      <c r="G1365" s="2">
        <v>172000.0</v>
      </c>
    </row>
    <row r="1366" ht="14.25" customHeight="1">
      <c r="A1366" s="2">
        <v>1365.0</v>
      </c>
      <c r="B1366" s="2" t="s">
        <v>2512</v>
      </c>
      <c r="C1366" s="2" t="s">
        <v>3868</v>
      </c>
      <c r="D1366" s="2">
        <v>153.0</v>
      </c>
      <c r="E1366" s="2">
        <v>1.0</v>
      </c>
      <c r="F1366" s="2">
        <v>62.5</v>
      </c>
      <c r="G1366" s="2">
        <v>172000.0</v>
      </c>
    </row>
    <row r="1367" ht="14.25" customHeight="1">
      <c r="A1367" s="2">
        <v>1366.0</v>
      </c>
      <c r="B1367" s="2" t="s">
        <v>2582</v>
      </c>
      <c r="C1367" s="2" t="s">
        <v>3869</v>
      </c>
      <c r="D1367" s="2">
        <v>183.0</v>
      </c>
      <c r="E1367" s="2">
        <v>1.0</v>
      </c>
      <c r="F1367" s="2">
        <v>90.0</v>
      </c>
      <c r="G1367" s="2">
        <v>172000.0</v>
      </c>
    </row>
    <row r="1368" ht="14.25" customHeight="1">
      <c r="A1368" s="2">
        <v>1367.0</v>
      </c>
      <c r="B1368" s="2" t="s">
        <v>2576</v>
      </c>
      <c r="C1368" s="2" t="s">
        <v>3870</v>
      </c>
      <c r="D1368" s="2">
        <v>197.0</v>
      </c>
      <c r="E1368" s="2">
        <v>1.0</v>
      </c>
      <c r="F1368" s="2">
        <v>132.0</v>
      </c>
      <c r="G1368" s="2">
        <v>172000.0</v>
      </c>
    </row>
    <row r="1369" ht="14.25" customHeight="1">
      <c r="A1369" s="2">
        <v>1368.0</v>
      </c>
      <c r="B1369" s="2" t="s">
        <v>2576</v>
      </c>
      <c r="C1369" s="2" t="s">
        <v>3871</v>
      </c>
      <c r="D1369" s="2">
        <v>197.0</v>
      </c>
      <c r="E1369" s="2">
        <v>1.0</v>
      </c>
      <c r="F1369" s="2">
        <v>70.0</v>
      </c>
      <c r="G1369" s="2">
        <v>172000.0</v>
      </c>
    </row>
    <row r="1370" ht="14.25" customHeight="1">
      <c r="A1370" s="2">
        <v>1369.0</v>
      </c>
      <c r="B1370" s="2" t="s">
        <v>2686</v>
      </c>
      <c r="C1370" s="2" t="s">
        <v>3872</v>
      </c>
      <c r="D1370" s="2">
        <v>127.0</v>
      </c>
      <c r="E1370" s="2">
        <v>1.0</v>
      </c>
      <c r="F1370" s="2">
        <v>99.0</v>
      </c>
      <c r="G1370" s="2">
        <v>171900.0</v>
      </c>
    </row>
    <row r="1371" ht="14.25" customHeight="1">
      <c r="A1371" s="2">
        <v>1370.0</v>
      </c>
      <c r="B1371" s="2" t="s">
        <v>2512</v>
      </c>
      <c r="C1371" s="2" t="s">
        <v>3873</v>
      </c>
      <c r="D1371" s="2">
        <v>153.0</v>
      </c>
      <c r="E1371" s="2">
        <v>1.0</v>
      </c>
      <c r="F1371" s="2">
        <v>100.0</v>
      </c>
      <c r="G1371" s="2">
        <v>171800.0</v>
      </c>
    </row>
    <row r="1372" ht="14.25" customHeight="1">
      <c r="A1372" s="2">
        <v>1371.0</v>
      </c>
      <c r="B1372" s="2" t="s">
        <v>2488</v>
      </c>
      <c r="C1372" s="2" t="s">
        <v>3874</v>
      </c>
      <c r="D1372" s="2">
        <v>333.0</v>
      </c>
      <c r="E1372" s="2">
        <v>1.0</v>
      </c>
      <c r="F1372" s="2">
        <v>55.0</v>
      </c>
      <c r="G1372" s="2">
        <v>171600.0</v>
      </c>
    </row>
    <row r="1373" ht="14.25" customHeight="1">
      <c r="A1373" s="2">
        <v>1372.0</v>
      </c>
      <c r="B1373" s="2" t="s">
        <v>2491</v>
      </c>
      <c r="C1373" s="2" t="s">
        <v>3875</v>
      </c>
      <c r="D1373" s="2">
        <v>116.0</v>
      </c>
      <c r="E1373" s="2">
        <v>1.0</v>
      </c>
      <c r="F1373" s="2">
        <v>100.0</v>
      </c>
      <c r="G1373" s="2">
        <v>171500.0</v>
      </c>
    </row>
    <row r="1374" ht="14.25" customHeight="1">
      <c r="A1374" s="2">
        <v>1373.0</v>
      </c>
      <c r="B1374" s="2" t="s">
        <v>2594</v>
      </c>
      <c r="C1374" s="2" t="s">
        <v>3876</v>
      </c>
      <c r="D1374" s="2">
        <v>184.0</v>
      </c>
      <c r="E1374" s="2">
        <v>1.0</v>
      </c>
      <c r="F1374" s="2">
        <v>66.0</v>
      </c>
      <c r="G1374" s="2">
        <v>171500.0</v>
      </c>
    </row>
    <row r="1375" ht="14.25" customHeight="1">
      <c r="A1375" s="2">
        <v>1374.0</v>
      </c>
      <c r="B1375" s="2" t="s">
        <v>2636</v>
      </c>
      <c r="C1375" s="2" t="s">
        <v>3877</v>
      </c>
      <c r="D1375" s="2">
        <v>145.0</v>
      </c>
      <c r="E1375" s="2">
        <v>1.0</v>
      </c>
      <c r="F1375" s="2">
        <v>100.0</v>
      </c>
      <c r="G1375" s="2">
        <v>171400.0</v>
      </c>
    </row>
    <row r="1376" ht="14.25" customHeight="1">
      <c r="A1376" s="2">
        <v>1375.0</v>
      </c>
      <c r="B1376" s="2" t="s">
        <v>2488</v>
      </c>
      <c r="C1376" s="2" t="s">
        <v>3878</v>
      </c>
      <c r="D1376" s="2">
        <v>333.0</v>
      </c>
      <c r="E1376" s="2">
        <v>1.0</v>
      </c>
      <c r="F1376" s="2">
        <v>75.0</v>
      </c>
      <c r="G1376" s="2">
        <v>171400.0</v>
      </c>
    </row>
    <row r="1377" ht="14.25" customHeight="1">
      <c r="A1377" s="2">
        <v>1376.0</v>
      </c>
      <c r="B1377" s="2" t="s">
        <v>2497</v>
      </c>
      <c r="C1377" s="2" t="s">
        <v>3879</v>
      </c>
      <c r="D1377" s="2">
        <v>151.0</v>
      </c>
      <c r="E1377" s="2">
        <v>1.0</v>
      </c>
      <c r="F1377" s="2">
        <v>50.0</v>
      </c>
      <c r="G1377" s="2">
        <v>171300.0</v>
      </c>
    </row>
    <row r="1378" ht="14.25" customHeight="1">
      <c r="A1378" s="2">
        <v>1377.0</v>
      </c>
      <c r="B1378" s="2" t="s">
        <v>2488</v>
      </c>
      <c r="C1378" s="2" t="s">
        <v>3880</v>
      </c>
      <c r="D1378" s="2">
        <v>333.0</v>
      </c>
      <c r="E1378" s="2">
        <v>1.0</v>
      </c>
      <c r="F1378" s="2">
        <v>75.0</v>
      </c>
      <c r="G1378" s="2">
        <v>171300.0</v>
      </c>
    </row>
    <row r="1379" ht="14.25" customHeight="1">
      <c r="A1379" s="2">
        <v>1378.0</v>
      </c>
      <c r="B1379" s="2" t="s">
        <v>2651</v>
      </c>
      <c r="C1379" s="2" t="s">
        <v>3881</v>
      </c>
      <c r="D1379" s="2">
        <v>347.0</v>
      </c>
      <c r="E1379" s="2">
        <v>1.0</v>
      </c>
      <c r="F1379" s="2">
        <v>85.0</v>
      </c>
      <c r="G1379" s="2">
        <v>171300.0</v>
      </c>
    </row>
    <row r="1380" ht="14.25" customHeight="1">
      <c r="A1380" s="2">
        <v>1379.0</v>
      </c>
      <c r="B1380" s="2" t="s">
        <v>2501</v>
      </c>
      <c r="C1380" s="2" t="s">
        <v>3882</v>
      </c>
      <c r="D1380" s="2">
        <v>199.0</v>
      </c>
      <c r="E1380" s="2">
        <v>1.0</v>
      </c>
      <c r="F1380" s="2">
        <v>75.0</v>
      </c>
      <c r="G1380" s="2">
        <v>171200.0</v>
      </c>
    </row>
    <row r="1381" ht="14.25" customHeight="1">
      <c r="A1381" s="2">
        <v>1380.0</v>
      </c>
      <c r="B1381" s="2" t="s">
        <v>2475</v>
      </c>
      <c r="C1381" s="2" t="s">
        <v>3883</v>
      </c>
      <c r="D1381" s="2">
        <v>143.0</v>
      </c>
      <c r="E1381" s="2">
        <v>1.0</v>
      </c>
      <c r="F1381" s="2">
        <v>85.0</v>
      </c>
      <c r="G1381" s="2">
        <v>171100.0</v>
      </c>
    </row>
    <row r="1382" ht="14.25" customHeight="1">
      <c r="A1382" s="2">
        <v>1381.0</v>
      </c>
      <c r="B1382" s="2" t="s">
        <v>2512</v>
      </c>
      <c r="C1382" s="2" t="s">
        <v>3884</v>
      </c>
      <c r="D1382" s="2">
        <v>153.0</v>
      </c>
      <c r="E1382" s="2">
        <v>1.0</v>
      </c>
      <c r="F1382" s="2">
        <v>100.0</v>
      </c>
      <c r="G1382" s="2">
        <v>171100.0</v>
      </c>
    </row>
    <row r="1383" ht="14.25" customHeight="1">
      <c r="A1383" s="2">
        <v>1382.0</v>
      </c>
      <c r="B1383" s="2" t="s">
        <v>2553</v>
      </c>
      <c r="C1383" s="2" t="s">
        <v>3885</v>
      </c>
      <c r="D1383" s="2">
        <v>187.0</v>
      </c>
      <c r="E1383" s="2">
        <v>1.0</v>
      </c>
      <c r="F1383" s="2">
        <v>100.0</v>
      </c>
      <c r="G1383" s="2">
        <v>171100.0</v>
      </c>
    </row>
    <row r="1384" ht="14.25" customHeight="1">
      <c r="A1384" s="2">
        <v>1383.0</v>
      </c>
      <c r="B1384" s="2" t="s">
        <v>2604</v>
      </c>
      <c r="C1384" s="2" t="s">
        <v>3886</v>
      </c>
      <c r="D1384" s="2">
        <v>200.0</v>
      </c>
      <c r="E1384" s="2">
        <v>1.0</v>
      </c>
      <c r="F1384" s="2">
        <v>75.0</v>
      </c>
      <c r="G1384" s="2">
        <v>171000.0</v>
      </c>
    </row>
    <row r="1385" ht="14.25" customHeight="1">
      <c r="A1385" s="2">
        <v>1384.0</v>
      </c>
      <c r="B1385" s="2" t="s">
        <v>2497</v>
      </c>
      <c r="C1385" s="2" t="s">
        <v>3887</v>
      </c>
      <c r="D1385" s="2">
        <v>151.0</v>
      </c>
      <c r="E1385" s="2">
        <v>1.0</v>
      </c>
      <c r="F1385" s="2">
        <v>100.0</v>
      </c>
      <c r="G1385" s="2">
        <v>170900.0</v>
      </c>
    </row>
    <row r="1386" ht="14.25" customHeight="1">
      <c r="A1386" s="2">
        <v>1385.0</v>
      </c>
      <c r="B1386" s="2" t="s">
        <v>2477</v>
      </c>
      <c r="C1386" s="2" t="s">
        <v>3888</v>
      </c>
      <c r="D1386" s="2">
        <v>152.0</v>
      </c>
      <c r="E1386" s="2">
        <v>1.0</v>
      </c>
      <c r="F1386" s="2">
        <v>120.0</v>
      </c>
      <c r="G1386" s="2">
        <v>170800.0</v>
      </c>
    </row>
    <row r="1387" ht="14.25" customHeight="1">
      <c r="A1387" s="2">
        <v>1386.0</v>
      </c>
      <c r="B1387" s="2" t="s">
        <v>2512</v>
      </c>
      <c r="C1387" s="2" t="s">
        <v>3889</v>
      </c>
      <c r="D1387" s="2">
        <v>153.0</v>
      </c>
      <c r="E1387" s="2">
        <v>1.0</v>
      </c>
      <c r="F1387" s="2">
        <v>100.0</v>
      </c>
      <c r="G1387" s="2">
        <v>170800.0</v>
      </c>
    </row>
    <row r="1388" ht="14.25" customHeight="1">
      <c r="A1388" s="2">
        <v>1387.0</v>
      </c>
      <c r="B1388" s="2" t="s">
        <v>2594</v>
      </c>
      <c r="C1388" s="2" t="s">
        <v>3890</v>
      </c>
      <c r="D1388" s="2">
        <v>184.0</v>
      </c>
      <c r="E1388" s="2">
        <v>1.0</v>
      </c>
      <c r="F1388" s="2">
        <v>100.0</v>
      </c>
      <c r="G1388" s="2">
        <v>170800.0</v>
      </c>
    </row>
    <row r="1389" ht="14.25" customHeight="1">
      <c r="A1389" s="2">
        <v>1388.0</v>
      </c>
      <c r="B1389" s="2" t="s">
        <v>2488</v>
      </c>
      <c r="C1389" s="2" t="s">
        <v>3891</v>
      </c>
      <c r="D1389" s="2">
        <v>333.0</v>
      </c>
      <c r="E1389" s="2">
        <v>1.0</v>
      </c>
      <c r="F1389" s="2">
        <v>75.0</v>
      </c>
      <c r="G1389" s="2">
        <v>170500.0</v>
      </c>
    </row>
    <row r="1390" ht="14.25" customHeight="1">
      <c r="A1390" s="2">
        <v>1389.0</v>
      </c>
      <c r="B1390" s="2" t="s">
        <v>2518</v>
      </c>
      <c r="C1390" s="2" t="s">
        <v>3892</v>
      </c>
      <c r="D1390" s="2">
        <v>161.0</v>
      </c>
      <c r="E1390" s="2">
        <v>1.0</v>
      </c>
      <c r="F1390" s="2">
        <v>75.0</v>
      </c>
      <c r="G1390" s="2">
        <v>170300.0</v>
      </c>
    </row>
    <row r="1391" ht="14.25" customHeight="1">
      <c r="A1391" s="2">
        <v>1390.0</v>
      </c>
      <c r="B1391" s="2" t="s">
        <v>2561</v>
      </c>
      <c r="C1391" s="2" t="s">
        <v>3893</v>
      </c>
      <c r="D1391" s="2">
        <v>162.0</v>
      </c>
      <c r="E1391" s="2">
        <v>1.0</v>
      </c>
      <c r="F1391" s="2">
        <v>100.0</v>
      </c>
      <c r="G1391" s="2">
        <v>170300.0</v>
      </c>
    </row>
    <row r="1392" ht="14.25" customHeight="1">
      <c r="A1392" s="2">
        <v>1391.0</v>
      </c>
      <c r="B1392" s="2" t="s">
        <v>2582</v>
      </c>
      <c r="C1392" s="2" t="s">
        <v>3894</v>
      </c>
      <c r="D1392" s="2">
        <v>183.0</v>
      </c>
      <c r="E1392" s="2">
        <v>1.0</v>
      </c>
      <c r="F1392" s="2">
        <v>125.0</v>
      </c>
      <c r="G1392" s="2">
        <v>170300.0</v>
      </c>
    </row>
    <row r="1393" ht="14.25" customHeight="1">
      <c r="A1393" s="2">
        <v>1392.0</v>
      </c>
      <c r="B1393" s="2" t="s">
        <v>2534</v>
      </c>
      <c r="C1393" s="2" t="s">
        <v>3895</v>
      </c>
      <c r="D1393" s="2">
        <v>188.0</v>
      </c>
      <c r="E1393" s="2">
        <v>1.0</v>
      </c>
      <c r="F1393" s="2">
        <v>75.0</v>
      </c>
      <c r="G1393" s="2">
        <v>170300.0</v>
      </c>
    </row>
    <row r="1394" ht="14.25" customHeight="1">
      <c r="A1394" s="2">
        <v>1393.0</v>
      </c>
      <c r="B1394" s="2" t="s">
        <v>2541</v>
      </c>
      <c r="C1394" s="2" t="s">
        <v>3896</v>
      </c>
      <c r="D1394" s="2">
        <v>195.0</v>
      </c>
      <c r="E1394" s="2">
        <v>1.0</v>
      </c>
      <c r="F1394" s="2">
        <v>100.0</v>
      </c>
      <c r="G1394" s="2">
        <v>170300.0</v>
      </c>
    </row>
    <row r="1395" ht="14.25" customHeight="1">
      <c r="A1395" s="2">
        <v>1394.0</v>
      </c>
      <c r="B1395" s="2" t="s">
        <v>2512</v>
      </c>
      <c r="C1395" s="2" t="s">
        <v>3897</v>
      </c>
      <c r="D1395" s="2">
        <v>153.0</v>
      </c>
      <c r="E1395" s="2">
        <v>1.0</v>
      </c>
      <c r="F1395" s="2">
        <v>85.0</v>
      </c>
      <c r="G1395" s="2">
        <v>170200.0</v>
      </c>
    </row>
    <row r="1396" ht="14.25" customHeight="1">
      <c r="A1396" s="2">
        <v>1395.0</v>
      </c>
      <c r="B1396" s="2" t="s">
        <v>2518</v>
      </c>
      <c r="C1396" s="2" t="s">
        <v>3898</v>
      </c>
      <c r="D1396" s="2">
        <v>161.0</v>
      </c>
      <c r="E1396" s="2">
        <v>1.0</v>
      </c>
      <c r="F1396" s="2">
        <v>75.0</v>
      </c>
      <c r="G1396" s="2">
        <v>170200.0</v>
      </c>
    </row>
    <row r="1397" ht="14.25" customHeight="1">
      <c r="A1397" s="2">
        <v>1396.0</v>
      </c>
      <c r="B1397" s="2" t="s">
        <v>2518</v>
      </c>
      <c r="C1397" s="2" t="s">
        <v>3899</v>
      </c>
      <c r="D1397" s="2">
        <v>161.0</v>
      </c>
      <c r="E1397" s="2">
        <v>1.0</v>
      </c>
      <c r="F1397" s="2">
        <v>50.0</v>
      </c>
      <c r="G1397" s="2">
        <v>170200.0</v>
      </c>
    </row>
    <row r="1398" ht="14.25" customHeight="1">
      <c r="A1398" s="2">
        <v>1397.0</v>
      </c>
      <c r="B1398" s="2" t="s">
        <v>2512</v>
      </c>
      <c r="C1398" s="2" t="s">
        <v>3900</v>
      </c>
      <c r="D1398" s="2">
        <v>153.0</v>
      </c>
      <c r="E1398" s="2">
        <v>1.0</v>
      </c>
      <c r="F1398" s="2">
        <v>100.0</v>
      </c>
      <c r="G1398" s="2">
        <v>170100.0</v>
      </c>
    </row>
    <row r="1399" ht="14.25" customHeight="1">
      <c r="A1399" s="2">
        <v>1398.0</v>
      </c>
      <c r="B1399" s="2" t="s">
        <v>2744</v>
      </c>
      <c r="C1399" s="2" t="s">
        <v>3901</v>
      </c>
      <c r="D1399" s="2">
        <v>169.0</v>
      </c>
      <c r="E1399" s="2">
        <v>1.0</v>
      </c>
      <c r="F1399" s="2">
        <v>70.0</v>
      </c>
      <c r="G1399" s="2">
        <v>170100.0</v>
      </c>
    </row>
    <row r="1400" ht="14.25" customHeight="1">
      <c r="A1400" s="2">
        <v>1399.0</v>
      </c>
      <c r="B1400" s="2" t="s">
        <v>2505</v>
      </c>
      <c r="C1400" s="2" t="s">
        <v>3902</v>
      </c>
      <c r="D1400" s="2">
        <v>429.0</v>
      </c>
      <c r="E1400" s="2">
        <v>1.0</v>
      </c>
      <c r="F1400" s="2">
        <v>125.0</v>
      </c>
      <c r="G1400" s="2">
        <v>170100.0</v>
      </c>
    </row>
    <row r="1401" ht="14.25" customHeight="1">
      <c r="A1401" s="2">
        <v>1400.0</v>
      </c>
      <c r="B1401" s="2" t="s">
        <v>2686</v>
      </c>
      <c r="C1401" s="2" t="s">
        <v>3903</v>
      </c>
      <c r="D1401" s="2">
        <v>127.0</v>
      </c>
      <c r="E1401" s="2">
        <v>1.0</v>
      </c>
      <c r="F1401" s="2">
        <v>90.0</v>
      </c>
      <c r="G1401" s="2">
        <v>170000.0</v>
      </c>
    </row>
    <row r="1402" ht="14.25" customHeight="1">
      <c r="A1402" s="2">
        <v>1401.0</v>
      </c>
      <c r="B1402" s="2" t="s">
        <v>2636</v>
      </c>
      <c r="C1402" s="2" t="s">
        <v>3904</v>
      </c>
      <c r="D1402" s="2">
        <v>145.0</v>
      </c>
      <c r="E1402" s="2">
        <v>1.0</v>
      </c>
      <c r="F1402" s="2">
        <v>100.0</v>
      </c>
      <c r="G1402" s="2">
        <v>169900.0</v>
      </c>
    </row>
    <row r="1403" ht="14.25" customHeight="1">
      <c r="A1403" s="2">
        <v>1402.0</v>
      </c>
      <c r="B1403" s="2" t="s">
        <v>2534</v>
      </c>
      <c r="C1403" s="2" t="s">
        <v>3905</v>
      </c>
      <c r="D1403" s="2">
        <v>188.0</v>
      </c>
      <c r="E1403" s="2">
        <v>1.0</v>
      </c>
      <c r="F1403" s="2">
        <v>80.0</v>
      </c>
      <c r="G1403" s="2">
        <v>169900.0</v>
      </c>
    </row>
    <row r="1404" ht="14.25" customHeight="1">
      <c r="A1404" s="2">
        <v>1403.0</v>
      </c>
      <c r="B1404" s="2" t="s">
        <v>2524</v>
      </c>
      <c r="C1404" s="2" t="s">
        <v>3906</v>
      </c>
      <c r="D1404" s="2">
        <v>331.0</v>
      </c>
      <c r="E1404" s="2">
        <v>1.0</v>
      </c>
      <c r="F1404" s="2">
        <v>150.0</v>
      </c>
      <c r="G1404" s="2">
        <v>169900.0</v>
      </c>
    </row>
    <row r="1405" ht="14.25" customHeight="1">
      <c r="A1405" s="2">
        <v>1404.0</v>
      </c>
      <c r="B1405" s="2" t="s">
        <v>2497</v>
      </c>
      <c r="C1405" s="2" t="s">
        <v>3907</v>
      </c>
      <c r="D1405" s="2">
        <v>151.0</v>
      </c>
      <c r="E1405" s="2">
        <v>1.0</v>
      </c>
      <c r="F1405" s="2">
        <v>100.0</v>
      </c>
      <c r="G1405" s="2">
        <v>169800.0</v>
      </c>
    </row>
    <row r="1406" ht="14.25" customHeight="1">
      <c r="A1406" s="2">
        <v>1405.0</v>
      </c>
      <c r="B1406" s="2" t="s">
        <v>2512</v>
      </c>
      <c r="C1406" s="2" t="s">
        <v>3908</v>
      </c>
      <c r="D1406" s="2">
        <v>153.0</v>
      </c>
      <c r="E1406" s="2">
        <v>1.0</v>
      </c>
      <c r="F1406" s="2">
        <v>100.0</v>
      </c>
      <c r="G1406" s="2">
        <v>169800.0</v>
      </c>
    </row>
    <row r="1407" ht="14.25" customHeight="1">
      <c r="A1407" s="2">
        <v>1406.0</v>
      </c>
      <c r="B1407" s="2" t="s">
        <v>2479</v>
      </c>
      <c r="C1407" s="2" t="s">
        <v>3909</v>
      </c>
      <c r="D1407" s="2">
        <v>182.0</v>
      </c>
      <c r="E1407" s="2">
        <v>1.0</v>
      </c>
      <c r="F1407" s="2">
        <v>50.0</v>
      </c>
      <c r="G1407" s="2">
        <v>169800.0</v>
      </c>
    </row>
    <row r="1408" ht="14.25" customHeight="1">
      <c r="A1408" s="2">
        <v>1407.0</v>
      </c>
      <c r="B1408" s="2" t="s">
        <v>2479</v>
      </c>
      <c r="C1408" s="2" t="s">
        <v>3910</v>
      </c>
      <c r="D1408" s="2">
        <v>182.0</v>
      </c>
      <c r="E1408" s="2">
        <v>1.0</v>
      </c>
      <c r="F1408" s="2">
        <v>50.0</v>
      </c>
      <c r="G1408" s="2">
        <v>169800.0</v>
      </c>
    </row>
    <row r="1409" ht="14.25" customHeight="1">
      <c r="A1409" s="2">
        <v>1408.0</v>
      </c>
      <c r="B1409" s="2" t="s">
        <v>2744</v>
      </c>
      <c r="C1409" s="2" t="s">
        <v>3911</v>
      </c>
      <c r="D1409" s="2">
        <v>169.0</v>
      </c>
      <c r="E1409" s="2">
        <v>1.0</v>
      </c>
      <c r="F1409" s="2">
        <v>65.0</v>
      </c>
      <c r="G1409" s="2">
        <v>169600.0</v>
      </c>
    </row>
    <row r="1410" ht="14.25" customHeight="1">
      <c r="A1410" s="2">
        <v>1409.0</v>
      </c>
      <c r="B1410" s="2" t="s">
        <v>2479</v>
      </c>
      <c r="C1410" s="2" t="s">
        <v>3912</v>
      </c>
      <c r="D1410" s="2">
        <v>182.0</v>
      </c>
      <c r="E1410" s="2">
        <v>1.0</v>
      </c>
      <c r="F1410" s="2">
        <v>100.0</v>
      </c>
      <c r="G1410" s="2">
        <v>169600.0</v>
      </c>
    </row>
    <row r="1411" ht="14.25" customHeight="1">
      <c r="A1411" s="2">
        <v>1410.0</v>
      </c>
      <c r="B1411" s="2" t="s">
        <v>2553</v>
      </c>
      <c r="C1411" s="2" t="s">
        <v>3913</v>
      </c>
      <c r="D1411" s="2">
        <v>187.0</v>
      </c>
      <c r="E1411" s="2">
        <v>1.0</v>
      </c>
      <c r="F1411" s="2">
        <v>100.0</v>
      </c>
      <c r="G1411" s="2">
        <v>169500.0</v>
      </c>
    </row>
    <row r="1412" ht="14.25" customHeight="1">
      <c r="A1412" s="2">
        <v>1411.0</v>
      </c>
      <c r="B1412" s="2" t="s">
        <v>2686</v>
      </c>
      <c r="C1412" s="2" t="s">
        <v>3914</v>
      </c>
      <c r="D1412" s="2">
        <v>127.0</v>
      </c>
      <c r="E1412" s="2">
        <v>1.0</v>
      </c>
      <c r="F1412" s="2">
        <v>120.0</v>
      </c>
      <c r="G1412" s="2">
        <v>169400.0</v>
      </c>
    </row>
    <row r="1413" ht="14.25" customHeight="1">
      <c r="A1413" s="2">
        <v>1412.0</v>
      </c>
      <c r="B1413" s="2" t="s">
        <v>2558</v>
      </c>
      <c r="C1413" s="2" t="s">
        <v>3915</v>
      </c>
      <c r="D1413" s="2">
        <v>357.0</v>
      </c>
      <c r="E1413" s="2">
        <v>1.0</v>
      </c>
      <c r="F1413" s="2">
        <v>100.0</v>
      </c>
      <c r="G1413" s="2">
        <v>169300.0</v>
      </c>
    </row>
    <row r="1414" ht="14.25" customHeight="1">
      <c r="A1414" s="2">
        <v>1413.0</v>
      </c>
      <c r="B1414" s="2" t="s">
        <v>2479</v>
      </c>
      <c r="C1414" s="2" t="s">
        <v>3916</v>
      </c>
      <c r="D1414" s="2">
        <v>182.0</v>
      </c>
      <c r="E1414" s="2">
        <v>1.0</v>
      </c>
      <c r="F1414" s="2">
        <v>150.0</v>
      </c>
      <c r="G1414" s="2">
        <v>169200.0</v>
      </c>
    </row>
    <row r="1415" ht="14.25" customHeight="1">
      <c r="A1415" s="2">
        <v>1414.0</v>
      </c>
      <c r="B1415" s="2" t="s">
        <v>2582</v>
      </c>
      <c r="C1415" s="2" t="s">
        <v>3917</v>
      </c>
      <c r="D1415" s="2">
        <v>183.0</v>
      </c>
      <c r="E1415" s="2">
        <v>1.0</v>
      </c>
      <c r="F1415" s="2">
        <v>60.0</v>
      </c>
      <c r="G1415" s="2">
        <v>169200.0</v>
      </c>
    </row>
    <row r="1416" ht="14.25" customHeight="1">
      <c r="A1416" s="2">
        <v>1415.0</v>
      </c>
      <c r="B1416" s="2" t="s">
        <v>2571</v>
      </c>
      <c r="C1416" s="2" t="s">
        <v>3918</v>
      </c>
      <c r="D1416" s="2">
        <v>185.0</v>
      </c>
      <c r="E1416" s="2">
        <v>1.0</v>
      </c>
      <c r="F1416" s="2">
        <v>100.0</v>
      </c>
      <c r="G1416" s="2">
        <v>169200.0</v>
      </c>
    </row>
    <row r="1417" ht="14.25" customHeight="1">
      <c r="A1417" s="2">
        <v>1416.0</v>
      </c>
      <c r="B1417" s="2" t="s">
        <v>2524</v>
      </c>
      <c r="C1417" s="2" t="s">
        <v>3919</v>
      </c>
      <c r="D1417" s="2">
        <v>331.0</v>
      </c>
      <c r="E1417" s="2">
        <v>1.0</v>
      </c>
      <c r="F1417" s="2">
        <v>100.0</v>
      </c>
      <c r="G1417" s="2">
        <v>169200.0</v>
      </c>
    </row>
    <row r="1418" ht="14.25" customHeight="1">
      <c r="A1418" s="2">
        <v>1417.0</v>
      </c>
      <c r="B1418" s="2" t="s">
        <v>2571</v>
      </c>
      <c r="C1418" s="2" t="s">
        <v>3920</v>
      </c>
      <c r="D1418" s="2">
        <v>185.0</v>
      </c>
      <c r="E1418" s="2">
        <v>1.0</v>
      </c>
      <c r="F1418" s="2">
        <v>100.0</v>
      </c>
      <c r="G1418" s="2">
        <v>169100.0</v>
      </c>
    </row>
    <row r="1419" ht="14.25" customHeight="1">
      <c r="A1419" s="2">
        <v>1418.0</v>
      </c>
      <c r="B1419" s="2" t="s">
        <v>2604</v>
      </c>
      <c r="C1419" s="2" t="s">
        <v>3921</v>
      </c>
      <c r="D1419" s="2">
        <v>200.0</v>
      </c>
      <c r="E1419" s="2">
        <v>1.0</v>
      </c>
      <c r="F1419" s="2">
        <v>75.0</v>
      </c>
      <c r="G1419" s="2">
        <v>169000.0</v>
      </c>
    </row>
    <row r="1420" ht="14.25" customHeight="1">
      <c r="A1420" s="2">
        <v>1419.0</v>
      </c>
      <c r="B1420" s="2" t="s">
        <v>2524</v>
      </c>
      <c r="C1420" s="2" t="s">
        <v>3922</v>
      </c>
      <c r="D1420" s="2">
        <v>331.0</v>
      </c>
      <c r="E1420" s="2">
        <v>1.0</v>
      </c>
      <c r="F1420" s="2">
        <v>100.0</v>
      </c>
      <c r="G1420" s="2">
        <v>169000.0</v>
      </c>
    </row>
    <row r="1421" ht="14.25" customHeight="1">
      <c r="A1421" s="2">
        <v>1420.0</v>
      </c>
      <c r="B1421" s="2" t="s">
        <v>2488</v>
      </c>
      <c r="C1421" s="2" t="s">
        <v>3923</v>
      </c>
      <c r="D1421" s="2">
        <v>333.0</v>
      </c>
      <c r="E1421" s="2">
        <v>1.0</v>
      </c>
      <c r="F1421" s="2">
        <v>50.0</v>
      </c>
      <c r="G1421" s="2">
        <v>169000.0</v>
      </c>
    </row>
    <row r="1422" ht="14.25" customHeight="1">
      <c r="A1422" s="2">
        <v>1421.0</v>
      </c>
      <c r="B1422" s="2" t="s">
        <v>2651</v>
      </c>
      <c r="C1422" s="2" t="s">
        <v>3924</v>
      </c>
      <c r="D1422" s="2">
        <v>347.0</v>
      </c>
      <c r="E1422" s="2">
        <v>1.0</v>
      </c>
      <c r="F1422" s="2">
        <v>132.0</v>
      </c>
      <c r="G1422" s="2">
        <v>169000.0</v>
      </c>
    </row>
    <row r="1423" ht="14.25" customHeight="1">
      <c r="A1423" s="2">
        <v>1422.0</v>
      </c>
      <c r="B1423" s="2" t="s">
        <v>2561</v>
      </c>
      <c r="C1423" s="2" t="s">
        <v>3925</v>
      </c>
      <c r="D1423" s="2">
        <v>162.0</v>
      </c>
      <c r="E1423" s="2">
        <v>1.0</v>
      </c>
      <c r="F1423" s="2">
        <v>75.0</v>
      </c>
      <c r="G1423" s="2">
        <v>168900.0</v>
      </c>
    </row>
    <row r="1424" ht="14.25" customHeight="1">
      <c r="A1424" s="2">
        <v>1423.0</v>
      </c>
      <c r="B1424" s="2" t="s">
        <v>2488</v>
      </c>
      <c r="C1424" s="2" t="s">
        <v>3926</v>
      </c>
      <c r="D1424" s="2">
        <v>333.0</v>
      </c>
      <c r="E1424" s="2">
        <v>1.0</v>
      </c>
      <c r="F1424" s="2">
        <v>60.0</v>
      </c>
      <c r="G1424" s="2">
        <v>168900.0</v>
      </c>
    </row>
    <row r="1425" ht="14.25" customHeight="1">
      <c r="A1425" s="2">
        <v>1424.0</v>
      </c>
      <c r="B1425" s="2" t="s">
        <v>2501</v>
      </c>
      <c r="C1425" s="2" t="s">
        <v>3927</v>
      </c>
      <c r="D1425" s="2">
        <v>199.0</v>
      </c>
      <c r="E1425" s="2">
        <v>1.0</v>
      </c>
      <c r="F1425" s="2">
        <v>54.0</v>
      </c>
      <c r="G1425" s="2">
        <v>168700.0</v>
      </c>
    </row>
    <row r="1426" ht="14.25" customHeight="1">
      <c r="A1426" s="2">
        <v>1425.0</v>
      </c>
      <c r="B1426" s="2" t="s">
        <v>2488</v>
      </c>
      <c r="C1426" s="2" t="s">
        <v>3928</v>
      </c>
      <c r="D1426" s="2">
        <v>333.0</v>
      </c>
      <c r="E1426" s="2">
        <v>1.0</v>
      </c>
      <c r="F1426" s="2">
        <v>75.0</v>
      </c>
      <c r="G1426" s="2">
        <v>168700.0</v>
      </c>
    </row>
    <row r="1427" ht="14.25" customHeight="1">
      <c r="A1427" s="2">
        <v>1426.0</v>
      </c>
      <c r="B1427" s="2" t="s">
        <v>2497</v>
      </c>
      <c r="C1427" s="2" t="s">
        <v>3929</v>
      </c>
      <c r="D1427" s="2">
        <v>151.0</v>
      </c>
      <c r="E1427" s="2">
        <v>1.0</v>
      </c>
      <c r="F1427" s="2">
        <v>70.0</v>
      </c>
      <c r="G1427" s="2">
        <v>168600.0</v>
      </c>
    </row>
    <row r="1428" ht="14.25" customHeight="1">
      <c r="A1428" s="2">
        <v>1427.0</v>
      </c>
      <c r="B1428" s="2" t="s">
        <v>2534</v>
      </c>
      <c r="C1428" s="2" t="s">
        <v>3930</v>
      </c>
      <c r="D1428" s="2">
        <v>188.0</v>
      </c>
      <c r="E1428" s="2">
        <v>1.0</v>
      </c>
      <c r="F1428" s="2">
        <v>90.0</v>
      </c>
      <c r="G1428" s="2">
        <v>168600.0</v>
      </c>
    </row>
    <row r="1429" ht="14.25" customHeight="1">
      <c r="A1429" s="2">
        <v>1428.0</v>
      </c>
      <c r="B1429" s="2" t="s">
        <v>2479</v>
      </c>
      <c r="C1429" s="2" t="s">
        <v>3931</v>
      </c>
      <c r="D1429" s="2">
        <v>182.0</v>
      </c>
      <c r="E1429" s="2">
        <v>1.0</v>
      </c>
      <c r="F1429" s="2">
        <v>100.0</v>
      </c>
      <c r="G1429" s="2">
        <v>168500.0</v>
      </c>
    </row>
    <row r="1430" ht="14.25" customHeight="1">
      <c r="A1430" s="2">
        <v>1429.0</v>
      </c>
      <c r="B1430" s="2" t="s">
        <v>2744</v>
      </c>
      <c r="C1430" s="2" t="s">
        <v>3932</v>
      </c>
      <c r="D1430" s="2">
        <v>169.0</v>
      </c>
      <c r="E1430" s="2">
        <v>1.0</v>
      </c>
      <c r="F1430" s="2">
        <v>70.0</v>
      </c>
      <c r="G1430" s="2">
        <v>168400.0</v>
      </c>
    </row>
    <row r="1431" ht="14.25" customHeight="1">
      <c r="A1431" s="2">
        <v>1430.0</v>
      </c>
      <c r="B1431" s="2" t="s">
        <v>2558</v>
      </c>
      <c r="C1431" s="2" t="s">
        <v>3933</v>
      </c>
      <c r="D1431" s="2">
        <v>357.0</v>
      </c>
      <c r="E1431" s="2">
        <v>1.0</v>
      </c>
      <c r="F1431" s="2">
        <v>66.0</v>
      </c>
      <c r="G1431" s="2">
        <v>168400.0</v>
      </c>
    </row>
    <row r="1432" ht="14.25" customHeight="1">
      <c r="A1432" s="2">
        <v>1431.0</v>
      </c>
      <c r="B1432" s="2" t="s">
        <v>2549</v>
      </c>
      <c r="C1432" s="2" t="s">
        <v>3934</v>
      </c>
      <c r="D1432" s="2">
        <v>115.0</v>
      </c>
      <c r="E1432" s="2">
        <v>1.0</v>
      </c>
      <c r="F1432" s="2">
        <v>50.0</v>
      </c>
      <c r="G1432" s="2">
        <v>168300.0</v>
      </c>
    </row>
    <row r="1433" ht="14.25" customHeight="1">
      <c r="A1433" s="2">
        <v>1432.0</v>
      </c>
      <c r="B1433" s="2" t="s">
        <v>2558</v>
      </c>
      <c r="C1433" s="2" t="s">
        <v>3935</v>
      </c>
      <c r="D1433" s="2">
        <v>357.0</v>
      </c>
      <c r="E1433" s="2">
        <v>1.0</v>
      </c>
      <c r="F1433" s="2">
        <v>70.0</v>
      </c>
      <c r="G1433" s="2">
        <v>168300.0</v>
      </c>
    </row>
    <row r="1434" ht="14.25" customHeight="1">
      <c r="A1434" s="2">
        <v>1433.0</v>
      </c>
      <c r="B1434" s="2" t="s">
        <v>2621</v>
      </c>
      <c r="C1434" s="2" t="s">
        <v>3936</v>
      </c>
      <c r="D1434" s="2">
        <v>403.0</v>
      </c>
      <c r="E1434" s="2">
        <v>1.0</v>
      </c>
      <c r="F1434" s="2">
        <v>99.0</v>
      </c>
      <c r="G1434" s="2">
        <v>168300.0</v>
      </c>
    </row>
    <row r="1435" ht="14.25" customHeight="1">
      <c r="A1435" s="2">
        <v>1434.0</v>
      </c>
      <c r="B1435" s="2" t="s">
        <v>2549</v>
      </c>
      <c r="C1435" s="2" t="s">
        <v>3937</v>
      </c>
      <c r="D1435" s="2">
        <v>115.0</v>
      </c>
      <c r="E1435" s="2">
        <v>1.0</v>
      </c>
      <c r="F1435" s="2">
        <v>105.0</v>
      </c>
      <c r="G1435" s="2">
        <v>168200.0</v>
      </c>
    </row>
    <row r="1436" ht="14.25" customHeight="1">
      <c r="A1436" s="2">
        <v>1435.0</v>
      </c>
      <c r="B1436" s="2" t="s">
        <v>2507</v>
      </c>
      <c r="C1436" s="2" t="s">
        <v>3938</v>
      </c>
      <c r="D1436" s="2">
        <v>205.0</v>
      </c>
      <c r="E1436" s="2">
        <v>1.0</v>
      </c>
      <c r="F1436" s="2">
        <v>100.0</v>
      </c>
      <c r="G1436" s="2">
        <v>168100.0</v>
      </c>
    </row>
    <row r="1437" ht="14.25" customHeight="1">
      <c r="A1437" s="2">
        <v>1436.0</v>
      </c>
      <c r="B1437" s="2" t="s">
        <v>2945</v>
      </c>
      <c r="C1437" s="2" t="s">
        <v>3939</v>
      </c>
      <c r="D1437" s="2">
        <v>619.0</v>
      </c>
      <c r="E1437" s="2">
        <v>1.0</v>
      </c>
      <c r="F1437" s="2">
        <v>60.0</v>
      </c>
      <c r="G1437" s="2">
        <v>168100.0</v>
      </c>
    </row>
    <row r="1438" ht="14.25" customHeight="1">
      <c r="A1438" s="2">
        <v>1437.0</v>
      </c>
      <c r="B1438" s="2" t="s">
        <v>2475</v>
      </c>
      <c r="C1438" s="2" t="s">
        <v>3940</v>
      </c>
      <c r="D1438" s="2">
        <v>143.0</v>
      </c>
      <c r="E1438" s="2">
        <v>1.0</v>
      </c>
      <c r="F1438" s="2">
        <v>75.0</v>
      </c>
      <c r="G1438" s="2">
        <v>168000.0</v>
      </c>
    </row>
    <row r="1439" ht="14.25" customHeight="1">
      <c r="A1439" s="2">
        <v>1438.0</v>
      </c>
      <c r="B1439" s="2" t="s">
        <v>2518</v>
      </c>
      <c r="C1439" s="2" t="s">
        <v>3941</v>
      </c>
      <c r="D1439" s="2">
        <v>161.0</v>
      </c>
      <c r="E1439" s="2">
        <v>1.0</v>
      </c>
      <c r="F1439" s="2">
        <v>100.0</v>
      </c>
      <c r="G1439" s="2">
        <v>168000.0</v>
      </c>
    </row>
    <row r="1440" ht="14.25" customHeight="1">
      <c r="A1440" s="2">
        <v>1439.0</v>
      </c>
      <c r="B1440" s="2" t="s">
        <v>2534</v>
      </c>
      <c r="C1440" s="2" t="s">
        <v>3942</v>
      </c>
      <c r="D1440" s="2">
        <v>188.0</v>
      </c>
      <c r="E1440" s="2">
        <v>1.0</v>
      </c>
      <c r="F1440" s="2">
        <v>100.0</v>
      </c>
      <c r="G1440" s="2">
        <v>168000.0</v>
      </c>
    </row>
    <row r="1441" ht="14.25" customHeight="1">
      <c r="A1441" s="2">
        <v>1440.0</v>
      </c>
      <c r="B1441" s="2" t="s">
        <v>2488</v>
      </c>
      <c r="C1441" s="2" t="s">
        <v>3943</v>
      </c>
      <c r="D1441" s="2">
        <v>333.0</v>
      </c>
      <c r="E1441" s="2">
        <v>1.0</v>
      </c>
      <c r="F1441" s="2">
        <v>100.0</v>
      </c>
      <c r="G1441" s="2">
        <v>168000.0</v>
      </c>
    </row>
    <row r="1442" ht="14.25" customHeight="1">
      <c r="A1442" s="2">
        <v>1441.0</v>
      </c>
      <c r="B1442" s="2" t="s">
        <v>2576</v>
      </c>
      <c r="C1442" s="2" t="s">
        <v>3944</v>
      </c>
      <c r="D1442" s="2">
        <v>197.0</v>
      </c>
      <c r="E1442" s="2">
        <v>1.0</v>
      </c>
      <c r="F1442" s="2">
        <v>85.0</v>
      </c>
      <c r="G1442" s="2">
        <v>167900.0</v>
      </c>
    </row>
    <row r="1443" ht="14.25" customHeight="1">
      <c r="A1443" s="2">
        <v>1442.0</v>
      </c>
      <c r="B1443" s="2" t="s">
        <v>2558</v>
      </c>
      <c r="C1443" s="2" t="s">
        <v>3945</v>
      </c>
      <c r="D1443" s="2">
        <v>357.0</v>
      </c>
      <c r="E1443" s="2">
        <v>1.0</v>
      </c>
      <c r="F1443" s="2">
        <v>55.0</v>
      </c>
      <c r="G1443" s="2">
        <v>167900.0</v>
      </c>
    </row>
    <row r="1444" ht="14.25" customHeight="1">
      <c r="A1444" s="2">
        <v>1443.0</v>
      </c>
      <c r="B1444" s="2" t="s">
        <v>2501</v>
      </c>
      <c r="C1444" s="2" t="s">
        <v>3946</v>
      </c>
      <c r="D1444" s="2">
        <v>199.0</v>
      </c>
      <c r="E1444" s="2">
        <v>1.0</v>
      </c>
      <c r="F1444" s="2">
        <v>80.0</v>
      </c>
      <c r="G1444" s="2">
        <v>167800.0</v>
      </c>
    </row>
    <row r="1445" ht="14.25" customHeight="1">
      <c r="A1445" s="2">
        <v>1444.0</v>
      </c>
      <c r="B1445" s="2" t="s">
        <v>2507</v>
      </c>
      <c r="C1445" s="2" t="s">
        <v>3947</v>
      </c>
      <c r="D1445" s="2">
        <v>205.0</v>
      </c>
      <c r="E1445" s="2">
        <v>1.0</v>
      </c>
      <c r="F1445" s="2">
        <v>130.0</v>
      </c>
      <c r="G1445" s="2">
        <v>167800.0</v>
      </c>
    </row>
    <row r="1446" ht="14.25" customHeight="1">
      <c r="A1446" s="2">
        <v>1445.0</v>
      </c>
      <c r="B1446" s="2" t="s">
        <v>2582</v>
      </c>
      <c r="C1446" s="2" t="s">
        <v>3948</v>
      </c>
      <c r="D1446" s="2">
        <v>183.0</v>
      </c>
      <c r="E1446" s="2">
        <v>1.0</v>
      </c>
      <c r="F1446" s="2">
        <v>100.0</v>
      </c>
      <c r="G1446" s="2">
        <v>167700.0</v>
      </c>
    </row>
    <row r="1447" ht="14.25" customHeight="1">
      <c r="A1447" s="2">
        <v>1446.0</v>
      </c>
      <c r="B1447" s="2" t="s">
        <v>2582</v>
      </c>
      <c r="C1447" s="2" t="s">
        <v>3949</v>
      </c>
      <c r="D1447" s="2">
        <v>183.0</v>
      </c>
      <c r="E1447" s="2">
        <v>1.0</v>
      </c>
      <c r="F1447" s="2">
        <v>125.0</v>
      </c>
      <c r="G1447" s="2">
        <v>167700.0</v>
      </c>
    </row>
    <row r="1448" ht="14.25" customHeight="1">
      <c r="A1448" s="2">
        <v>1447.0</v>
      </c>
      <c r="B1448" s="2" t="s">
        <v>2534</v>
      </c>
      <c r="C1448" s="2" t="s">
        <v>3950</v>
      </c>
      <c r="D1448" s="2">
        <v>188.0</v>
      </c>
      <c r="E1448" s="2">
        <v>1.0</v>
      </c>
      <c r="F1448" s="2">
        <v>110.0</v>
      </c>
      <c r="G1448" s="2">
        <v>167700.0</v>
      </c>
    </row>
    <row r="1449" ht="14.25" customHeight="1">
      <c r="A1449" s="2">
        <v>1448.0</v>
      </c>
      <c r="B1449" s="2" t="s">
        <v>2534</v>
      </c>
      <c r="C1449" s="2" t="s">
        <v>3951</v>
      </c>
      <c r="D1449" s="2">
        <v>188.0</v>
      </c>
      <c r="E1449" s="2">
        <v>1.0</v>
      </c>
      <c r="F1449" s="2">
        <v>75.0</v>
      </c>
      <c r="G1449" s="2">
        <v>167600.0</v>
      </c>
    </row>
    <row r="1450" ht="14.25" customHeight="1">
      <c r="A1450" s="2">
        <v>1449.0</v>
      </c>
      <c r="B1450" s="2" t="s">
        <v>2558</v>
      </c>
      <c r="C1450" s="2" t="s">
        <v>3952</v>
      </c>
      <c r="D1450" s="2">
        <v>357.0</v>
      </c>
      <c r="E1450" s="2">
        <v>1.0</v>
      </c>
      <c r="F1450" s="2">
        <v>80.0</v>
      </c>
      <c r="G1450" s="2">
        <v>167600.0</v>
      </c>
    </row>
    <row r="1451" ht="14.25" customHeight="1">
      <c r="A1451" s="2">
        <v>1450.0</v>
      </c>
      <c r="B1451" s="2" t="s">
        <v>2686</v>
      </c>
      <c r="C1451" s="2" t="s">
        <v>3953</v>
      </c>
      <c r="D1451" s="2">
        <v>127.0</v>
      </c>
      <c r="E1451" s="2">
        <v>1.0</v>
      </c>
      <c r="F1451" s="2">
        <v>90.0</v>
      </c>
      <c r="G1451" s="2">
        <v>167500.0</v>
      </c>
    </row>
    <row r="1452" ht="14.25" customHeight="1">
      <c r="A1452" s="2">
        <v>1451.0</v>
      </c>
      <c r="B1452" s="2" t="s">
        <v>2686</v>
      </c>
      <c r="C1452" s="2" t="s">
        <v>3954</v>
      </c>
      <c r="D1452" s="2">
        <v>127.0</v>
      </c>
      <c r="E1452" s="2">
        <v>1.0</v>
      </c>
      <c r="F1452" s="2">
        <v>86.0</v>
      </c>
      <c r="G1452" s="2">
        <v>167300.0</v>
      </c>
    </row>
    <row r="1453" ht="14.25" customHeight="1">
      <c r="A1453" s="2">
        <v>1452.0</v>
      </c>
      <c r="B1453" s="2" t="s">
        <v>2505</v>
      </c>
      <c r="C1453" s="2" t="s">
        <v>3955</v>
      </c>
      <c r="D1453" s="2">
        <v>429.0</v>
      </c>
      <c r="E1453" s="2">
        <v>1.0</v>
      </c>
      <c r="F1453" s="2">
        <v>100.0</v>
      </c>
      <c r="G1453" s="2">
        <v>167300.0</v>
      </c>
    </row>
    <row r="1454" ht="14.25" customHeight="1">
      <c r="A1454" s="2">
        <v>1453.0</v>
      </c>
      <c r="B1454" s="2" t="s">
        <v>2582</v>
      </c>
      <c r="C1454" s="2" t="s">
        <v>3956</v>
      </c>
      <c r="D1454" s="2">
        <v>183.0</v>
      </c>
      <c r="E1454" s="2">
        <v>1.0</v>
      </c>
      <c r="F1454" s="2">
        <v>50.0</v>
      </c>
      <c r="G1454" s="2">
        <v>167100.0</v>
      </c>
    </row>
    <row r="1455" ht="14.25" customHeight="1">
      <c r="A1455" s="2">
        <v>1454.0</v>
      </c>
      <c r="B1455" s="2" t="s">
        <v>2534</v>
      </c>
      <c r="C1455" s="2" t="s">
        <v>3957</v>
      </c>
      <c r="D1455" s="2">
        <v>188.0</v>
      </c>
      <c r="E1455" s="2">
        <v>1.0</v>
      </c>
      <c r="F1455" s="2">
        <v>70.0</v>
      </c>
      <c r="G1455" s="2">
        <v>167100.0</v>
      </c>
    </row>
    <row r="1456" ht="14.25" customHeight="1">
      <c r="A1456" s="2">
        <v>1455.0</v>
      </c>
      <c r="B1456" s="2" t="s">
        <v>2576</v>
      </c>
      <c r="C1456" s="2" t="s">
        <v>3958</v>
      </c>
      <c r="D1456" s="2">
        <v>197.0</v>
      </c>
      <c r="E1456" s="2">
        <v>1.0</v>
      </c>
      <c r="F1456" s="2">
        <v>66.0</v>
      </c>
      <c r="G1456" s="2">
        <v>167100.0</v>
      </c>
    </row>
    <row r="1457" ht="14.25" customHeight="1">
      <c r="A1457" s="2">
        <v>1456.0</v>
      </c>
      <c r="B1457" s="2" t="s">
        <v>2491</v>
      </c>
      <c r="C1457" s="2" t="s">
        <v>3959</v>
      </c>
      <c r="D1457" s="2">
        <v>116.0</v>
      </c>
      <c r="E1457" s="2">
        <v>1.0</v>
      </c>
      <c r="F1457" s="2">
        <v>100.0</v>
      </c>
      <c r="G1457" s="2">
        <v>167000.0</v>
      </c>
    </row>
    <row r="1458" ht="14.25" customHeight="1">
      <c r="A1458" s="2">
        <v>1457.0</v>
      </c>
      <c r="B1458" s="2" t="s">
        <v>2477</v>
      </c>
      <c r="C1458" s="2" t="s">
        <v>3960</v>
      </c>
      <c r="D1458" s="2">
        <v>152.0</v>
      </c>
      <c r="E1458" s="2">
        <v>1.0</v>
      </c>
      <c r="F1458" s="2">
        <v>110.0</v>
      </c>
      <c r="G1458" s="2">
        <v>167000.0</v>
      </c>
    </row>
    <row r="1459" ht="14.25" customHeight="1">
      <c r="A1459" s="2">
        <v>1458.0</v>
      </c>
      <c r="B1459" s="2" t="s">
        <v>2512</v>
      </c>
      <c r="C1459" s="2" t="s">
        <v>3961</v>
      </c>
      <c r="D1459" s="2">
        <v>153.0</v>
      </c>
      <c r="E1459" s="2">
        <v>1.0</v>
      </c>
      <c r="F1459" s="2">
        <v>100.0</v>
      </c>
      <c r="G1459" s="2">
        <v>167000.0</v>
      </c>
    </row>
    <row r="1460" ht="14.25" customHeight="1">
      <c r="A1460" s="2">
        <v>1459.0</v>
      </c>
      <c r="B1460" s="2" t="s">
        <v>2488</v>
      </c>
      <c r="C1460" s="2" t="s">
        <v>3962</v>
      </c>
      <c r="D1460" s="2">
        <v>333.0</v>
      </c>
      <c r="E1460" s="2">
        <v>1.0</v>
      </c>
      <c r="F1460" s="2">
        <v>50.0</v>
      </c>
      <c r="G1460" s="2">
        <v>167000.0</v>
      </c>
    </row>
    <row r="1461" ht="14.25" customHeight="1">
      <c r="A1461" s="2">
        <v>1460.0</v>
      </c>
      <c r="B1461" s="2" t="s">
        <v>2571</v>
      </c>
      <c r="C1461" s="2" t="s">
        <v>3963</v>
      </c>
      <c r="D1461" s="2">
        <v>185.0</v>
      </c>
      <c r="E1461" s="2">
        <v>1.0</v>
      </c>
      <c r="F1461" s="2">
        <v>100.0</v>
      </c>
      <c r="G1461" s="2">
        <v>166900.0</v>
      </c>
    </row>
    <row r="1462" ht="14.25" customHeight="1">
      <c r="A1462" s="2">
        <v>1461.0</v>
      </c>
      <c r="B1462" s="2" t="s">
        <v>2524</v>
      </c>
      <c r="C1462" s="2" t="s">
        <v>3964</v>
      </c>
      <c r="D1462" s="2">
        <v>331.0</v>
      </c>
      <c r="E1462" s="2">
        <v>1.0</v>
      </c>
      <c r="F1462" s="2">
        <v>75.0</v>
      </c>
      <c r="G1462" s="2">
        <v>166800.0</v>
      </c>
    </row>
    <row r="1463" ht="14.25" customHeight="1">
      <c r="A1463" s="2">
        <v>1462.0</v>
      </c>
      <c r="B1463" s="2" t="s">
        <v>2488</v>
      </c>
      <c r="C1463" s="2" t="s">
        <v>3965</v>
      </c>
      <c r="D1463" s="2">
        <v>333.0</v>
      </c>
      <c r="E1463" s="2">
        <v>1.0</v>
      </c>
      <c r="F1463" s="2">
        <v>105.0</v>
      </c>
      <c r="G1463" s="2">
        <v>166800.0</v>
      </c>
    </row>
    <row r="1464" ht="14.25" customHeight="1">
      <c r="A1464" s="2">
        <v>1463.0</v>
      </c>
      <c r="B1464" s="2" t="s">
        <v>2621</v>
      </c>
      <c r="C1464" s="2" t="s">
        <v>3966</v>
      </c>
      <c r="D1464" s="2">
        <v>403.0</v>
      </c>
      <c r="E1464" s="2">
        <v>1.0</v>
      </c>
      <c r="F1464" s="2">
        <v>77.5</v>
      </c>
      <c r="G1464" s="2">
        <v>166800.0</v>
      </c>
    </row>
    <row r="1465" ht="14.25" customHeight="1">
      <c r="A1465" s="2">
        <v>1464.0</v>
      </c>
      <c r="B1465" s="2" t="s">
        <v>2553</v>
      </c>
      <c r="C1465" s="2" t="s">
        <v>3967</v>
      </c>
      <c r="D1465" s="2">
        <v>187.0</v>
      </c>
      <c r="E1465" s="2">
        <v>1.0</v>
      </c>
      <c r="F1465" s="2">
        <v>75.0</v>
      </c>
      <c r="G1465" s="2">
        <v>166700.0</v>
      </c>
    </row>
    <row r="1466" ht="14.25" customHeight="1">
      <c r="A1466" s="2">
        <v>1465.0</v>
      </c>
      <c r="B1466" s="2" t="s">
        <v>2534</v>
      </c>
      <c r="C1466" s="2" t="s">
        <v>3968</v>
      </c>
      <c r="D1466" s="2">
        <v>188.0</v>
      </c>
      <c r="E1466" s="2">
        <v>1.0</v>
      </c>
      <c r="F1466" s="2">
        <v>150.0</v>
      </c>
      <c r="G1466" s="2">
        <v>166700.0</v>
      </c>
    </row>
    <row r="1467" ht="14.25" customHeight="1">
      <c r="A1467" s="2">
        <v>1466.0</v>
      </c>
      <c r="B1467" s="2" t="s">
        <v>2488</v>
      </c>
      <c r="C1467" s="2" t="s">
        <v>3969</v>
      </c>
      <c r="D1467" s="2">
        <v>333.0</v>
      </c>
      <c r="E1467" s="2">
        <v>1.0</v>
      </c>
      <c r="F1467" s="2">
        <v>107.0</v>
      </c>
      <c r="G1467" s="2">
        <v>166700.0</v>
      </c>
    </row>
    <row r="1468" ht="14.25" customHeight="1">
      <c r="A1468" s="2">
        <v>1467.0</v>
      </c>
      <c r="B1468" s="2" t="s">
        <v>2475</v>
      </c>
      <c r="C1468" s="2" t="s">
        <v>3970</v>
      </c>
      <c r="D1468" s="2">
        <v>143.0</v>
      </c>
      <c r="E1468" s="2">
        <v>1.0</v>
      </c>
      <c r="F1468" s="2">
        <v>75.0</v>
      </c>
      <c r="G1468" s="2">
        <v>166600.0</v>
      </c>
    </row>
    <row r="1469" ht="14.25" customHeight="1">
      <c r="A1469" s="2">
        <v>1468.0</v>
      </c>
      <c r="B1469" s="2" t="s">
        <v>2479</v>
      </c>
      <c r="C1469" s="2" t="s">
        <v>3971</v>
      </c>
      <c r="D1469" s="2">
        <v>182.0</v>
      </c>
      <c r="E1469" s="2">
        <v>1.0</v>
      </c>
      <c r="F1469" s="2">
        <v>100.0</v>
      </c>
      <c r="G1469" s="2">
        <v>166600.0</v>
      </c>
    </row>
    <row r="1470" ht="14.25" customHeight="1">
      <c r="A1470" s="2">
        <v>1469.0</v>
      </c>
      <c r="B1470" s="2" t="s">
        <v>2524</v>
      </c>
      <c r="C1470" s="2" t="s">
        <v>3972</v>
      </c>
      <c r="D1470" s="2">
        <v>331.0</v>
      </c>
      <c r="E1470" s="2">
        <v>1.0</v>
      </c>
      <c r="F1470" s="2">
        <v>130.0</v>
      </c>
      <c r="G1470" s="2">
        <v>166600.0</v>
      </c>
    </row>
    <row r="1471" ht="14.25" customHeight="1">
      <c r="A1471" s="2">
        <v>1470.0</v>
      </c>
      <c r="B1471" s="2" t="s">
        <v>2621</v>
      </c>
      <c r="C1471" s="2" t="s">
        <v>3973</v>
      </c>
      <c r="D1471" s="2">
        <v>403.0</v>
      </c>
      <c r="E1471" s="2">
        <v>1.0</v>
      </c>
      <c r="F1471" s="2">
        <v>150.0</v>
      </c>
      <c r="G1471" s="2">
        <v>166600.0</v>
      </c>
    </row>
    <row r="1472" ht="14.25" customHeight="1">
      <c r="A1472" s="2">
        <v>1471.0</v>
      </c>
      <c r="B1472" s="2" t="s">
        <v>2686</v>
      </c>
      <c r="C1472" s="2" t="s">
        <v>3974</v>
      </c>
      <c r="D1472" s="2">
        <v>127.0</v>
      </c>
      <c r="E1472" s="2">
        <v>1.0</v>
      </c>
      <c r="F1472" s="2">
        <v>80.0</v>
      </c>
      <c r="G1472" s="2">
        <v>166500.0</v>
      </c>
    </row>
    <row r="1473" ht="14.25" customHeight="1">
      <c r="A1473" s="2">
        <v>1472.0</v>
      </c>
      <c r="B1473" s="2" t="s">
        <v>2594</v>
      </c>
      <c r="C1473" s="2" t="s">
        <v>3975</v>
      </c>
      <c r="D1473" s="2">
        <v>184.0</v>
      </c>
      <c r="E1473" s="2">
        <v>1.0</v>
      </c>
      <c r="F1473" s="2">
        <v>150.0</v>
      </c>
      <c r="G1473" s="2">
        <v>166500.0</v>
      </c>
    </row>
    <row r="1474" ht="14.25" customHeight="1">
      <c r="A1474" s="2">
        <v>1473.0</v>
      </c>
      <c r="B1474" s="2" t="s">
        <v>2524</v>
      </c>
      <c r="C1474" s="2" t="s">
        <v>3976</v>
      </c>
      <c r="D1474" s="2">
        <v>331.0</v>
      </c>
      <c r="E1474" s="2">
        <v>1.0</v>
      </c>
      <c r="F1474" s="2">
        <v>50.0</v>
      </c>
      <c r="G1474" s="2">
        <v>166500.0</v>
      </c>
    </row>
    <row r="1475" ht="14.25" customHeight="1">
      <c r="A1475" s="2">
        <v>1474.0</v>
      </c>
      <c r="B1475" s="2" t="s">
        <v>2512</v>
      </c>
      <c r="C1475" s="2" t="s">
        <v>3977</v>
      </c>
      <c r="D1475" s="2">
        <v>153.0</v>
      </c>
      <c r="E1475" s="2">
        <v>1.0</v>
      </c>
      <c r="F1475" s="2">
        <v>65.0</v>
      </c>
      <c r="G1475" s="2">
        <v>166400.0</v>
      </c>
    </row>
    <row r="1476" ht="14.25" customHeight="1">
      <c r="A1476" s="2">
        <v>1475.0</v>
      </c>
      <c r="B1476" s="2" t="s">
        <v>2561</v>
      </c>
      <c r="C1476" s="2" t="s">
        <v>3978</v>
      </c>
      <c r="D1476" s="2">
        <v>162.0</v>
      </c>
      <c r="E1476" s="2">
        <v>1.0</v>
      </c>
      <c r="F1476" s="2">
        <v>50.0</v>
      </c>
      <c r="G1476" s="2">
        <v>166400.0</v>
      </c>
    </row>
    <row r="1477" ht="14.25" customHeight="1">
      <c r="A1477" s="2">
        <v>1476.0</v>
      </c>
      <c r="B1477" s="2" t="s">
        <v>2507</v>
      </c>
      <c r="C1477" s="2" t="s">
        <v>3979</v>
      </c>
      <c r="D1477" s="2">
        <v>205.0</v>
      </c>
      <c r="E1477" s="2">
        <v>1.0</v>
      </c>
      <c r="F1477" s="2">
        <v>150.0</v>
      </c>
      <c r="G1477" s="2">
        <v>166400.0</v>
      </c>
    </row>
    <row r="1478" ht="14.25" customHeight="1">
      <c r="A1478" s="2">
        <v>1477.0</v>
      </c>
      <c r="B1478" s="2" t="s">
        <v>2945</v>
      </c>
      <c r="C1478" s="2" t="s">
        <v>3980</v>
      </c>
      <c r="D1478" s="2">
        <v>619.0</v>
      </c>
      <c r="E1478" s="2">
        <v>1.0</v>
      </c>
      <c r="F1478" s="2">
        <v>60.0</v>
      </c>
      <c r="G1478" s="2">
        <v>166400.0</v>
      </c>
    </row>
    <row r="1479" ht="14.25" customHeight="1">
      <c r="A1479" s="2">
        <v>1478.0</v>
      </c>
      <c r="B1479" s="2" t="s">
        <v>2475</v>
      </c>
      <c r="C1479" s="2" t="s">
        <v>3981</v>
      </c>
      <c r="D1479" s="2">
        <v>143.0</v>
      </c>
      <c r="E1479" s="2">
        <v>1.0</v>
      </c>
      <c r="F1479" s="2">
        <v>50.0</v>
      </c>
      <c r="G1479" s="2">
        <v>166300.0</v>
      </c>
    </row>
    <row r="1480" ht="14.25" customHeight="1">
      <c r="A1480" s="2">
        <v>1479.0</v>
      </c>
      <c r="B1480" s="2" t="s">
        <v>2561</v>
      </c>
      <c r="C1480" s="2" t="s">
        <v>3982</v>
      </c>
      <c r="D1480" s="2">
        <v>162.0</v>
      </c>
      <c r="E1480" s="2">
        <v>1.0</v>
      </c>
      <c r="F1480" s="2">
        <v>70.0</v>
      </c>
      <c r="G1480" s="2">
        <v>166300.0</v>
      </c>
    </row>
    <row r="1481" ht="14.25" customHeight="1">
      <c r="A1481" s="2">
        <v>1480.0</v>
      </c>
      <c r="B1481" s="2" t="s">
        <v>2479</v>
      </c>
      <c r="C1481" s="2" t="s">
        <v>3983</v>
      </c>
      <c r="D1481" s="2">
        <v>182.0</v>
      </c>
      <c r="E1481" s="2">
        <v>1.0</v>
      </c>
      <c r="F1481" s="2">
        <v>100.0</v>
      </c>
      <c r="G1481" s="2">
        <v>166300.0</v>
      </c>
    </row>
    <row r="1482" ht="14.25" customHeight="1">
      <c r="A1482" s="2">
        <v>1481.0</v>
      </c>
      <c r="B1482" s="2" t="s">
        <v>2582</v>
      </c>
      <c r="C1482" s="2" t="s">
        <v>3984</v>
      </c>
      <c r="D1482" s="2">
        <v>183.0</v>
      </c>
      <c r="E1482" s="2">
        <v>1.0</v>
      </c>
      <c r="F1482" s="2">
        <v>100.0</v>
      </c>
      <c r="G1482" s="2">
        <v>166300.0</v>
      </c>
    </row>
    <row r="1483" ht="14.25" customHeight="1">
      <c r="A1483" s="2">
        <v>1482.0</v>
      </c>
      <c r="B1483" s="2" t="s">
        <v>2534</v>
      </c>
      <c r="C1483" s="2" t="s">
        <v>3985</v>
      </c>
      <c r="D1483" s="2">
        <v>188.0</v>
      </c>
      <c r="E1483" s="2">
        <v>1.0</v>
      </c>
      <c r="F1483" s="2">
        <v>75.0</v>
      </c>
      <c r="G1483" s="2">
        <v>166300.0</v>
      </c>
    </row>
    <row r="1484" ht="14.25" customHeight="1">
      <c r="A1484" s="2">
        <v>1483.0</v>
      </c>
      <c r="B1484" s="2" t="s">
        <v>2518</v>
      </c>
      <c r="C1484" s="2" t="s">
        <v>3986</v>
      </c>
      <c r="D1484" s="2">
        <v>161.0</v>
      </c>
      <c r="E1484" s="2">
        <v>1.0</v>
      </c>
      <c r="F1484" s="2">
        <v>125.0</v>
      </c>
      <c r="G1484" s="2">
        <v>166200.0</v>
      </c>
    </row>
    <row r="1485" ht="14.25" customHeight="1">
      <c r="A1485" s="2">
        <v>1484.0</v>
      </c>
      <c r="B1485" s="2" t="s">
        <v>2488</v>
      </c>
      <c r="C1485" s="2" t="s">
        <v>3987</v>
      </c>
      <c r="D1485" s="2">
        <v>333.0</v>
      </c>
      <c r="E1485" s="2">
        <v>1.0</v>
      </c>
      <c r="F1485" s="2">
        <v>50.0</v>
      </c>
      <c r="G1485" s="2">
        <v>166200.0</v>
      </c>
    </row>
    <row r="1486" ht="14.25" customHeight="1">
      <c r="A1486" s="2">
        <v>1485.0</v>
      </c>
      <c r="B1486" s="2" t="s">
        <v>2604</v>
      </c>
      <c r="C1486" s="2" t="s">
        <v>3988</v>
      </c>
      <c r="D1486" s="2">
        <v>200.0</v>
      </c>
      <c r="E1486" s="2">
        <v>1.0</v>
      </c>
      <c r="F1486" s="2">
        <v>75.0</v>
      </c>
      <c r="G1486" s="2">
        <v>166100.0</v>
      </c>
    </row>
    <row r="1487" ht="14.25" customHeight="1">
      <c r="A1487" s="2">
        <v>1486.0</v>
      </c>
      <c r="B1487" s="2" t="s">
        <v>2475</v>
      </c>
      <c r="C1487" s="2" t="s">
        <v>3989</v>
      </c>
      <c r="D1487" s="2">
        <v>143.0</v>
      </c>
      <c r="E1487" s="2">
        <v>1.0</v>
      </c>
      <c r="F1487" s="2">
        <v>85.0</v>
      </c>
      <c r="G1487" s="2">
        <v>166000.0</v>
      </c>
    </row>
    <row r="1488" ht="14.25" customHeight="1">
      <c r="A1488" s="2">
        <v>1487.0</v>
      </c>
      <c r="B1488" s="2" t="s">
        <v>2512</v>
      </c>
      <c r="C1488" s="2" t="s">
        <v>3990</v>
      </c>
      <c r="D1488" s="2">
        <v>153.0</v>
      </c>
      <c r="E1488" s="2">
        <v>1.0</v>
      </c>
      <c r="F1488" s="2">
        <v>75.0</v>
      </c>
      <c r="G1488" s="2">
        <v>166000.0</v>
      </c>
    </row>
    <row r="1489" ht="14.25" customHeight="1">
      <c r="A1489" s="2">
        <v>1488.0</v>
      </c>
      <c r="B1489" s="2" t="s">
        <v>2541</v>
      </c>
      <c r="C1489" s="2" t="s">
        <v>3991</v>
      </c>
      <c r="D1489" s="2">
        <v>195.0</v>
      </c>
      <c r="E1489" s="2">
        <v>1.0</v>
      </c>
      <c r="F1489" s="2">
        <v>90.0</v>
      </c>
      <c r="G1489" s="2">
        <v>166000.0</v>
      </c>
    </row>
    <row r="1490" ht="14.25" customHeight="1">
      <c r="A1490" s="2">
        <v>1489.0</v>
      </c>
      <c r="B1490" s="2" t="s">
        <v>2686</v>
      </c>
      <c r="C1490" s="2" t="s">
        <v>3992</v>
      </c>
      <c r="D1490" s="2">
        <v>127.0</v>
      </c>
      <c r="E1490" s="2">
        <v>1.0</v>
      </c>
      <c r="F1490" s="2">
        <v>70.0</v>
      </c>
      <c r="G1490" s="2">
        <v>165800.0</v>
      </c>
    </row>
    <row r="1491" ht="14.25" customHeight="1">
      <c r="A1491" s="2">
        <v>1490.0</v>
      </c>
      <c r="B1491" s="2" t="s">
        <v>2534</v>
      </c>
      <c r="C1491" s="2" t="s">
        <v>3993</v>
      </c>
      <c r="D1491" s="2">
        <v>188.0</v>
      </c>
      <c r="E1491" s="2">
        <v>1.0</v>
      </c>
      <c r="F1491" s="2">
        <v>75.0</v>
      </c>
      <c r="G1491" s="2">
        <v>165800.0</v>
      </c>
    </row>
    <row r="1492" ht="14.25" customHeight="1">
      <c r="A1492" s="2">
        <v>1491.0</v>
      </c>
      <c r="B1492" s="2" t="s">
        <v>2549</v>
      </c>
      <c r="C1492" s="2" t="s">
        <v>3994</v>
      </c>
      <c r="D1492" s="2">
        <v>115.0</v>
      </c>
      <c r="E1492" s="2">
        <v>1.0</v>
      </c>
      <c r="F1492" s="2">
        <v>50.0</v>
      </c>
      <c r="G1492" s="2">
        <v>165700.0</v>
      </c>
    </row>
    <row r="1493" ht="14.25" customHeight="1">
      <c r="A1493" s="2">
        <v>1492.0</v>
      </c>
      <c r="B1493" s="2" t="s">
        <v>2604</v>
      </c>
      <c r="C1493" s="2" t="s">
        <v>3995</v>
      </c>
      <c r="D1493" s="2">
        <v>200.0</v>
      </c>
      <c r="E1493" s="2">
        <v>1.0</v>
      </c>
      <c r="F1493" s="2">
        <v>100.0</v>
      </c>
      <c r="G1493" s="2">
        <v>165700.0</v>
      </c>
    </row>
    <row r="1494" ht="14.25" customHeight="1">
      <c r="A1494" s="2">
        <v>1493.0</v>
      </c>
      <c r="B1494" s="2" t="s">
        <v>2477</v>
      </c>
      <c r="C1494" s="2" t="s">
        <v>3996</v>
      </c>
      <c r="D1494" s="2">
        <v>152.0</v>
      </c>
      <c r="E1494" s="2">
        <v>1.0</v>
      </c>
      <c r="F1494" s="2">
        <v>100.0</v>
      </c>
      <c r="G1494" s="2">
        <v>165600.0</v>
      </c>
    </row>
    <row r="1495" ht="14.25" customHeight="1">
      <c r="A1495" s="2">
        <v>1494.0</v>
      </c>
      <c r="B1495" s="2" t="s">
        <v>2561</v>
      </c>
      <c r="C1495" s="2" t="s">
        <v>3997</v>
      </c>
      <c r="D1495" s="2">
        <v>162.0</v>
      </c>
      <c r="E1495" s="2">
        <v>1.0</v>
      </c>
      <c r="F1495" s="2">
        <v>100.0</v>
      </c>
      <c r="G1495" s="2">
        <v>165600.0</v>
      </c>
    </row>
    <row r="1496" ht="14.25" customHeight="1">
      <c r="A1496" s="2">
        <v>1495.0</v>
      </c>
      <c r="B1496" s="2" t="s">
        <v>2576</v>
      </c>
      <c r="C1496" s="2" t="s">
        <v>3998</v>
      </c>
      <c r="D1496" s="2">
        <v>197.0</v>
      </c>
      <c r="E1496" s="2">
        <v>1.0</v>
      </c>
      <c r="F1496" s="2">
        <v>100.0</v>
      </c>
      <c r="G1496" s="2">
        <v>165600.0</v>
      </c>
    </row>
    <row r="1497" ht="14.25" customHeight="1">
      <c r="A1497" s="2">
        <v>1496.0</v>
      </c>
      <c r="B1497" s="2" t="s">
        <v>2501</v>
      </c>
      <c r="C1497" s="2" t="s">
        <v>3999</v>
      </c>
      <c r="D1497" s="2">
        <v>199.0</v>
      </c>
      <c r="E1497" s="2">
        <v>1.0</v>
      </c>
      <c r="F1497" s="2">
        <v>100.0</v>
      </c>
      <c r="G1497" s="2">
        <v>165600.0</v>
      </c>
    </row>
    <row r="1498" ht="14.25" customHeight="1">
      <c r="A1498" s="2">
        <v>1497.0</v>
      </c>
      <c r="B1498" s="2" t="s">
        <v>2604</v>
      </c>
      <c r="C1498" s="2" t="s">
        <v>4000</v>
      </c>
      <c r="D1498" s="2">
        <v>200.0</v>
      </c>
      <c r="E1498" s="2">
        <v>1.0</v>
      </c>
      <c r="F1498" s="2">
        <v>75.0</v>
      </c>
      <c r="G1498" s="2">
        <v>165600.0</v>
      </c>
    </row>
    <row r="1499" ht="14.25" customHeight="1">
      <c r="A1499" s="2">
        <v>1498.0</v>
      </c>
      <c r="B1499" s="2" t="s">
        <v>2503</v>
      </c>
      <c r="C1499" s="2" t="s">
        <v>4001</v>
      </c>
      <c r="D1499" s="2">
        <v>105.0</v>
      </c>
      <c r="E1499" s="2">
        <v>1.0</v>
      </c>
      <c r="F1499" s="2">
        <v>75.0</v>
      </c>
      <c r="G1499" s="2">
        <v>165500.0</v>
      </c>
    </row>
    <row r="1500" ht="14.25" customHeight="1">
      <c r="A1500" s="2">
        <v>1499.0</v>
      </c>
      <c r="B1500" s="2" t="s">
        <v>2479</v>
      </c>
      <c r="C1500" s="2" t="s">
        <v>4002</v>
      </c>
      <c r="D1500" s="2">
        <v>182.0</v>
      </c>
      <c r="E1500" s="2">
        <v>1.0</v>
      </c>
      <c r="F1500" s="2">
        <v>100.0</v>
      </c>
      <c r="G1500" s="2">
        <v>165500.0</v>
      </c>
    </row>
    <row r="1501" ht="14.25" customHeight="1">
      <c r="A1501" s="2">
        <v>1500.0</v>
      </c>
      <c r="B1501" s="2" t="s">
        <v>2594</v>
      </c>
      <c r="C1501" s="2" t="s">
        <v>4003</v>
      </c>
      <c r="D1501" s="2">
        <v>184.0</v>
      </c>
      <c r="E1501" s="2">
        <v>1.0</v>
      </c>
      <c r="F1501" s="2">
        <v>100.0</v>
      </c>
      <c r="G1501" s="2">
        <v>165500.0</v>
      </c>
    </row>
    <row r="1502" ht="14.25" customHeight="1">
      <c r="A1502" s="2">
        <v>1501.0</v>
      </c>
      <c r="B1502" s="2" t="s">
        <v>2594</v>
      </c>
      <c r="C1502" s="2" t="s">
        <v>4004</v>
      </c>
      <c r="D1502" s="2">
        <v>184.0</v>
      </c>
      <c r="E1502" s="2">
        <v>1.0</v>
      </c>
      <c r="F1502" s="2">
        <v>85.0</v>
      </c>
      <c r="G1502" s="2">
        <v>165500.0</v>
      </c>
    </row>
    <row r="1503" ht="14.25" customHeight="1">
      <c r="A1503" s="2">
        <v>1502.0</v>
      </c>
      <c r="B1503" s="2" t="s">
        <v>2686</v>
      </c>
      <c r="C1503" s="2" t="s">
        <v>4005</v>
      </c>
      <c r="D1503" s="2">
        <v>127.0</v>
      </c>
      <c r="E1503" s="2">
        <v>1.0</v>
      </c>
      <c r="F1503" s="2">
        <v>99.0</v>
      </c>
      <c r="G1503" s="2">
        <v>165400.0</v>
      </c>
    </row>
    <row r="1504" ht="14.25" customHeight="1">
      <c r="A1504" s="2">
        <v>1503.0</v>
      </c>
      <c r="B1504" s="2" t="s">
        <v>2488</v>
      </c>
      <c r="C1504" s="2" t="s">
        <v>4006</v>
      </c>
      <c r="D1504" s="2">
        <v>333.0</v>
      </c>
      <c r="E1504" s="2">
        <v>1.0</v>
      </c>
      <c r="F1504" s="2">
        <v>75.0</v>
      </c>
      <c r="G1504" s="2">
        <v>165400.0</v>
      </c>
    </row>
    <row r="1505" ht="14.25" customHeight="1">
      <c r="A1505" s="2">
        <v>1504.0</v>
      </c>
      <c r="B1505" s="2" t="s">
        <v>2491</v>
      </c>
      <c r="C1505" s="2" t="s">
        <v>4007</v>
      </c>
      <c r="D1505" s="2">
        <v>116.0</v>
      </c>
      <c r="E1505" s="2">
        <v>1.0</v>
      </c>
      <c r="F1505" s="2">
        <v>100.0</v>
      </c>
      <c r="G1505" s="2">
        <v>165300.0</v>
      </c>
    </row>
    <row r="1506" ht="14.25" customHeight="1">
      <c r="A1506" s="2">
        <v>1505.0</v>
      </c>
      <c r="B1506" s="2" t="s">
        <v>2534</v>
      </c>
      <c r="C1506" s="2" t="s">
        <v>4008</v>
      </c>
      <c r="D1506" s="2">
        <v>188.0</v>
      </c>
      <c r="E1506" s="2">
        <v>1.0</v>
      </c>
      <c r="F1506" s="2">
        <v>50.0</v>
      </c>
      <c r="G1506" s="2">
        <v>165300.0</v>
      </c>
    </row>
    <row r="1507" ht="14.25" customHeight="1">
      <c r="A1507" s="2">
        <v>1506.0</v>
      </c>
      <c r="B1507" s="2" t="s">
        <v>2604</v>
      </c>
      <c r="C1507" s="2" t="s">
        <v>4009</v>
      </c>
      <c r="D1507" s="2">
        <v>200.0</v>
      </c>
      <c r="E1507" s="2">
        <v>1.0</v>
      </c>
      <c r="F1507" s="2">
        <v>100.0</v>
      </c>
      <c r="G1507" s="2">
        <v>165300.0</v>
      </c>
    </row>
    <row r="1508" ht="14.25" customHeight="1">
      <c r="A1508" s="2">
        <v>1507.0</v>
      </c>
      <c r="B1508" s="2" t="s">
        <v>2512</v>
      </c>
      <c r="C1508" s="2" t="s">
        <v>4010</v>
      </c>
      <c r="D1508" s="2">
        <v>153.0</v>
      </c>
      <c r="E1508" s="2">
        <v>1.0</v>
      </c>
      <c r="F1508" s="2">
        <v>100.0</v>
      </c>
      <c r="G1508" s="2">
        <v>165200.0</v>
      </c>
    </row>
    <row r="1509" ht="14.25" customHeight="1">
      <c r="A1509" s="2">
        <v>1508.0</v>
      </c>
      <c r="B1509" s="2" t="s">
        <v>2561</v>
      </c>
      <c r="C1509" s="2" t="s">
        <v>4011</v>
      </c>
      <c r="D1509" s="2">
        <v>162.0</v>
      </c>
      <c r="E1509" s="2">
        <v>1.0</v>
      </c>
      <c r="F1509" s="2">
        <v>105.0</v>
      </c>
      <c r="G1509" s="2">
        <v>165200.0</v>
      </c>
    </row>
    <row r="1510" ht="14.25" customHeight="1">
      <c r="A1510" s="2">
        <v>1509.0</v>
      </c>
      <c r="B1510" s="2" t="s">
        <v>2534</v>
      </c>
      <c r="C1510" s="2" t="s">
        <v>4012</v>
      </c>
      <c r="D1510" s="2">
        <v>188.0</v>
      </c>
      <c r="E1510" s="2">
        <v>1.0</v>
      </c>
      <c r="F1510" s="2">
        <v>100.0</v>
      </c>
      <c r="G1510" s="2">
        <v>165200.0</v>
      </c>
    </row>
    <row r="1511" ht="14.25" customHeight="1">
      <c r="A1511" s="2">
        <v>1510.0</v>
      </c>
      <c r="B1511" s="2" t="s">
        <v>2507</v>
      </c>
      <c r="C1511" s="2" t="s">
        <v>4013</v>
      </c>
      <c r="D1511" s="2">
        <v>205.0</v>
      </c>
      <c r="E1511" s="2">
        <v>1.0</v>
      </c>
      <c r="F1511" s="2">
        <v>100.0</v>
      </c>
      <c r="G1511" s="2">
        <v>165100.0</v>
      </c>
    </row>
    <row r="1512" ht="14.25" customHeight="1">
      <c r="A1512" s="2">
        <v>1511.0</v>
      </c>
      <c r="B1512" s="2" t="s">
        <v>2488</v>
      </c>
      <c r="C1512" s="2" t="s">
        <v>4014</v>
      </c>
      <c r="D1512" s="2">
        <v>333.0</v>
      </c>
      <c r="E1512" s="2">
        <v>1.0</v>
      </c>
      <c r="F1512" s="2">
        <v>75.0</v>
      </c>
      <c r="G1512" s="2">
        <v>165100.0</v>
      </c>
    </row>
    <row r="1513" ht="14.25" customHeight="1">
      <c r="A1513" s="2">
        <v>1512.0</v>
      </c>
      <c r="B1513" s="2" t="s">
        <v>2477</v>
      </c>
      <c r="C1513" s="2" t="s">
        <v>4015</v>
      </c>
      <c r="D1513" s="2">
        <v>152.0</v>
      </c>
      <c r="E1513" s="2">
        <v>1.0</v>
      </c>
      <c r="F1513" s="2">
        <v>105.0</v>
      </c>
      <c r="G1513" s="2">
        <v>165000.0</v>
      </c>
    </row>
    <row r="1514" ht="14.25" customHeight="1">
      <c r="A1514" s="2">
        <v>1513.0</v>
      </c>
      <c r="B1514" s="2" t="s">
        <v>2477</v>
      </c>
      <c r="C1514" s="2" t="s">
        <v>4016</v>
      </c>
      <c r="D1514" s="2">
        <v>152.0</v>
      </c>
      <c r="E1514" s="2">
        <v>1.0</v>
      </c>
      <c r="F1514" s="2">
        <v>100.0</v>
      </c>
      <c r="G1514" s="2">
        <v>165000.0</v>
      </c>
    </row>
    <row r="1515" ht="14.25" customHeight="1">
      <c r="A1515" s="2">
        <v>1514.0</v>
      </c>
      <c r="B1515" s="2" t="s">
        <v>2744</v>
      </c>
      <c r="C1515" s="2" t="s">
        <v>4017</v>
      </c>
      <c r="D1515" s="2">
        <v>169.0</v>
      </c>
      <c r="E1515" s="2">
        <v>1.0</v>
      </c>
      <c r="F1515" s="2">
        <v>125.0</v>
      </c>
      <c r="G1515" s="2">
        <v>165000.0</v>
      </c>
    </row>
    <row r="1516" ht="14.25" customHeight="1">
      <c r="A1516" s="2">
        <v>1515.0</v>
      </c>
      <c r="B1516" s="2" t="s">
        <v>2945</v>
      </c>
      <c r="C1516" s="2" t="s">
        <v>4018</v>
      </c>
      <c r="D1516" s="2">
        <v>619.0</v>
      </c>
      <c r="E1516" s="2">
        <v>1.0</v>
      </c>
      <c r="F1516" s="2">
        <v>60.0</v>
      </c>
      <c r="G1516" s="2">
        <v>165000.0</v>
      </c>
    </row>
    <row r="1517" ht="14.25" customHeight="1">
      <c r="A1517" s="2">
        <v>1516.0</v>
      </c>
      <c r="B1517" s="2" t="s">
        <v>2571</v>
      </c>
      <c r="C1517" s="2" t="s">
        <v>4019</v>
      </c>
      <c r="D1517" s="2">
        <v>185.0</v>
      </c>
      <c r="E1517" s="2">
        <v>1.0</v>
      </c>
      <c r="F1517" s="2">
        <v>75.0</v>
      </c>
      <c r="G1517" s="2">
        <v>164900.0</v>
      </c>
    </row>
    <row r="1518" ht="14.25" customHeight="1">
      <c r="A1518" s="2">
        <v>1517.0</v>
      </c>
      <c r="B1518" s="2" t="s">
        <v>2512</v>
      </c>
      <c r="C1518" s="2" t="s">
        <v>4020</v>
      </c>
      <c r="D1518" s="2">
        <v>153.0</v>
      </c>
      <c r="E1518" s="2">
        <v>1.0</v>
      </c>
      <c r="F1518" s="2">
        <v>100.0</v>
      </c>
      <c r="G1518" s="2">
        <v>164800.0</v>
      </c>
    </row>
    <row r="1519" ht="14.25" customHeight="1">
      <c r="A1519" s="2">
        <v>1518.0</v>
      </c>
      <c r="B1519" s="2" t="s">
        <v>2512</v>
      </c>
      <c r="C1519" s="2" t="s">
        <v>4021</v>
      </c>
      <c r="D1519" s="2">
        <v>153.0</v>
      </c>
      <c r="E1519" s="2">
        <v>1.0</v>
      </c>
      <c r="F1519" s="2">
        <v>65.0</v>
      </c>
      <c r="G1519" s="2">
        <v>164800.0</v>
      </c>
    </row>
    <row r="1520" ht="14.25" customHeight="1">
      <c r="A1520" s="2">
        <v>1519.0</v>
      </c>
      <c r="B1520" s="2" t="s">
        <v>2518</v>
      </c>
      <c r="C1520" s="2" t="s">
        <v>4022</v>
      </c>
      <c r="D1520" s="2">
        <v>161.0</v>
      </c>
      <c r="E1520" s="2">
        <v>1.0</v>
      </c>
      <c r="F1520" s="2">
        <v>100.0</v>
      </c>
      <c r="G1520" s="2">
        <v>164800.0</v>
      </c>
    </row>
    <row r="1521" ht="14.25" customHeight="1">
      <c r="A1521" s="2">
        <v>1520.0</v>
      </c>
      <c r="B1521" s="2" t="s">
        <v>2582</v>
      </c>
      <c r="C1521" s="2" t="s">
        <v>4023</v>
      </c>
      <c r="D1521" s="2">
        <v>183.0</v>
      </c>
      <c r="E1521" s="2">
        <v>1.0</v>
      </c>
      <c r="F1521" s="2">
        <v>50.0</v>
      </c>
      <c r="G1521" s="2">
        <v>164800.0</v>
      </c>
    </row>
    <row r="1522" ht="14.25" customHeight="1">
      <c r="A1522" s="2">
        <v>1521.0</v>
      </c>
      <c r="B1522" s="2" t="s">
        <v>2541</v>
      </c>
      <c r="C1522" s="2" t="s">
        <v>4024</v>
      </c>
      <c r="D1522" s="2">
        <v>195.0</v>
      </c>
      <c r="E1522" s="2">
        <v>1.0</v>
      </c>
      <c r="F1522" s="2">
        <v>75.0</v>
      </c>
      <c r="G1522" s="2">
        <v>164800.0</v>
      </c>
    </row>
    <row r="1523" ht="14.25" customHeight="1">
      <c r="A1523" s="2">
        <v>1522.0</v>
      </c>
      <c r="B1523" s="2" t="s">
        <v>2488</v>
      </c>
      <c r="C1523" s="2" t="s">
        <v>4025</v>
      </c>
      <c r="D1523" s="2">
        <v>333.0</v>
      </c>
      <c r="E1523" s="2">
        <v>1.0</v>
      </c>
      <c r="F1523" s="2">
        <v>75.0</v>
      </c>
      <c r="G1523" s="2">
        <v>164800.0</v>
      </c>
    </row>
    <row r="1524" ht="14.25" customHeight="1">
      <c r="A1524" s="2">
        <v>1523.0</v>
      </c>
      <c r="B1524" s="2" t="s">
        <v>2582</v>
      </c>
      <c r="C1524" s="2" t="s">
        <v>4026</v>
      </c>
      <c r="D1524" s="2">
        <v>183.0</v>
      </c>
      <c r="E1524" s="2">
        <v>1.0</v>
      </c>
      <c r="F1524" s="2">
        <v>145.0</v>
      </c>
      <c r="G1524" s="2">
        <v>164700.0</v>
      </c>
    </row>
    <row r="1525" ht="14.25" customHeight="1">
      <c r="A1525" s="2">
        <v>1524.0</v>
      </c>
      <c r="B1525" s="2" t="s">
        <v>2501</v>
      </c>
      <c r="C1525" s="2" t="s">
        <v>4027</v>
      </c>
      <c r="D1525" s="2">
        <v>199.0</v>
      </c>
      <c r="E1525" s="2">
        <v>1.0</v>
      </c>
      <c r="F1525" s="2">
        <v>52.0</v>
      </c>
      <c r="G1525" s="2">
        <v>164700.0</v>
      </c>
    </row>
    <row r="1526" ht="14.25" customHeight="1">
      <c r="A1526" s="2">
        <v>1525.0</v>
      </c>
      <c r="B1526" s="2" t="s">
        <v>2621</v>
      </c>
      <c r="C1526" s="2" t="s">
        <v>4028</v>
      </c>
      <c r="D1526" s="2">
        <v>403.0</v>
      </c>
      <c r="E1526" s="2">
        <v>1.0</v>
      </c>
      <c r="F1526" s="2">
        <v>125.0</v>
      </c>
      <c r="G1526" s="2">
        <v>164700.0</v>
      </c>
    </row>
    <row r="1527" ht="14.25" customHeight="1">
      <c r="A1527" s="2">
        <v>1526.0</v>
      </c>
      <c r="B1527" s="2" t="s">
        <v>2479</v>
      </c>
      <c r="C1527" s="2" t="s">
        <v>4029</v>
      </c>
      <c r="D1527" s="2">
        <v>182.0</v>
      </c>
      <c r="E1527" s="2">
        <v>1.0</v>
      </c>
      <c r="F1527" s="2">
        <v>100.0</v>
      </c>
      <c r="G1527" s="2">
        <v>164600.0</v>
      </c>
    </row>
    <row r="1528" ht="14.25" customHeight="1">
      <c r="A1528" s="2">
        <v>1527.0</v>
      </c>
      <c r="B1528" s="2" t="s">
        <v>2594</v>
      </c>
      <c r="C1528" s="2" t="s">
        <v>4030</v>
      </c>
      <c r="D1528" s="2">
        <v>184.0</v>
      </c>
      <c r="E1528" s="2">
        <v>1.0</v>
      </c>
      <c r="F1528" s="2">
        <v>50.0</v>
      </c>
      <c r="G1528" s="2">
        <v>164600.0</v>
      </c>
    </row>
    <row r="1529" ht="14.25" customHeight="1">
      <c r="A1529" s="2">
        <v>1528.0</v>
      </c>
      <c r="B1529" s="2" t="s">
        <v>2621</v>
      </c>
      <c r="C1529" s="2" t="s">
        <v>4031</v>
      </c>
      <c r="D1529" s="2">
        <v>403.0</v>
      </c>
      <c r="E1529" s="2">
        <v>1.0</v>
      </c>
      <c r="F1529" s="2">
        <v>75.0</v>
      </c>
      <c r="G1529" s="2">
        <v>164600.0</v>
      </c>
    </row>
    <row r="1530" ht="14.25" customHeight="1">
      <c r="A1530" s="2">
        <v>1529.0</v>
      </c>
      <c r="B1530" s="2" t="s">
        <v>2604</v>
      </c>
      <c r="C1530" s="2" t="s">
        <v>4032</v>
      </c>
      <c r="D1530" s="2">
        <v>200.0</v>
      </c>
      <c r="E1530" s="2">
        <v>1.0</v>
      </c>
      <c r="F1530" s="2">
        <v>75.0</v>
      </c>
      <c r="G1530" s="2">
        <v>164500.0</v>
      </c>
    </row>
    <row r="1531" ht="14.25" customHeight="1">
      <c r="A1531" s="2">
        <v>1530.0</v>
      </c>
      <c r="B1531" s="2" t="s">
        <v>2507</v>
      </c>
      <c r="C1531" s="2" t="s">
        <v>4033</v>
      </c>
      <c r="D1531" s="2">
        <v>205.0</v>
      </c>
      <c r="E1531" s="2">
        <v>1.0</v>
      </c>
      <c r="F1531" s="2">
        <v>130.0</v>
      </c>
      <c r="G1531" s="2">
        <v>164500.0</v>
      </c>
    </row>
    <row r="1532" ht="14.25" customHeight="1">
      <c r="A1532" s="2">
        <v>1531.0</v>
      </c>
      <c r="B1532" s="2" t="s">
        <v>2534</v>
      </c>
      <c r="C1532" s="2" t="s">
        <v>4034</v>
      </c>
      <c r="D1532" s="2">
        <v>188.0</v>
      </c>
      <c r="E1532" s="2">
        <v>1.0</v>
      </c>
      <c r="F1532" s="2">
        <v>75.0</v>
      </c>
      <c r="G1532" s="2">
        <v>164400.0</v>
      </c>
    </row>
    <row r="1533" ht="14.25" customHeight="1">
      <c r="A1533" s="2">
        <v>1532.0</v>
      </c>
      <c r="B1533" s="2" t="s">
        <v>2651</v>
      </c>
      <c r="C1533" s="2" t="s">
        <v>4035</v>
      </c>
      <c r="D1533" s="2">
        <v>347.0</v>
      </c>
      <c r="E1533" s="2">
        <v>1.0</v>
      </c>
      <c r="F1533" s="2">
        <v>100.0</v>
      </c>
      <c r="G1533" s="2">
        <v>164400.0</v>
      </c>
    </row>
    <row r="1534" ht="14.25" customHeight="1">
      <c r="A1534" s="2">
        <v>1533.0</v>
      </c>
      <c r="B1534" s="2" t="s">
        <v>2512</v>
      </c>
      <c r="C1534" s="2" t="s">
        <v>4036</v>
      </c>
      <c r="D1534" s="2">
        <v>153.0</v>
      </c>
      <c r="E1534" s="2">
        <v>1.0</v>
      </c>
      <c r="F1534" s="2">
        <v>50.0</v>
      </c>
      <c r="G1534" s="2">
        <v>164300.0</v>
      </c>
    </row>
    <row r="1535" ht="14.25" customHeight="1">
      <c r="A1535" s="2">
        <v>1534.0</v>
      </c>
      <c r="B1535" s="2" t="s">
        <v>2561</v>
      </c>
      <c r="C1535" s="2" t="s">
        <v>4037</v>
      </c>
      <c r="D1535" s="2">
        <v>162.0</v>
      </c>
      <c r="E1535" s="2">
        <v>1.0</v>
      </c>
      <c r="F1535" s="2">
        <v>90.0</v>
      </c>
      <c r="G1535" s="2">
        <v>164300.0</v>
      </c>
    </row>
    <row r="1536" ht="14.25" customHeight="1">
      <c r="A1536" s="2">
        <v>1535.0</v>
      </c>
      <c r="B1536" s="2" t="s">
        <v>2582</v>
      </c>
      <c r="C1536" s="2" t="s">
        <v>4038</v>
      </c>
      <c r="D1536" s="2">
        <v>183.0</v>
      </c>
      <c r="E1536" s="2">
        <v>1.0</v>
      </c>
      <c r="F1536" s="2">
        <v>75.0</v>
      </c>
      <c r="G1536" s="2">
        <v>164300.0</v>
      </c>
    </row>
    <row r="1537" ht="14.25" customHeight="1">
      <c r="A1537" s="2">
        <v>1536.0</v>
      </c>
      <c r="B1537" s="2" t="s">
        <v>2558</v>
      </c>
      <c r="C1537" s="2" t="s">
        <v>4039</v>
      </c>
      <c r="D1537" s="2">
        <v>357.0</v>
      </c>
      <c r="E1537" s="2">
        <v>1.0</v>
      </c>
      <c r="F1537" s="2">
        <v>80.0</v>
      </c>
      <c r="G1537" s="2">
        <v>164300.0</v>
      </c>
    </row>
    <row r="1538" ht="14.25" customHeight="1">
      <c r="A1538" s="2">
        <v>1537.0</v>
      </c>
      <c r="B1538" s="2" t="s">
        <v>2945</v>
      </c>
      <c r="C1538" s="2" t="s">
        <v>4040</v>
      </c>
      <c r="D1538" s="2">
        <v>619.0</v>
      </c>
      <c r="E1538" s="2">
        <v>1.0</v>
      </c>
      <c r="F1538" s="2">
        <v>90.0</v>
      </c>
      <c r="G1538" s="2">
        <v>164300.0</v>
      </c>
    </row>
    <row r="1539" ht="14.25" customHeight="1">
      <c r="A1539" s="2">
        <v>1538.0</v>
      </c>
      <c r="B1539" s="2" t="s">
        <v>2512</v>
      </c>
      <c r="C1539" s="2" t="s">
        <v>4041</v>
      </c>
      <c r="D1539" s="2">
        <v>153.0</v>
      </c>
      <c r="E1539" s="2">
        <v>1.0</v>
      </c>
      <c r="F1539" s="2">
        <v>100.0</v>
      </c>
      <c r="G1539" s="2">
        <v>164200.0</v>
      </c>
    </row>
    <row r="1540" ht="14.25" customHeight="1">
      <c r="A1540" s="2">
        <v>1539.0</v>
      </c>
      <c r="B1540" s="2" t="s">
        <v>2582</v>
      </c>
      <c r="C1540" s="2" t="s">
        <v>4042</v>
      </c>
      <c r="D1540" s="2">
        <v>183.0</v>
      </c>
      <c r="E1540" s="2">
        <v>1.0</v>
      </c>
      <c r="F1540" s="2">
        <v>100.0</v>
      </c>
      <c r="G1540" s="2">
        <v>164200.0</v>
      </c>
    </row>
    <row r="1541" ht="14.25" customHeight="1">
      <c r="A1541" s="2">
        <v>1540.0</v>
      </c>
      <c r="B1541" s="2" t="s">
        <v>2571</v>
      </c>
      <c r="C1541" s="2" t="s">
        <v>4043</v>
      </c>
      <c r="D1541" s="2">
        <v>185.0</v>
      </c>
      <c r="E1541" s="2">
        <v>1.0</v>
      </c>
      <c r="F1541" s="2">
        <v>100.0</v>
      </c>
      <c r="G1541" s="2">
        <v>164200.0</v>
      </c>
    </row>
    <row r="1542" ht="14.25" customHeight="1">
      <c r="A1542" s="2">
        <v>1541.0</v>
      </c>
      <c r="B1542" s="2" t="s">
        <v>2488</v>
      </c>
      <c r="C1542" s="2" t="s">
        <v>4044</v>
      </c>
      <c r="D1542" s="2">
        <v>333.0</v>
      </c>
      <c r="E1542" s="2">
        <v>1.0</v>
      </c>
      <c r="F1542" s="2">
        <v>75.0</v>
      </c>
      <c r="G1542" s="2">
        <v>164200.0</v>
      </c>
    </row>
    <row r="1543" ht="14.25" customHeight="1">
      <c r="A1543" s="2">
        <v>1542.0</v>
      </c>
      <c r="B1543" s="2" t="s">
        <v>2497</v>
      </c>
      <c r="C1543" s="2" t="s">
        <v>4045</v>
      </c>
      <c r="D1543" s="2">
        <v>151.0</v>
      </c>
      <c r="E1543" s="2">
        <v>1.0</v>
      </c>
      <c r="F1543" s="2">
        <v>100.0</v>
      </c>
      <c r="G1543" s="2">
        <v>164000.0</v>
      </c>
    </row>
    <row r="1544" ht="14.25" customHeight="1">
      <c r="A1544" s="2">
        <v>1543.0</v>
      </c>
      <c r="B1544" s="2" t="s">
        <v>2477</v>
      </c>
      <c r="C1544" s="2" t="s">
        <v>4046</v>
      </c>
      <c r="D1544" s="2">
        <v>152.0</v>
      </c>
      <c r="E1544" s="2">
        <v>1.0</v>
      </c>
      <c r="F1544" s="2">
        <v>50.0</v>
      </c>
      <c r="G1544" s="2">
        <v>164000.0</v>
      </c>
    </row>
    <row r="1545" ht="14.25" customHeight="1">
      <c r="A1545" s="2">
        <v>1544.0</v>
      </c>
      <c r="B1545" s="2" t="s">
        <v>2576</v>
      </c>
      <c r="C1545" s="2" t="s">
        <v>4047</v>
      </c>
      <c r="D1545" s="2">
        <v>197.0</v>
      </c>
      <c r="E1545" s="2">
        <v>1.0</v>
      </c>
      <c r="F1545" s="2">
        <v>130.0</v>
      </c>
      <c r="G1545" s="2">
        <v>164000.0</v>
      </c>
    </row>
    <row r="1546" ht="14.25" customHeight="1">
      <c r="A1546" s="2">
        <v>1545.0</v>
      </c>
      <c r="B1546" s="2" t="s">
        <v>2604</v>
      </c>
      <c r="C1546" s="2" t="s">
        <v>4048</v>
      </c>
      <c r="D1546" s="2">
        <v>200.0</v>
      </c>
      <c r="E1546" s="2">
        <v>1.0</v>
      </c>
      <c r="F1546" s="2">
        <v>125.0</v>
      </c>
      <c r="G1546" s="2">
        <v>164000.0</v>
      </c>
    </row>
    <row r="1547" ht="14.25" customHeight="1">
      <c r="A1547" s="2">
        <v>1546.0</v>
      </c>
      <c r="B1547" s="2" t="s">
        <v>2524</v>
      </c>
      <c r="C1547" s="2" t="s">
        <v>4049</v>
      </c>
      <c r="D1547" s="2">
        <v>331.0</v>
      </c>
      <c r="E1547" s="2">
        <v>1.0</v>
      </c>
      <c r="F1547" s="2">
        <v>50.0</v>
      </c>
      <c r="G1547" s="2">
        <v>164000.0</v>
      </c>
    </row>
    <row r="1548" ht="14.25" customHeight="1">
      <c r="A1548" s="2">
        <v>1547.0</v>
      </c>
      <c r="B1548" s="2" t="s">
        <v>2945</v>
      </c>
      <c r="C1548" s="2" t="s">
        <v>4050</v>
      </c>
      <c r="D1548" s="2">
        <v>619.0</v>
      </c>
      <c r="E1548" s="2">
        <v>1.0</v>
      </c>
      <c r="F1548" s="2">
        <v>60.0</v>
      </c>
      <c r="G1548" s="2">
        <v>164000.0</v>
      </c>
    </row>
    <row r="1549" ht="14.25" customHeight="1">
      <c r="A1549" s="2">
        <v>1548.0</v>
      </c>
      <c r="B1549" s="2" t="s">
        <v>2479</v>
      </c>
      <c r="C1549" s="2" t="s">
        <v>4051</v>
      </c>
      <c r="D1549" s="2">
        <v>182.0</v>
      </c>
      <c r="E1549" s="2">
        <v>1.0</v>
      </c>
      <c r="F1549" s="2">
        <v>75.0</v>
      </c>
      <c r="G1549" s="2">
        <v>163900.0</v>
      </c>
    </row>
    <row r="1550" ht="14.25" customHeight="1">
      <c r="A1550" s="2">
        <v>1549.0</v>
      </c>
      <c r="B1550" s="2" t="s">
        <v>2582</v>
      </c>
      <c r="C1550" s="2" t="s">
        <v>4052</v>
      </c>
      <c r="D1550" s="2">
        <v>183.0</v>
      </c>
      <c r="E1550" s="2">
        <v>1.0</v>
      </c>
      <c r="F1550" s="2">
        <v>60.0</v>
      </c>
      <c r="G1550" s="2">
        <v>163900.0</v>
      </c>
    </row>
    <row r="1551" ht="14.25" customHeight="1">
      <c r="A1551" s="2">
        <v>1550.0</v>
      </c>
      <c r="B1551" s="2" t="s">
        <v>2594</v>
      </c>
      <c r="C1551" s="2" t="s">
        <v>4053</v>
      </c>
      <c r="D1551" s="2">
        <v>184.0</v>
      </c>
      <c r="E1551" s="2">
        <v>1.0</v>
      </c>
      <c r="F1551" s="2">
        <v>66.0</v>
      </c>
      <c r="G1551" s="2">
        <v>163900.0</v>
      </c>
    </row>
    <row r="1552" ht="14.25" customHeight="1">
      <c r="A1552" s="2">
        <v>1551.0</v>
      </c>
      <c r="B1552" s="2" t="s">
        <v>2505</v>
      </c>
      <c r="C1552" s="2" t="s">
        <v>4054</v>
      </c>
      <c r="D1552" s="2">
        <v>429.0</v>
      </c>
      <c r="E1552" s="2">
        <v>1.0</v>
      </c>
      <c r="F1552" s="2">
        <v>100.0</v>
      </c>
      <c r="G1552" s="2">
        <v>163800.0</v>
      </c>
    </row>
    <row r="1553" ht="14.25" customHeight="1">
      <c r="A1553" s="2">
        <v>1552.0</v>
      </c>
      <c r="B1553" s="2" t="s">
        <v>2497</v>
      </c>
      <c r="C1553" s="2" t="s">
        <v>4055</v>
      </c>
      <c r="D1553" s="2">
        <v>151.0</v>
      </c>
      <c r="E1553" s="2">
        <v>1.0</v>
      </c>
      <c r="F1553" s="2">
        <v>60.0</v>
      </c>
      <c r="G1553" s="2">
        <v>163700.0</v>
      </c>
    </row>
    <row r="1554" ht="14.25" customHeight="1">
      <c r="A1554" s="2">
        <v>1553.0</v>
      </c>
      <c r="B1554" s="2" t="s">
        <v>2507</v>
      </c>
      <c r="C1554" s="2" t="s">
        <v>4056</v>
      </c>
      <c r="D1554" s="2">
        <v>205.0</v>
      </c>
      <c r="E1554" s="2">
        <v>1.0</v>
      </c>
      <c r="F1554" s="2">
        <v>100.0</v>
      </c>
      <c r="G1554" s="2">
        <v>163700.0</v>
      </c>
    </row>
    <row r="1555" ht="14.25" customHeight="1">
      <c r="A1555" s="2">
        <v>1554.0</v>
      </c>
      <c r="B1555" s="2" t="s">
        <v>2945</v>
      </c>
      <c r="C1555" s="2" t="s">
        <v>4057</v>
      </c>
      <c r="D1555" s="2">
        <v>619.0</v>
      </c>
      <c r="E1555" s="2">
        <v>1.0</v>
      </c>
      <c r="F1555" s="2">
        <v>85.0</v>
      </c>
      <c r="G1555" s="2">
        <v>163600.0</v>
      </c>
    </row>
    <row r="1556" ht="14.25" customHeight="1">
      <c r="A1556" s="2">
        <v>1555.0</v>
      </c>
      <c r="B1556" s="2" t="s">
        <v>2744</v>
      </c>
      <c r="C1556" s="2" t="s">
        <v>4058</v>
      </c>
      <c r="D1556" s="2">
        <v>169.0</v>
      </c>
      <c r="E1556" s="2">
        <v>1.0</v>
      </c>
      <c r="F1556" s="2">
        <v>120.0</v>
      </c>
      <c r="G1556" s="2">
        <v>163500.0</v>
      </c>
    </row>
    <row r="1557" ht="14.25" customHeight="1">
      <c r="A1557" s="2">
        <v>1556.0</v>
      </c>
      <c r="B1557" s="2" t="s">
        <v>2604</v>
      </c>
      <c r="C1557" s="2" t="s">
        <v>4059</v>
      </c>
      <c r="D1557" s="2">
        <v>200.0</v>
      </c>
      <c r="E1557" s="2">
        <v>1.0</v>
      </c>
      <c r="F1557" s="2">
        <v>75.0</v>
      </c>
      <c r="G1557" s="2">
        <v>163500.0</v>
      </c>
    </row>
    <row r="1558" ht="14.25" customHeight="1">
      <c r="A1558" s="2">
        <v>1557.0</v>
      </c>
      <c r="B1558" s="2" t="s">
        <v>2945</v>
      </c>
      <c r="C1558" s="2" t="s">
        <v>4060</v>
      </c>
      <c r="D1558" s="2">
        <v>619.0</v>
      </c>
      <c r="E1558" s="2">
        <v>1.0</v>
      </c>
      <c r="F1558" s="2">
        <v>70.0</v>
      </c>
      <c r="G1558" s="2">
        <v>163500.0</v>
      </c>
    </row>
    <row r="1559" ht="14.25" customHeight="1">
      <c r="A1559" s="2">
        <v>1558.0</v>
      </c>
      <c r="B1559" s="2" t="s">
        <v>2744</v>
      </c>
      <c r="C1559" s="2" t="s">
        <v>4061</v>
      </c>
      <c r="D1559" s="2">
        <v>169.0</v>
      </c>
      <c r="E1559" s="2">
        <v>1.0</v>
      </c>
      <c r="F1559" s="2">
        <v>75.0</v>
      </c>
      <c r="G1559" s="2">
        <v>163400.0</v>
      </c>
    </row>
    <row r="1560" ht="14.25" customHeight="1">
      <c r="A1560" s="2">
        <v>1559.0</v>
      </c>
      <c r="B1560" s="2" t="s">
        <v>2477</v>
      </c>
      <c r="C1560" s="2" t="s">
        <v>4062</v>
      </c>
      <c r="D1560" s="2">
        <v>152.0</v>
      </c>
      <c r="E1560" s="2">
        <v>1.0</v>
      </c>
      <c r="F1560" s="2">
        <v>80.0</v>
      </c>
      <c r="G1560" s="2">
        <v>163300.0</v>
      </c>
    </row>
    <row r="1561" ht="14.25" customHeight="1">
      <c r="A1561" s="2">
        <v>1560.0</v>
      </c>
      <c r="B1561" s="2" t="s">
        <v>2479</v>
      </c>
      <c r="C1561" s="2" t="s">
        <v>4063</v>
      </c>
      <c r="D1561" s="2">
        <v>182.0</v>
      </c>
      <c r="E1561" s="2">
        <v>1.0</v>
      </c>
      <c r="F1561" s="2">
        <v>50.0</v>
      </c>
      <c r="G1561" s="2">
        <v>163300.0</v>
      </c>
    </row>
    <row r="1562" ht="14.25" customHeight="1">
      <c r="A1562" s="2">
        <v>1561.0</v>
      </c>
      <c r="B1562" s="2" t="s">
        <v>2582</v>
      </c>
      <c r="C1562" s="2" t="s">
        <v>4064</v>
      </c>
      <c r="D1562" s="2">
        <v>183.0</v>
      </c>
      <c r="E1562" s="2">
        <v>1.0</v>
      </c>
      <c r="F1562" s="2">
        <v>200.0</v>
      </c>
      <c r="G1562" s="2">
        <v>163300.0</v>
      </c>
    </row>
    <row r="1563" ht="14.25" customHeight="1">
      <c r="A1563" s="2">
        <v>1562.0</v>
      </c>
      <c r="B1563" s="2" t="s">
        <v>2558</v>
      </c>
      <c r="C1563" s="2" t="s">
        <v>4065</v>
      </c>
      <c r="D1563" s="2">
        <v>357.0</v>
      </c>
      <c r="E1563" s="2">
        <v>1.0</v>
      </c>
      <c r="F1563" s="2">
        <v>66.0</v>
      </c>
      <c r="G1563" s="2">
        <v>163300.0</v>
      </c>
    </row>
    <row r="1564" ht="14.25" customHeight="1">
      <c r="A1564" s="2">
        <v>1563.0</v>
      </c>
      <c r="B1564" s="2" t="s">
        <v>2503</v>
      </c>
      <c r="C1564" s="2" t="s">
        <v>4066</v>
      </c>
      <c r="D1564" s="2">
        <v>105.0</v>
      </c>
      <c r="E1564" s="2">
        <v>1.0</v>
      </c>
      <c r="F1564" s="2">
        <v>110.0</v>
      </c>
      <c r="G1564" s="2">
        <v>163200.0</v>
      </c>
    </row>
    <row r="1565" ht="14.25" customHeight="1">
      <c r="A1565" s="2">
        <v>1564.0</v>
      </c>
      <c r="B1565" s="2" t="s">
        <v>2512</v>
      </c>
      <c r="C1565" s="2" t="s">
        <v>4067</v>
      </c>
      <c r="D1565" s="2">
        <v>153.0</v>
      </c>
      <c r="E1565" s="2">
        <v>1.0</v>
      </c>
      <c r="F1565" s="2">
        <v>75.0</v>
      </c>
      <c r="G1565" s="2">
        <v>163200.0</v>
      </c>
    </row>
    <row r="1566" ht="14.25" customHeight="1">
      <c r="A1566" s="2">
        <v>1565.0</v>
      </c>
      <c r="B1566" s="2" t="s">
        <v>2512</v>
      </c>
      <c r="C1566" s="2" t="s">
        <v>4068</v>
      </c>
      <c r="D1566" s="2">
        <v>153.0</v>
      </c>
      <c r="E1566" s="2">
        <v>1.0</v>
      </c>
      <c r="F1566" s="2">
        <v>75.0</v>
      </c>
      <c r="G1566" s="2">
        <v>163200.0</v>
      </c>
    </row>
    <row r="1567" ht="14.25" customHeight="1">
      <c r="A1567" s="2">
        <v>1566.0</v>
      </c>
      <c r="B1567" s="2" t="s">
        <v>2651</v>
      </c>
      <c r="C1567" s="2" t="s">
        <v>4069</v>
      </c>
      <c r="D1567" s="2">
        <v>347.0</v>
      </c>
      <c r="E1567" s="2">
        <v>1.0</v>
      </c>
      <c r="F1567" s="2">
        <v>54.0</v>
      </c>
      <c r="G1567" s="2">
        <v>163100.0</v>
      </c>
    </row>
    <row r="1568" ht="14.25" customHeight="1">
      <c r="A1568" s="2">
        <v>1567.0</v>
      </c>
      <c r="B1568" s="2" t="s">
        <v>2621</v>
      </c>
      <c r="C1568" s="2" t="s">
        <v>4070</v>
      </c>
      <c r="D1568" s="2">
        <v>403.0</v>
      </c>
      <c r="E1568" s="2">
        <v>1.0</v>
      </c>
      <c r="F1568" s="2">
        <v>100.0</v>
      </c>
      <c r="G1568" s="2">
        <v>163100.0</v>
      </c>
    </row>
    <row r="1569" ht="14.25" customHeight="1">
      <c r="A1569" s="2">
        <v>1568.0</v>
      </c>
      <c r="B1569" s="2" t="s">
        <v>2576</v>
      </c>
      <c r="C1569" s="2" t="s">
        <v>4071</v>
      </c>
      <c r="D1569" s="2">
        <v>197.0</v>
      </c>
      <c r="E1569" s="2">
        <v>1.0</v>
      </c>
      <c r="F1569" s="2">
        <v>100.0</v>
      </c>
      <c r="G1569" s="2">
        <v>163000.0</v>
      </c>
    </row>
    <row r="1570" ht="14.25" customHeight="1">
      <c r="A1570" s="2">
        <v>1569.0</v>
      </c>
      <c r="B1570" s="2" t="s">
        <v>2651</v>
      </c>
      <c r="C1570" s="2" t="s">
        <v>4072</v>
      </c>
      <c r="D1570" s="2">
        <v>347.0</v>
      </c>
      <c r="E1570" s="2">
        <v>1.0</v>
      </c>
      <c r="F1570" s="2">
        <v>75.0</v>
      </c>
      <c r="G1570" s="2">
        <v>163000.0</v>
      </c>
    </row>
    <row r="1571" ht="14.25" customHeight="1">
      <c r="A1571" s="2">
        <v>1570.0</v>
      </c>
      <c r="B1571" s="2" t="s">
        <v>2501</v>
      </c>
      <c r="C1571" s="2" t="s">
        <v>4073</v>
      </c>
      <c r="D1571" s="2">
        <v>199.0</v>
      </c>
      <c r="E1571" s="2">
        <v>1.0</v>
      </c>
      <c r="F1571" s="2">
        <v>200.0</v>
      </c>
      <c r="G1571" s="2">
        <v>162900.0</v>
      </c>
    </row>
    <row r="1572" ht="14.25" customHeight="1">
      <c r="A1572" s="2">
        <v>1571.0</v>
      </c>
      <c r="B1572" s="2" t="s">
        <v>2621</v>
      </c>
      <c r="C1572" s="2" t="s">
        <v>4074</v>
      </c>
      <c r="D1572" s="2">
        <v>403.0</v>
      </c>
      <c r="E1572" s="2">
        <v>1.0</v>
      </c>
      <c r="F1572" s="2">
        <v>132.0</v>
      </c>
      <c r="G1572" s="2">
        <v>162900.0</v>
      </c>
    </row>
    <row r="1573" ht="14.25" customHeight="1">
      <c r="A1573" s="2">
        <v>1572.0</v>
      </c>
      <c r="B1573" s="2" t="s">
        <v>2512</v>
      </c>
      <c r="C1573" s="2" t="s">
        <v>4075</v>
      </c>
      <c r="D1573" s="2">
        <v>153.0</v>
      </c>
      <c r="E1573" s="2">
        <v>1.0</v>
      </c>
      <c r="F1573" s="2">
        <v>100.0</v>
      </c>
      <c r="G1573" s="2">
        <v>162800.0</v>
      </c>
    </row>
    <row r="1574" ht="14.25" customHeight="1">
      <c r="A1574" s="2">
        <v>1573.0</v>
      </c>
      <c r="B1574" s="2" t="s">
        <v>2479</v>
      </c>
      <c r="C1574" s="2" t="s">
        <v>4076</v>
      </c>
      <c r="D1574" s="2">
        <v>182.0</v>
      </c>
      <c r="E1574" s="2">
        <v>1.0</v>
      </c>
      <c r="F1574" s="2">
        <v>75.0</v>
      </c>
      <c r="G1574" s="2">
        <v>162800.0</v>
      </c>
    </row>
    <row r="1575" ht="14.25" customHeight="1">
      <c r="A1575" s="2">
        <v>1574.0</v>
      </c>
      <c r="B1575" s="2" t="s">
        <v>2651</v>
      </c>
      <c r="C1575" s="2" t="s">
        <v>4077</v>
      </c>
      <c r="D1575" s="2">
        <v>347.0</v>
      </c>
      <c r="E1575" s="2">
        <v>1.0</v>
      </c>
      <c r="F1575" s="2">
        <v>100.0</v>
      </c>
      <c r="G1575" s="2">
        <v>162800.0</v>
      </c>
    </row>
    <row r="1576" ht="14.25" customHeight="1">
      <c r="A1576" s="2">
        <v>1575.0</v>
      </c>
      <c r="B1576" s="2" t="s">
        <v>2945</v>
      </c>
      <c r="C1576" s="2" t="s">
        <v>4078</v>
      </c>
      <c r="D1576" s="2">
        <v>619.0</v>
      </c>
      <c r="E1576" s="2">
        <v>1.0</v>
      </c>
      <c r="F1576" s="2">
        <v>65.0</v>
      </c>
      <c r="G1576" s="2">
        <v>162800.0</v>
      </c>
    </row>
    <row r="1577" ht="14.25" customHeight="1">
      <c r="A1577" s="2">
        <v>1576.0</v>
      </c>
      <c r="B1577" s="2" t="s">
        <v>2518</v>
      </c>
      <c r="C1577" s="2" t="s">
        <v>4079</v>
      </c>
      <c r="D1577" s="2">
        <v>161.0</v>
      </c>
      <c r="E1577" s="2">
        <v>1.0</v>
      </c>
      <c r="F1577" s="2">
        <v>100.0</v>
      </c>
      <c r="G1577" s="2">
        <v>162700.0</v>
      </c>
    </row>
    <row r="1578" ht="14.25" customHeight="1">
      <c r="A1578" s="2">
        <v>1577.0</v>
      </c>
      <c r="B1578" s="2" t="s">
        <v>2501</v>
      </c>
      <c r="C1578" s="2" t="s">
        <v>4080</v>
      </c>
      <c r="D1578" s="2">
        <v>199.0</v>
      </c>
      <c r="E1578" s="2">
        <v>1.0</v>
      </c>
      <c r="F1578" s="2">
        <v>70.0</v>
      </c>
      <c r="G1578" s="2">
        <v>162700.0</v>
      </c>
    </row>
    <row r="1579" ht="14.25" customHeight="1">
      <c r="A1579" s="2">
        <v>1578.0</v>
      </c>
      <c r="B1579" s="2" t="s">
        <v>2558</v>
      </c>
      <c r="C1579" s="2" t="s">
        <v>4081</v>
      </c>
      <c r="D1579" s="2">
        <v>357.0</v>
      </c>
      <c r="E1579" s="2">
        <v>1.0</v>
      </c>
      <c r="F1579" s="2">
        <v>66.0</v>
      </c>
      <c r="G1579" s="2">
        <v>162700.0</v>
      </c>
    </row>
    <row r="1580" ht="14.25" customHeight="1">
      <c r="A1580" s="2">
        <v>1579.0</v>
      </c>
      <c r="B1580" s="2" t="s">
        <v>2549</v>
      </c>
      <c r="C1580" s="2" t="s">
        <v>4082</v>
      </c>
      <c r="D1580" s="2">
        <v>115.0</v>
      </c>
      <c r="E1580" s="2">
        <v>1.0</v>
      </c>
      <c r="F1580" s="2">
        <v>200.0</v>
      </c>
      <c r="G1580" s="2">
        <v>162600.0</v>
      </c>
    </row>
    <row r="1581" ht="14.25" customHeight="1">
      <c r="A1581" s="2">
        <v>1580.0</v>
      </c>
      <c r="B1581" s="2" t="s">
        <v>2488</v>
      </c>
      <c r="C1581" s="2" t="s">
        <v>4083</v>
      </c>
      <c r="D1581" s="2">
        <v>333.0</v>
      </c>
      <c r="E1581" s="2">
        <v>1.0</v>
      </c>
      <c r="F1581" s="2">
        <v>75.0</v>
      </c>
      <c r="G1581" s="2">
        <v>162600.0</v>
      </c>
    </row>
    <row r="1582" ht="14.25" customHeight="1">
      <c r="A1582" s="2">
        <v>1581.0</v>
      </c>
      <c r="B1582" s="2" t="s">
        <v>2503</v>
      </c>
      <c r="C1582" s="2" t="s">
        <v>4084</v>
      </c>
      <c r="D1582" s="2">
        <v>105.0</v>
      </c>
      <c r="E1582" s="2">
        <v>1.0</v>
      </c>
      <c r="F1582" s="2">
        <v>130.0</v>
      </c>
      <c r="G1582" s="2">
        <v>162400.0</v>
      </c>
    </row>
    <row r="1583" ht="14.25" customHeight="1">
      <c r="A1583" s="2">
        <v>1582.0</v>
      </c>
      <c r="B1583" s="2" t="s">
        <v>2686</v>
      </c>
      <c r="C1583" s="2" t="s">
        <v>4085</v>
      </c>
      <c r="D1583" s="2">
        <v>127.0</v>
      </c>
      <c r="E1583" s="2">
        <v>1.0</v>
      </c>
      <c r="F1583" s="2">
        <v>120.0</v>
      </c>
      <c r="G1583" s="2">
        <v>162200.0</v>
      </c>
    </row>
    <row r="1584" ht="14.25" customHeight="1">
      <c r="A1584" s="2">
        <v>1583.0</v>
      </c>
      <c r="B1584" s="2" t="s">
        <v>2561</v>
      </c>
      <c r="C1584" s="2" t="s">
        <v>4086</v>
      </c>
      <c r="D1584" s="2">
        <v>162.0</v>
      </c>
      <c r="E1584" s="2">
        <v>1.0</v>
      </c>
      <c r="F1584" s="2">
        <v>100.0</v>
      </c>
      <c r="G1584" s="2">
        <v>162200.0</v>
      </c>
    </row>
    <row r="1585" ht="14.25" customHeight="1">
      <c r="A1585" s="2">
        <v>1584.0</v>
      </c>
      <c r="B1585" s="2" t="s">
        <v>2477</v>
      </c>
      <c r="C1585" s="2" t="s">
        <v>4087</v>
      </c>
      <c r="D1585" s="2">
        <v>152.0</v>
      </c>
      <c r="E1585" s="2">
        <v>1.0</v>
      </c>
      <c r="F1585" s="2">
        <v>118.0</v>
      </c>
      <c r="G1585" s="2">
        <v>162100.0</v>
      </c>
    </row>
    <row r="1586" ht="14.25" customHeight="1">
      <c r="A1586" s="2">
        <v>1585.0</v>
      </c>
      <c r="B1586" s="2" t="s">
        <v>2534</v>
      </c>
      <c r="C1586" s="2" t="s">
        <v>4088</v>
      </c>
      <c r="D1586" s="2">
        <v>188.0</v>
      </c>
      <c r="E1586" s="2">
        <v>1.0</v>
      </c>
      <c r="F1586" s="2">
        <v>90.0</v>
      </c>
      <c r="G1586" s="2">
        <v>162100.0</v>
      </c>
    </row>
    <row r="1587" ht="14.25" customHeight="1">
      <c r="A1587" s="2">
        <v>1586.0</v>
      </c>
      <c r="B1587" s="2" t="s">
        <v>2501</v>
      </c>
      <c r="C1587" s="2" t="s">
        <v>4089</v>
      </c>
      <c r="D1587" s="2">
        <v>199.0</v>
      </c>
      <c r="E1587" s="2">
        <v>1.0</v>
      </c>
      <c r="F1587" s="2">
        <v>100.0</v>
      </c>
      <c r="G1587" s="2">
        <v>162100.0</v>
      </c>
    </row>
    <row r="1588" ht="14.25" customHeight="1">
      <c r="A1588" s="2">
        <v>1587.0</v>
      </c>
      <c r="B1588" s="2" t="s">
        <v>2488</v>
      </c>
      <c r="C1588" s="2" t="s">
        <v>4090</v>
      </c>
      <c r="D1588" s="2">
        <v>333.0</v>
      </c>
      <c r="E1588" s="2">
        <v>1.0</v>
      </c>
      <c r="F1588" s="2">
        <v>50.0</v>
      </c>
      <c r="G1588" s="2">
        <v>162100.0</v>
      </c>
    </row>
    <row r="1589" ht="14.25" customHeight="1">
      <c r="A1589" s="2">
        <v>1588.0</v>
      </c>
      <c r="B1589" s="2" t="s">
        <v>2518</v>
      </c>
      <c r="C1589" s="2" t="s">
        <v>4091</v>
      </c>
      <c r="D1589" s="2">
        <v>161.0</v>
      </c>
      <c r="E1589" s="2">
        <v>1.0</v>
      </c>
      <c r="F1589" s="2">
        <v>150.0</v>
      </c>
      <c r="G1589" s="2">
        <v>162000.0</v>
      </c>
    </row>
    <row r="1590" ht="14.25" customHeight="1">
      <c r="A1590" s="2">
        <v>1589.0</v>
      </c>
      <c r="B1590" s="2" t="s">
        <v>2945</v>
      </c>
      <c r="C1590" s="2" t="s">
        <v>4092</v>
      </c>
      <c r="D1590" s="2">
        <v>619.0</v>
      </c>
      <c r="E1590" s="2">
        <v>1.0</v>
      </c>
      <c r="F1590" s="2">
        <v>60.0</v>
      </c>
      <c r="G1590" s="2">
        <v>162000.0</v>
      </c>
    </row>
    <row r="1591" ht="14.25" customHeight="1">
      <c r="A1591" s="2">
        <v>1590.0</v>
      </c>
      <c r="B1591" s="2" t="s">
        <v>2561</v>
      </c>
      <c r="C1591" s="2" t="s">
        <v>4093</v>
      </c>
      <c r="D1591" s="2">
        <v>162.0</v>
      </c>
      <c r="E1591" s="2">
        <v>1.0</v>
      </c>
      <c r="F1591" s="2">
        <v>75.0</v>
      </c>
      <c r="G1591" s="2">
        <v>161900.0</v>
      </c>
    </row>
    <row r="1592" ht="14.25" customHeight="1">
      <c r="A1592" s="2">
        <v>1591.0</v>
      </c>
      <c r="B1592" s="2" t="s">
        <v>2479</v>
      </c>
      <c r="C1592" s="2" t="s">
        <v>4094</v>
      </c>
      <c r="D1592" s="2">
        <v>182.0</v>
      </c>
      <c r="E1592" s="2">
        <v>1.0</v>
      </c>
      <c r="F1592" s="2">
        <v>100.0</v>
      </c>
      <c r="G1592" s="2">
        <v>161900.0</v>
      </c>
    </row>
    <row r="1593" ht="14.25" customHeight="1">
      <c r="A1593" s="2">
        <v>1592.0</v>
      </c>
      <c r="B1593" s="2" t="s">
        <v>2945</v>
      </c>
      <c r="C1593" s="2" t="s">
        <v>4095</v>
      </c>
      <c r="D1593" s="2">
        <v>619.0</v>
      </c>
      <c r="E1593" s="2">
        <v>1.0</v>
      </c>
      <c r="F1593" s="2">
        <v>60.0</v>
      </c>
      <c r="G1593" s="2">
        <v>161900.0</v>
      </c>
    </row>
    <row r="1594" ht="14.25" customHeight="1">
      <c r="A1594" s="2">
        <v>1593.0</v>
      </c>
      <c r="B1594" s="2" t="s">
        <v>2503</v>
      </c>
      <c r="C1594" s="2" t="s">
        <v>4096</v>
      </c>
      <c r="D1594" s="2">
        <v>105.0</v>
      </c>
      <c r="E1594" s="2">
        <v>1.0</v>
      </c>
      <c r="F1594" s="2">
        <v>100.0</v>
      </c>
      <c r="G1594" s="2">
        <v>161800.0</v>
      </c>
    </row>
    <row r="1595" ht="14.25" customHeight="1">
      <c r="A1595" s="2">
        <v>1594.0</v>
      </c>
      <c r="B1595" s="2" t="s">
        <v>2534</v>
      </c>
      <c r="C1595" s="2" t="s">
        <v>4097</v>
      </c>
      <c r="D1595" s="2">
        <v>188.0</v>
      </c>
      <c r="E1595" s="2">
        <v>1.0</v>
      </c>
      <c r="F1595" s="2">
        <v>125.0</v>
      </c>
      <c r="G1595" s="2">
        <v>161800.0</v>
      </c>
    </row>
    <row r="1596" ht="14.25" customHeight="1">
      <c r="A1596" s="2">
        <v>1595.0</v>
      </c>
      <c r="B1596" s="2" t="s">
        <v>2576</v>
      </c>
      <c r="C1596" s="2" t="s">
        <v>4098</v>
      </c>
      <c r="D1596" s="2">
        <v>197.0</v>
      </c>
      <c r="E1596" s="2">
        <v>1.0</v>
      </c>
      <c r="F1596" s="2">
        <v>100.0</v>
      </c>
      <c r="G1596" s="2">
        <v>161800.0</v>
      </c>
    </row>
    <row r="1597" ht="14.25" customHeight="1">
      <c r="A1597" s="2">
        <v>1596.0</v>
      </c>
      <c r="B1597" s="2" t="s">
        <v>2621</v>
      </c>
      <c r="C1597" s="2" t="s">
        <v>4099</v>
      </c>
      <c r="D1597" s="2">
        <v>403.0</v>
      </c>
      <c r="E1597" s="2">
        <v>1.0</v>
      </c>
      <c r="F1597" s="2">
        <v>132.0</v>
      </c>
      <c r="G1597" s="2">
        <v>161800.0</v>
      </c>
    </row>
    <row r="1598" ht="14.25" customHeight="1">
      <c r="A1598" s="2">
        <v>1597.0</v>
      </c>
      <c r="B1598" s="2" t="s">
        <v>2512</v>
      </c>
      <c r="C1598" s="2" t="s">
        <v>4100</v>
      </c>
      <c r="D1598" s="2">
        <v>153.0</v>
      </c>
      <c r="E1598" s="2">
        <v>1.0</v>
      </c>
      <c r="F1598" s="2">
        <v>50.0</v>
      </c>
      <c r="G1598" s="2">
        <v>161700.0</v>
      </c>
    </row>
    <row r="1599" ht="14.25" customHeight="1">
      <c r="A1599" s="2">
        <v>1598.0</v>
      </c>
      <c r="B1599" s="2" t="s">
        <v>2534</v>
      </c>
      <c r="C1599" s="2" t="s">
        <v>4101</v>
      </c>
      <c r="D1599" s="2">
        <v>188.0</v>
      </c>
      <c r="E1599" s="2">
        <v>1.0</v>
      </c>
      <c r="F1599" s="2">
        <v>200.0</v>
      </c>
      <c r="G1599" s="2">
        <v>161700.0</v>
      </c>
    </row>
    <row r="1600" ht="14.25" customHeight="1">
      <c r="A1600" s="2">
        <v>1599.0</v>
      </c>
      <c r="B1600" s="2" t="s">
        <v>2512</v>
      </c>
      <c r="C1600" s="2" t="s">
        <v>4102</v>
      </c>
      <c r="D1600" s="2">
        <v>153.0</v>
      </c>
      <c r="E1600" s="2">
        <v>1.0</v>
      </c>
      <c r="F1600" s="2">
        <v>75.0</v>
      </c>
      <c r="G1600" s="2">
        <v>161600.0</v>
      </c>
    </row>
    <row r="1601" ht="14.25" customHeight="1">
      <c r="A1601" s="2">
        <v>1600.0</v>
      </c>
      <c r="B1601" s="2" t="s">
        <v>2744</v>
      </c>
      <c r="C1601" s="2" t="s">
        <v>4103</v>
      </c>
      <c r="D1601" s="2">
        <v>169.0</v>
      </c>
      <c r="E1601" s="2">
        <v>1.0</v>
      </c>
      <c r="F1601" s="2">
        <v>120.0</v>
      </c>
      <c r="G1601" s="2">
        <v>161600.0</v>
      </c>
    </row>
    <row r="1602" ht="14.25" customHeight="1">
      <c r="A1602" s="2">
        <v>1601.0</v>
      </c>
      <c r="B1602" s="2" t="s">
        <v>2549</v>
      </c>
      <c r="C1602" s="2" t="s">
        <v>4104</v>
      </c>
      <c r="D1602" s="2">
        <v>115.0</v>
      </c>
      <c r="E1602" s="2">
        <v>1.0</v>
      </c>
      <c r="F1602" s="2">
        <v>50.0</v>
      </c>
      <c r="G1602" s="2">
        <v>161500.0</v>
      </c>
    </row>
    <row r="1603" ht="14.25" customHeight="1">
      <c r="A1603" s="2">
        <v>1602.0</v>
      </c>
      <c r="B1603" s="2" t="s">
        <v>2571</v>
      </c>
      <c r="C1603" s="2" t="s">
        <v>4105</v>
      </c>
      <c r="D1603" s="2">
        <v>185.0</v>
      </c>
      <c r="E1603" s="2">
        <v>1.0</v>
      </c>
      <c r="F1603" s="2">
        <v>75.0</v>
      </c>
      <c r="G1603" s="2">
        <v>161500.0</v>
      </c>
    </row>
    <row r="1604" ht="14.25" customHeight="1">
      <c r="A1604" s="2">
        <v>1603.0</v>
      </c>
      <c r="B1604" s="2" t="s">
        <v>2604</v>
      </c>
      <c r="C1604" s="2" t="s">
        <v>4106</v>
      </c>
      <c r="D1604" s="2">
        <v>200.0</v>
      </c>
      <c r="E1604" s="2">
        <v>1.0</v>
      </c>
      <c r="F1604" s="2">
        <v>75.0</v>
      </c>
      <c r="G1604" s="2">
        <v>161500.0</v>
      </c>
    </row>
    <row r="1605" ht="14.25" customHeight="1">
      <c r="A1605" s="2">
        <v>1604.0</v>
      </c>
      <c r="B1605" s="2" t="s">
        <v>2475</v>
      </c>
      <c r="C1605" s="2" t="s">
        <v>4107</v>
      </c>
      <c r="D1605" s="2">
        <v>143.0</v>
      </c>
      <c r="E1605" s="2">
        <v>1.0</v>
      </c>
      <c r="F1605" s="2">
        <v>50.0</v>
      </c>
      <c r="G1605" s="2">
        <v>161400.0</v>
      </c>
    </row>
    <row r="1606" ht="14.25" customHeight="1">
      <c r="A1606" s="2">
        <v>1605.0</v>
      </c>
      <c r="B1606" s="2" t="s">
        <v>2636</v>
      </c>
      <c r="C1606" s="2" t="s">
        <v>4108</v>
      </c>
      <c r="D1606" s="2">
        <v>145.0</v>
      </c>
      <c r="E1606" s="2">
        <v>1.0</v>
      </c>
      <c r="F1606" s="2">
        <v>50.0</v>
      </c>
      <c r="G1606" s="2">
        <v>161400.0</v>
      </c>
    </row>
    <row r="1607" ht="14.25" customHeight="1">
      <c r="A1607" s="2">
        <v>1606.0</v>
      </c>
      <c r="B1607" s="2" t="s">
        <v>2503</v>
      </c>
      <c r="C1607" s="2" t="s">
        <v>4109</v>
      </c>
      <c r="D1607" s="2">
        <v>105.0</v>
      </c>
      <c r="E1607" s="2">
        <v>1.0</v>
      </c>
      <c r="F1607" s="2">
        <v>60.0</v>
      </c>
      <c r="G1607" s="2">
        <v>161300.0</v>
      </c>
    </row>
    <row r="1608" ht="14.25" customHeight="1">
      <c r="A1608" s="2">
        <v>1607.0</v>
      </c>
      <c r="B1608" s="2" t="s">
        <v>2518</v>
      </c>
      <c r="C1608" s="2" t="s">
        <v>4110</v>
      </c>
      <c r="D1608" s="2">
        <v>161.0</v>
      </c>
      <c r="E1608" s="2">
        <v>1.0</v>
      </c>
      <c r="F1608" s="2">
        <v>75.0</v>
      </c>
      <c r="G1608" s="2">
        <v>161300.0</v>
      </c>
    </row>
    <row r="1609" ht="14.25" customHeight="1">
      <c r="A1609" s="2">
        <v>1608.0</v>
      </c>
      <c r="B1609" s="2" t="s">
        <v>2636</v>
      </c>
      <c r="C1609" s="2" t="s">
        <v>4111</v>
      </c>
      <c r="D1609" s="2">
        <v>145.0</v>
      </c>
      <c r="E1609" s="2">
        <v>1.0</v>
      </c>
      <c r="F1609" s="2">
        <v>54.0</v>
      </c>
      <c r="G1609" s="2">
        <v>161200.0</v>
      </c>
    </row>
    <row r="1610" ht="14.25" customHeight="1">
      <c r="A1610" s="2">
        <v>1609.0</v>
      </c>
      <c r="B1610" s="2" t="s">
        <v>2571</v>
      </c>
      <c r="C1610" s="2" t="s">
        <v>4112</v>
      </c>
      <c r="D1610" s="2">
        <v>185.0</v>
      </c>
      <c r="E1610" s="2">
        <v>1.0</v>
      </c>
      <c r="F1610" s="2">
        <v>100.0</v>
      </c>
      <c r="G1610" s="2">
        <v>161200.0</v>
      </c>
    </row>
    <row r="1611" ht="14.25" customHeight="1">
      <c r="A1611" s="2">
        <v>1610.0</v>
      </c>
      <c r="B1611" s="2" t="s">
        <v>2594</v>
      </c>
      <c r="C1611" s="2" t="s">
        <v>4113</v>
      </c>
      <c r="D1611" s="2">
        <v>184.0</v>
      </c>
      <c r="E1611" s="2">
        <v>1.0</v>
      </c>
      <c r="F1611" s="2">
        <v>100.0</v>
      </c>
      <c r="G1611" s="2">
        <v>161100.0</v>
      </c>
    </row>
    <row r="1612" ht="14.25" customHeight="1">
      <c r="A1612" s="2">
        <v>1611.0</v>
      </c>
      <c r="B1612" s="2" t="s">
        <v>2744</v>
      </c>
      <c r="C1612" s="2" t="s">
        <v>4114</v>
      </c>
      <c r="D1612" s="2">
        <v>169.0</v>
      </c>
      <c r="E1612" s="2">
        <v>1.0</v>
      </c>
      <c r="F1612" s="2">
        <v>85.0</v>
      </c>
      <c r="G1612" s="2">
        <v>161000.0</v>
      </c>
    </row>
    <row r="1613" ht="14.25" customHeight="1">
      <c r="A1613" s="2">
        <v>1612.0</v>
      </c>
      <c r="B1613" s="2" t="s">
        <v>2488</v>
      </c>
      <c r="C1613" s="2" t="s">
        <v>4115</v>
      </c>
      <c r="D1613" s="2">
        <v>333.0</v>
      </c>
      <c r="E1613" s="2">
        <v>1.0</v>
      </c>
      <c r="F1613" s="2">
        <v>75.0</v>
      </c>
      <c r="G1613" s="2">
        <v>160900.0</v>
      </c>
    </row>
    <row r="1614" ht="14.25" customHeight="1">
      <c r="A1614" s="2">
        <v>1613.0</v>
      </c>
      <c r="B1614" s="2" t="s">
        <v>2558</v>
      </c>
      <c r="C1614" s="2" t="s">
        <v>4116</v>
      </c>
      <c r="D1614" s="2">
        <v>357.0</v>
      </c>
      <c r="E1614" s="2">
        <v>1.0</v>
      </c>
      <c r="F1614" s="2">
        <v>66.0</v>
      </c>
      <c r="G1614" s="2">
        <v>160900.0</v>
      </c>
    </row>
    <row r="1615" ht="14.25" customHeight="1">
      <c r="A1615" s="2">
        <v>1614.0</v>
      </c>
      <c r="B1615" s="2" t="s">
        <v>2503</v>
      </c>
      <c r="C1615" s="2" t="s">
        <v>4117</v>
      </c>
      <c r="D1615" s="2">
        <v>105.0</v>
      </c>
      <c r="E1615" s="2">
        <v>1.0</v>
      </c>
      <c r="F1615" s="2">
        <v>100.0</v>
      </c>
      <c r="G1615" s="2">
        <v>160800.0</v>
      </c>
    </row>
    <row r="1616" ht="14.25" customHeight="1">
      <c r="A1616" s="2">
        <v>1615.0</v>
      </c>
      <c r="B1616" s="2" t="s">
        <v>2503</v>
      </c>
      <c r="C1616" s="2" t="s">
        <v>4118</v>
      </c>
      <c r="D1616" s="2">
        <v>105.0</v>
      </c>
      <c r="E1616" s="2">
        <v>1.0</v>
      </c>
      <c r="F1616" s="2">
        <v>65.0</v>
      </c>
      <c r="G1616" s="2">
        <v>160800.0</v>
      </c>
    </row>
    <row r="1617" ht="14.25" customHeight="1">
      <c r="A1617" s="2">
        <v>1616.0</v>
      </c>
      <c r="B1617" s="2" t="s">
        <v>2497</v>
      </c>
      <c r="C1617" s="2" t="s">
        <v>4119</v>
      </c>
      <c r="D1617" s="2">
        <v>151.0</v>
      </c>
      <c r="E1617" s="2">
        <v>1.0</v>
      </c>
      <c r="F1617" s="2">
        <v>150.0</v>
      </c>
      <c r="G1617" s="2">
        <v>160700.0</v>
      </c>
    </row>
    <row r="1618" ht="14.25" customHeight="1">
      <c r="A1618" s="2">
        <v>1617.0</v>
      </c>
      <c r="B1618" s="2" t="s">
        <v>2477</v>
      </c>
      <c r="C1618" s="2" t="s">
        <v>4120</v>
      </c>
      <c r="D1618" s="2">
        <v>152.0</v>
      </c>
      <c r="E1618" s="2">
        <v>1.0</v>
      </c>
      <c r="F1618" s="2">
        <v>52.0</v>
      </c>
      <c r="G1618" s="2">
        <v>160700.0</v>
      </c>
    </row>
    <row r="1619" ht="14.25" customHeight="1">
      <c r="A1619" s="2">
        <v>1618.0</v>
      </c>
      <c r="B1619" s="2" t="s">
        <v>2477</v>
      </c>
      <c r="C1619" s="2" t="s">
        <v>4121</v>
      </c>
      <c r="D1619" s="2">
        <v>152.0</v>
      </c>
      <c r="E1619" s="2">
        <v>1.0</v>
      </c>
      <c r="F1619" s="2">
        <v>100.0</v>
      </c>
      <c r="G1619" s="2">
        <v>160700.0</v>
      </c>
    </row>
    <row r="1620" ht="14.25" customHeight="1">
      <c r="A1620" s="2">
        <v>1619.0</v>
      </c>
      <c r="B1620" s="2" t="s">
        <v>2512</v>
      </c>
      <c r="C1620" s="2" t="s">
        <v>4122</v>
      </c>
      <c r="D1620" s="2">
        <v>153.0</v>
      </c>
      <c r="E1620" s="2">
        <v>1.0</v>
      </c>
      <c r="F1620" s="2">
        <v>60.0</v>
      </c>
      <c r="G1620" s="2">
        <v>160700.0</v>
      </c>
    </row>
    <row r="1621" ht="14.25" customHeight="1">
      <c r="A1621" s="2">
        <v>1620.0</v>
      </c>
      <c r="B1621" s="2" t="s">
        <v>2744</v>
      </c>
      <c r="C1621" s="2" t="s">
        <v>4123</v>
      </c>
      <c r="D1621" s="2">
        <v>169.0</v>
      </c>
      <c r="E1621" s="2">
        <v>1.0</v>
      </c>
      <c r="F1621" s="2">
        <v>80.0</v>
      </c>
      <c r="G1621" s="2">
        <v>160700.0</v>
      </c>
    </row>
    <row r="1622" ht="14.25" customHeight="1">
      <c r="A1622" s="2">
        <v>1621.0</v>
      </c>
      <c r="B1622" s="2" t="s">
        <v>2507</v>
      </c>
      <c r="C1622" s="2" t="s">
        <v>4124</v>
      </c>
      <c r="D1622" s="2">
        <v>205.0</v>
      </c>
      <c r="E1622" s="2">
        <v>1.0</v>
      </c>
      <c r="F1622" s="2">
        <v>50.0</v>
      </c>
      <c r="G1622" s="2">
        <v>160700.0</v>
      </c>
    </row>
    <row r="1623" ht="14.25" customHeight="1">
      <c r="A1623" s="2">
        <v>1622.0</v>
      </c>
      <c r="B1623" s="2" t="s">
        <v>2488</v>
      </c>
      <c r="C1623" s="2" t="s">
        <v>4125</v>
      </c>
      <c r="D1623" s="2">
        <v>333.0</v>
      </c>
      <c r="E1623" s="2">
        <v>1.0</v>
      </c>
      <c r="F1623" s="2">
        <v>75.0</v>
      </c>
      <c r="G1623" s="2">
        <v>160700.0</v>
      </c>
    </row>
    <row r="1624" ht="14.25" customHeight="1">
      <c r="A1624" s="2">
        <v>1623.0</v>
      </c>
      <c r="B1624" s="2" t="s">
        <v>2636</v>
      </c>
      <c r="C1624" s="2" t="s">
        <v>4126</v>
      </c>
      <c r="D1624" s="2">
        <v>145.0</v>
      </c>
      <c r="E1624" s="2">
        <v>1.0</v>
      </c>
      <c r="F1624" s="2">
        <v>100.0</v>
      </c>
      <c r="G1624" s="2">
        <v>160600.0</v>
      </c>
    </row>
    <row r="1625" ht="14.25" customHeight="1">
      <c r="A1625" s="2">
        <v>1624.0</v>
      </c>
      <c r="B1625" s="2" t="s">
        <v>2582</v>
      </c>
      <c r="C1625" s="2" t="s">
        <v>4127</v>
      </c>
      <c r="D1625" s="2">
        <v>183.0</v>
      </c>
      <c r="E1625" s="2">
        <v>1.0</v>
      </c>
      <c r="F1625" s="2">
        <v>125.0</v>
      </c>
      <c r="G1625" s="2">
        <v>160600.0</v>
      </c>
    </row>
    <row r="1626" ht="14.25" customHeight="1">
      <c r="A1626" s="2">
        <v>1625.0</v>
      </c>
      <c r="B1626" s="2" t="s">
        <v>2475</v>
      </c>
      <c r="C1626" s="2" t="s">
        <v>4128</v>
      </c>
      <c r="D1626" s="2">
        <v>143.0</v>
      </c>
      <c r="E1626" s="2">
        <v>1.0</v>
      </c>
      <c r="F1626" s="2">
        <v>70.0</v>
      </c>
      <c r="G1626" s="2">
        <v>160300.0</v>
      </c>
    </row>
    <row r="1627" ht="14.25" customHeight="1">
      <c r="A1627" s="2">
        <v>1626.0</v>
      </c>
      <c r="B1627" s="2" t="s">
        <v>2512</v>
      </c>
      <c r="C1627" s="2" t="s">
        <v>4129</v>
      </c>
      <c r="D1627" s="2">
        <v>153.0</v>
      </c>
      <c r="E1627" s="2">
        <v>1.0</v>
      </c>
      <c r="F1627" s="2">
        <v>50.0</v>
      </c>
      <c r="G1627" s="2">
        <v>160300.0</v>
      </c>
    </row>
    <row r="1628" ht="14.25" customHeight="1">
      <c r="A1628" s="2">
        <v>1627.0</v>
      </c>
      <c r="B1628" s="2" t="s">
        <v>2604</v>
      </c>
      <c r="C1628" s="2" t="s">
        <v>4130</v>
      </c>
      <c r="D1628" s="2">
        <v>200.0</v>
      </c>
      <c r="E1628" s="2">
        <v>1.0</v>
      </c>
      <c r="F1628" s="2">
        <v>105.0</v>
      </c>
      <c r="G1628" s="2">
        <v>160300.0</v>
      </c>
    </row>
    <row r="1629" ht="14.25" customHeight="1">
      <c r="A1629" s="2">
        <v>1628.0</v>
      </c>
      <c r="B1629" s="2" t="s">
        <v>2505</v>
      </c>
      <c r="C1629" s="2" t="s">
        <v>4131</v>
      </c>
      <c r="D1629" s="2">
        <v>429.0</v>
      </c>
      <c r="E1629" s="2">
        <v>1.0</v>
      </c>
      <c r="F1629" s="2">
        <v>85.0</v>
      </c>
      <c r="G1629" s="2">
        <v>160300.0</v>
      </c>
    </row>
    <row r="1630" ht="14.25" customHeight="1">
      <c r="A1630" s="2">
        <v>1629.0</v>
      </c>
      <c r="B1630" s="2" t="s">
        <v>2549</v>
      </c>
      <c r="C1630" s="2" t="s">
        <v>4132</v>
      </c>
      <c r="D1630" s="2">
        <v>115.0</v>
      </c>
      <c r="E1630" s="2">
        <v>1.0</v>
      </c>
      <c r="F1630" s="2">
        <v>50.0</v>
      </c>
      <c r="G1630" s="2">
        <v>160200.0</v>
      </c>
    </row>
    <row r="1631" ht="14.25" customHeight="1">
      <c r="A1631" s="2">
        <v>1630.0</v>
      </c>
      <c r="B1631" s="2" t="s">
        <v>2594</v>
      </c>
      <c r="C1631" s="2" t="s">
        <v>4133</v>
      </c>
      <c r="D1631" s="2">
        <v>184.0</v>
      </c>
      <c r="E1631" s="2">
        <v>1.0</v>
      </c>
      <c r="F1631" s="2">
        <v>165.0</v>
      </c>
      <c r="G1631" s="2">
        <v>160200.0</v>
      </c>
    </row>
    <row r="1632" ht="14.25" customHeight="1">
      <c r="A1632" s="2">
        <v>1631.0</v>
      </c>
      <c r="B1632" s="2" t="s">
        <v>2558</v>
      </c>
      <c r="C1632" s="2" t="s">
        <v>4134</v>
      </c>
      <c r="D1632" s="2">
        <v>357.0</v>
      </c>
      <c r="E1632" s="2">
        <v>1.0</v>
      </c>
      <c r="F1632" s="2">
        <v>66.0</v>
      </c>
      <c r="G1632" s="2">
        <v>160200.0</v>
      </c>
    </row>
    <row r="1633" ht="14.25" customHeight="1">
      <c r="A1633" s="2">
        <v>1632.0</v>
      </c>
      <c r="B1633" s="2" t="s">
        <v>2505</v>
      </c>
      <c r="C1633" s="2" t="s">
        <v>4135</v>
      </c>
      <c r="D1633" s="2">
        <v>429.0</v>
      </c>
      <c r="E1633" s="2">
        <v>1.0</v>
      </c>
      <c r="F1633" s="2">
        <v>50.0</v>
      </c>
      <c r="G1633" s="2">
        <v>160100.0</v>
      </c>
    </row>
    <row r="1634" ht="14.25" customHeight="1">
      <c r="A1634" s="2">
        <v>1633.0</v>
      </c>
      <c r="B1634" s="2" t="s">
        <v>2686</v>
      </c>
      <c r="C1634" s="2" t="s">
        <v>4136</v>
      </c>
      <c r="D1634" s="2">
        <v>127.0</v>
      </c>
      <c r="E1634" s="2">
        <v>1.0</v>
      </c>
      <c r="F1634" s="2">
        <v>60.0</v>
      </c>
      <c r="G1634" s="2">
        <v>160000.0</v>
      </c>
    </row>
    <row r="1635" ht="14.25" customHeight="1">
      <c r="A1635" s="2">
        <v>1634.0</v>
      </c>
      <c r="B1635" s="2" t="s">
        <v>2686</v>
      </c>
      <c r="C1635" s="2" t="s">
        <v>4137</v>
      </c>
      <c r="D1635" s="2">
        <v>127.0</v>
      </c>
      <c r="E1635" s="2">
        <v>1.0</v>
      </c>
      <c r="F1635" s="2">
        <v>60.0</v>
      </c>
      <c r="G1635" s="2">
        <v>160000.0</v>
      </c>
    </row>
    <row r="1636" ht="14.25" customHeight="1">
      <c r="A1636" s="2">
        <v>1635.0</v>
      </c>
      <c r="B1636" s="2" t="s">
        <v>2497</v>
      </c>
      <c r="C1636" s="2" t="s">
        <v>4138</v>
      </c>
      <c r="D1636" s="2">
        <v>151.0</v>
      </c>
      <c r="E1636" s="2">
        <v>1.0</v>
      </c>
      <c r="F1636" s="2">
        <v>50.0</v>
      </c>
      <c r="G1636" s="2">
        <v>160000.0</v>
      </c>
    </row>
    <row r="1637" ht="14.25" customHeight="1">
      <c r="A1637" s="2">
        <v>1636.0</v>
      </c>
      <c r="B1637" s="2" t="s">
        <v>2744</v>
      </c>
      <c r="C1637" s="2" t="s">
        <v>4139</v>
      </c>
      <c r="D1637" s="2">
        <v>169.0</v>
      </c>
      <c r="E1637" s="2">
        <v>1.0</v>
      </c>
      <c r="F1637" s="2">
        <v>50.0</v>
      </c>
      <c r="G1637" s="2">
        <v>160000.0</v>
      </c>
    </row>
    <row r="1638" ht="14.25" customHeight="1">
      <c r="A1638" s="2">
        <v>1637.0</v>
      </c>
      <c r="B1638" s="2" t="s">
        <v>2488</v>
      </c>
      <c r="C1638" s="2" t="s">
        <v>4140</v>
      </c>
      <c r="D1638" s="2">
        <v>333.0</v>
      </c>
      <c r="E1638" s="2">
        <v>1.0</v>
      </c>
      <c r="F1638" s="2">
        <v>75.0</v>
      </c>
      <c r="G1638" s="2">
        <v>160000.0</v>
      </c>
    </row>
    <row r="1639" ht="14.25" customHeight="1">
      <c r="A1639" s="2">
        <v>1638.0</v>
      </c>
      <c r="B1639" s="2" t="s">
        <v>2505</v>
      </c>
      <c r="C1639" s="2" t="s">
        <v>4141</v>
      </c>
      <c r="D1639" s="2">
        <v>429.0</v>
      </c>
      <c r="E1639" s="2">
        <v>1.0</v>
      </c>
      <c r="F1639" s="2">
        <v>100.0</v>
      </c>
      <c r="G1639" s="2">
        <v>160000.0</v>
      </c>
    </row>
    <row r="1640" ht="14.25" customHeight="1">
      <c r="A1640" s="2">
        <v>1639.0</v>
      </c>
      <c r="B1640" s="2" t="s">
        <v>2503</v>
      </c>
      <c r="C1640" s="2" t="s">
        <v>4142</v>
      </c>
      <c r="D1640" s="2">
        <v>105.0</v>
      </c>
      <c r="E1640" s="2">
        <v>1.0</v>
      </c>
      <c r="F1640" s="2">
        <v>90.0</v>
      </c>
      <c r="G1640" s="2">
        <v>159900.0</v>
      </c>
    </row>
    <row r="1641" ht="14.25" customHeight="1">
      <c r="A1641" s="2">
        <v>1640.0</v>
      </c>
      <c r="B1641" s="2" t="s">
        <v>2475</v>
      </c>
      <c r="C1641" s="2" t="s">
        <v>4143</v>
      </c>
      <c r="D1641" s="2">
        <v>143.0</v>
      </c>
      <c r="E1641" s="2">
        <v>1.0</v>
      </c>
      <c r="F1641" s="2">
        <v>70.0</v>
      </c>
      <c r="G1641" s="2">
        <v>159900.0</v>
      </c>
    </row>
    <row r="1642" ht="14.25" customHeight="1">
      <c r="A1642" s="2">
        <v>1641.0</v>
      </c>
      <c r="B1642" s="2" t="s">
        <v>2518</v>
      </c>
      <c r="C1642" s="2" t="s">
        <v>4144</v>
      </c>
      <c r="D1642" s="2">
        <v>161.0</v>
      </c>
      <c r="E1642" s="2">
        <v>1.0</v>
      </c>
      <c r="F1642" s="2">
        <v>75.0</v>
      </c>
      <c r="G1642" s="2">
        <v>159900.0</v>
      </c>
    </row>
    <row r="1643" ht="14.25" customHeight="1">
      <c r="A1643" s="2">
        <v>1642.0</v>
      </c>
      <c r="B1643" s="2" t="s">
        <v>2534</v>
      </c>
      <c r="C1643" s="2" t="s">
        <v>4145</v>
      </c>
      <c r="D1643" s="2">
        <v>188.0</v>
      </c>
      <c r="E1643" s="2">
        <v>1.0</v>
      </c>
      <c r="F1643" s="2">
        <v>100.0</v>
      </c>
      <c r="G1643" s="2">
        <v>159900.0</v>
      </c>
    </row>
    <row r="1644" ht="14.25" customHeight="1">
      <c r="A1644" s="2">
        <v>1643.0</v>
      </c>
      <c r="B1644" s="2" t="s">
        <v>2651</v>
      </c>
      <c r="C1644" s="2" t="s">
        <v>4146</v>
      </c>
      <c r="D1644" s="2">
        <v>347.0</v>
      </c>
      <c r="E1644" s="2">
        <v>1.0</v>
      </c>
      <c r="F1644" s="2">
        <v>75.0</v>
      </c>
      <c r="G1644" s="2">
        <v>159900.0</v>
      </c>
    </row>
    <row r="1645" ht="14.25" customHeight="1">
      <c r="A1645" s="2">
        <v>1644.0</v>
      </c>
      <c r="B1645" s="2" t="s">
        <v>2945</v>
      </c>
      <c r="C1645" s="2" t="s">
        <v>4147</v>
      </c>
      <c r="D1645" s="2">
        <v>619.0</v>
      </c>
      <c r="E1645" s="2">
        <v>1.0</v>
      </c>
      <c r="F1645" s="2">
        <v>65.0</v>
      </c>
      <c r="G1645" s="2">
        <v>159900.0</v>
      </c>
    </row>
    <row r="1646" ht="14.25" customHeight="1">
      <c r="A1646" s="2">
        <v>1645.0</v>
      </c>
      <c r="B1646" s="2" t="s">
        <v>2576</v>
      </c>
      <c r="C1646" s="2" t="s">
        <v>4148</v>
      </c>
      <c r="D1646" s="2">
        <v>197.0</v>
      </c>
      <c r="E1646" s="2">
        <v>1.0</v>
      </c>
      <c r="F1646" s="2">
        <v>75.0</v>
      </c>
      <c r="G1646" s="2">
        <v>159800.0</v>
      </c>
    </row>
    <row r="1647" ht="14.25" customHeight="1">
      <c r="A1647" s="2">
        <v>1646.0</v>
      </c>
      <c r="B1647" s="2" t="s">
        <v>2558</v>
      </c>
      <c r="C1647" s="2" t="s">
        <v>4149</v>
      </c>
      <c r="D1647" s="2">
        <v>357.0</v>
      </c>
      <c r="E1647" s="2">
        <v>1.0</v>
      </c>
      <c r="F1647" s="2">
        <v>66.0</v>
      </c>
      <c r="G1647" s="2">
        <v>159800.0</v>
      </c>
    </row>
    <row r="1648" ht="14.25" customHeight="1">
      <c r="A1648" s="2">
        <v>1647.0</v>
      </c>
      <c r="B1648" s="2" t="s">
        <v>2636</v>
      </c>
      <c r="C1648" s="2" t="s">
        <v>4150</v>
      </c>
      <c r="D1648" s="2">
        <v>145.0</v>
      </c>
      <c r="E1648" s="2">
        <v>1.0</v>
      </c>
      <c r="F1648" s="2">
        <v>100.0</v>
      </c>
      <c r="G1648" s="2">
        <v>159700.0</v>
      </c>
    </row>
    <row r="1649" ht="14.25" customHeight="1">
      <c r="A1649" s="2">
        <v>1648.0</v>
      </c>
      <c r="B1649" s="2" t="s">
        <v>2534</v>
      </c>
      <c r="C1649" s="2" t="s">
        <v>4151</v>
      </c>
      <c r="D1649" s="2">
        <v>188.0</v>
      </c>
      <c r="E1649" s="2">
        <v>1.0</v>
      </c>
      <c r="F1649" s="2">
        <v>75.0</v>
      </c>
      <c r="G1649" s="2">
        <v>159500.0</v>
      </c>
    </row>
    <row r="1650" ht="14.25" customHeight="1">
      <c r="A1650" s="2">
        <v>1649.0</v>
      </c>
      <c r="B1650" s="2" t="s">
        <v>2549</v>
      </c>
      <c r="C1650" s="2" t="s">
        <v>4152</v>
      </c>
      <c r="D1650" s="2">
        <v>115.0</v>
      </c>
      <c r="E1650" s="2">
        <v>1.0</v>
      </c>
      <c r="F1650" s="2">
        <v>105.0</v>
      </c>
      <c r="G1650" s="2">
        <v>159400.0</v>
      </c>
    </row>
    <row r="1651" ht="14.25" customHeight="1">
      <c r="A1651" s="2">
        <v>1650.0</v>
      </c>
      <c r="B1651" s="2" t="s">
        <v>2512</v>
      </c>
      <c r="C1651" s="2" t="s">
        <v>4153</v>
      </c>
      <c r="D1651" s="2">
        <v>153.0</v>
      </c>
      <c r="E1651" s="2">
        <v>1.0</v>
      </c>
      <c r="F1651" s="2">
        <v>85.0</v>
      </c>
      <c r="G1651" s="2">
        <v>159400.0</v>
      </c>
    </row>
    <row r="1652" ht="14.25" customHeight="1">
      <c r="A1652" s="2">
        <v>1651.0</v>
      </c>
      <c r="B1652" s="2" t="s">
        <v>2558</v>
      </c>
      <c r="C1652" s="2" t="s">
        <v>4154</v>
      </c>
      <c r="D1652" s="2">
        <v>357.0</v>
      </c>
      <c r="E1652" s="2">
        <v>1.0</v>
      </c>
      <c r="F1652" s="2">
        <v>60.0</v>
      </c>
      <c r="G1652" s="2">
        <v>159400.0</v>
      </c>
    </row>
    <row r="1653" ht="14.25" customHeight="1">
      <c r="A1653" s="2">
        <v>1652.0</v>
      </c>
      <c r="B1653" s="2" t="s">
        <v>2503</v>
      </c>
      <c r="C1653" s="2" t="s">
        <v>4155</v>
      </c>
      <c r="D1653" s="2">
        <v>105.0</v>
      </c>
      <c r="E1653" s="2">
        <v>1.0</v>
      </c>
      <c r="F1653" s="2">
        <v>120.0</v>
      </c>
      <c r="G1653" s="2">
        <v>159300.0</v>
      </c>
    </row>
    <row r="1654" ht="14.25" customHeight="1">
      <c r="A1654" s="2">
        <v>1653.0</v>
      </c>
      <c r="B1654" s="2" t="s">
        <v>2503</v>
      </c>
      <c r="C1654" s="2" t="s">
        <v>4156</v>
      </c>
      <c r="D1654" s="2">
        <v>105.0</v>
      </c>
      <c r="E1654" s="2">
        <v>1.0</v>
      </c>
      <c r="F1654" s="2">
        <v>120.0</v>
      </c>
      <c r="G1654" s="2">
        <v>159100.0</v>
      </c>
    </row>
    <row r="1655" ht="14.25" customHeight="1">
      <c r="A1655" s="2">
        <v>1654.0</v>
      </c>
      <c r="B1655" s="2" t="s">
        <v>2561</v>
      </c>
      <c r="C1655" s="2" t="s">
        <v>4157</v>
      </c>
      <c r="D1655" s="2">
        <v>162.0</v>
      </c>
      <c r="E1655" s="2">
        <v>1.0</v>
      </c>
      <c r="F1655" s="2">
        <v>100.0</v>
      </c>
      <c r="G1655" s="2">
        <v>159100.0</v>
      </c>
    </row>
    <row r="1656" ht="14.25" customHeight="1">
      <c r="A1656" s="2">
        <v>1655.0</v>
      </c>
      <c r="B1656" s="2" t="s">
        <v>2561</v>
      </c>
      <c r="C1656" s="2" t="s">
        <v>4158</v>
      </c>
      <c r="D1656" s="2">
        <v>162.0</v>
      </c>
      <c r="E1656" s="2">
        <v>1.0</v>
      </c>
      <c r="F1656" s="2">
        <v>100.0</v>
      </c>
      <c r="G1656" s="2">
        <v>159100.0</v>
      </c>
    </row>
    <row r="1657" ht="14.25" customHeight="1">
      <c r="A1657" s="2">
        <v>1656.0</v>
      </c>
      <c r="B1657" s="2" t="s">
        <v>2553</v>
      </c>
      <c r="C1657" s="2" t="s">
        <v>4159</v>
      </c>
      <c r="D1657" s="2">
        <v>187.0</v>
      </c>
      <c r="E1657" s="2">
        <v>1.0</v>
      </c>
      <c r="F1657" s="2">
        <v>65.0</v>
      </c>
      <c r="G1657" s="2">
        <v>159100.0</v>
      </c>
    </row>
    <row r="1658" ht="14.25" customHeight="1">
      <c r="A1658" s="2">
        <v>1657.0</v>
      </c>
      <c r="B1658" s="2" t="s">
        <v>2505</v>
      </c>
      <c r="C1658" s="2" t="s">
        <v>4160</v>
      </c>
      <c r="D1658" s="2">
        <v>429.0</v>
      </c>
      <c r="E1658" s="2">
        <v>1.0</v>
      </c>
      <c r="F1658" s="2">
        <v>60.0</v>
      </c>
      <c r="G1658" s="2">
        <v>159100.0</v>
      </c>
    </row>
    <row r="1659" ht="14.25" customHeight="1">
      <c r="A1659" s="2">
        <v>1658.0</v>
      </c>
      <c r="B1659" s="2" t="s">
        <v>2744</v>
      </c>
      <c r="C1659" s="2" t="s">
        <v>4161</v>
      </c>
      <c r="D1659" s="2">
        <v>169.0</v>
      </c>
      <c r="E1659" s="2">
        <v>1.0</v>
      </c>
      <c r="F1659" s="2">
        <v>75.0</v>
      </c>
      <c r="G1659" s="2">
        <v>158900.0</v>
      </c>
    </row>
    <row r="1660" ht="14.25" customHeight="1">
      <c r="A1660" s="2">
        <v>1659.0</v>
      </c>
      <c r="B1660" s="2" t="s">
        <v>2477</v>
      </c>
      <c r="C1660" s="2" t="s">
        <v>4162</v>
      </c>
      <c r="D1660" s="2">
        <v>152.0</v>
      </c>
      <c r="E1660" s="2">
        <v>1.0</v>
      </c>
      <c r="F1660" s="2">
        <v>100.0</v>
      </c>
      <c r="G1660" s="2">
        <v>158800.0</v>
      </c>
    </row>
    <row r="1661" ht="14.25" customHeight="1">
      <c r="A1661" s="2">
        <v>1660.0</v>
      </c>
      <c r="B1661" s="2" t="s">
        <v>2582</v>
      </c>
      <c r="C1661" s="2" t="s">
        <v>4163</v>
      </c>
      <c r="D1661" s="2">
        <v>183.0</v>
      </c>
      <c r="E1661" s="2">
        <v>1.0</v>
      </c>
      <c r="F1661" s="2">
        <v>90.0</v>
      </c>
      <c r="G1661" s="2">
        <v>158800.0</v>
      </c>
    </row>
    <row r="1662" ht="14.25" customHeight="1">
      <c r="A1662" s="2">
        <v>1661.0</v>
      </c>
      <c r="B1662" s="2" t="s">
        <v>2604</v>
      </c>
      <c r="C1662" s="2" t="s">
        <v>4164</v>
      </c>
      <c r="D1662" s="2">
        <v>200.0</v>
      </c>
      <c r="E1662" s="2">
        <v>1.0</v>
      </c>
      <c r="F1662" s="2">
        <v>75.0</v>
      </c>
      <c r="G1662" s="2">
        <v>158800.0</v>
      </c>
    </row>
    <row r="1663" ht="14.25" customHeight="1">
      <c r="A1663" s="2">
        <v>1662.0</v>
      </c>
      <c r="B1663" s="2" t="s">
        <v>2594</v>
      </c>
      <c r="C1663" s="2" t="s">
        <v>4165</v>
      </c>
      <c r="D1663" s="2">
        <v>184.0</v>
      </c>
      <c r="E1663" s="2">
        <v>1.0</v>
      </c>
      <c r="F1663" s="2">
        <v>75.0</v>
      </c>
      <c r="G1663" s="2">
        <v>158700.0</v>
      </c>
    </row>
    <row r="1664" ht="14.25" customHeight="1">
      <c r="A1664" s="2">
        <v>1663.0</v>
      </c>
      <c r="B1664" s="2" t="s">
        <v>2576</v>
      </c>
      <c r="C1664" s="2" t="s">
        <v>4166</v>
      </c>
      <c r="D1664" s="2">
        <v>197.0</v>
      </c>
      <c r="E1664" s="2">
        <v>1.0</v>
      </c>
      <c r="F1664" s="2">
        <v>100.0</v>
      </c>
      <c r="G1664" s="2">
        <v>158700.0</v>
      </c>
    </row>
    <row r="1665" ht="14.25" customHeight="1">
      <c r="A1665" s="2">
        <v>1664.0</v>
      </c>
      <c r="B1665" s="2" t="s">
        <v>2651</v>
      </c>
      <c r="C1665" s="2" t="s">
        <v>4167</v>
      </c>
      <c r="D1665" s="2">
        <v>347.0</v>
      </c>
      <c r="E1665" s="2">
        <v>1.0</v>
      </c>
      <c r="F1665" s="2">
        <v>90.0</v>
      </c>
      <c r="G1665" s="2">
        <v>158700.0</v>
      </c>
    </row>
    <row r="1666" ht="14.25" customHeight="1">
      <c r="A1666" s="2">
        <v>1665.0</v>
      </c>
      <c r="B1666" s="2" t="s">
        <v>2604</v>
      </c>
      <c r="C1666" s="2" t="s">
        <v>4168</v>
      </c>
      <c r="D1666" s="2">
        <v>200.0</v>
      </c>
      <c r="E1666" s="2">
        <v>1.0</v>
      </c>
      <c r="F1666" s="2">
        <v>100.0</v>
      </c>
      <c r="G1666" s="2">
        <v>158600.0</v>
      </c>
    </row>
    <row r="1667" ht="14.25" customHeight="1">
      <c r="A1667" s="2">
        <v>1666.0</v>
      </c>
      <c r="B1667" s="2" t="s">
        <v>2549</v>
      </c>
      <c r="C1667" s="2" t="s">
        <v>4169</v>
      </c>
      <c r="D1667" s="2">
        <v>115.0</v>
      </c>
      <c r="E1667" s="2">
        <v>1.0</v>
      </c>
      <c r="F1667" s="2">
        <v>50.0</v>
      </c>
      <c r="G1667" s="2">
        <v>158500.0</v>
      </c>
    </row>
    <row r="1668" ht="14.25" customHeight="1">
      <c r="A1668" s="2">
        <v>1667.0</v>
      </c>
      <c r="B1668" s="2" t="s">
        <v>2561</v>
      </c>
      <c r="C1668" s="2" t="s">
        <v>4170</v>
      </c>
      <c r="D1668" s="2">
        <v>162.0</v>
      </c>
      <c r="E1668" s="2">
        <v>1.0</v>
      </c>
      <c r="F1668" s="2">
        <v>75.0</v>
      </c>
      <c r="G1668" s="2">
        <v>158500.0</v>
      </c>
    </row>
    <row r="1669" ht="14.25" customHeight="1">
      <c r="A1669" s="2">
        <v>1668.0</v>
      </c>
      <c r="B1669" s="2" t="s">
        <v>2541</v>
      </c>
      <c r="C1669" s="2" t="s">
        <v>4171</v>
      </c>
      <c r="D1669" s="2">
        <v>195.0</v>
      </c>
      <c r="E1669" s="2">
        <v>1.0</v>
      </c>
      <c r="F1669" s="2">
        <v>75.0</v>
      </c>
      <c r="G1669" s="2">
        <v>158500.0</v>
      </c>
    </row>
    <row r="1670" ht="14.25" customHeight="1">
      <c r="A1670" s="2">
        <v>1669.0</v>
      </c>
      <c r="B1670" s="2" t="s">
        <v>2488</v>
      </c>
      <c r="C1670" s="2" t="s">
        <v>4172</v>
      </c>
      <c r="D1670" s="2">
        <v>333.0</v>
      </c>
      <c r="E1670" s="2">
        <v>1.0</v>
      </c>
      <c r="F1670" s="2">
        <v>75.0</v>
      </c>
      <c r="G1670" s="2">
        <v>158500.0</v>
      </c>
    </row>
    <row r="1671" ht="14.25" customHeight="1">
      <c r="A1671" s="2">
        <v>1670.0</v>
      </c>
      <c r="B1671" s="2" t="s">
        <v>2512</v>
      </c>
      <c r="C1671" s="2" t="s">
        <v>4173</v>
      </c>
      <c r="D1671" s="2">
        <v>153.0</v>
      </c>
      <c r="E1671" s="2">
        <v>1.0</v>
      </c>
      <c r="F1671" s="2">
        <v>60.0</v>
      </c>
      <c r="G1671" s="2">
        <v>158400.0</v>
      </c>
    </row>
    <row r="1672" ht="14.25" customHeight="1">
      <c r="A1672" s="2">
        <v>1671.0</v>
      </c>
      <c r="B1672" s="2" t="s">
        <v>2503</v>
      </c>
      <c r="C1672" s="2" t="s">
        <v>4174</v>
      </c>
      <c r="D1672" s="2">
        <v>105.0</v>
      </c>
      <c r="E1672" s="2">
        <v>1.0</v>
      </c>
      <c r="F1672" s="2">
        <v>150.0</v>
      </c>
      <c r="G1672" s="2">
        <v>158200.0</v>
      </c>
    </row>
    <row r="1673" ht="14.25" customHeight="1">
      <c r="A1673" s="2">
        <v>1672.0</v>
      </c>
      <c r="B1673" s="2" t="s">
        <v>2477</v>
      </c>
      <c r="C1673" s="2" t="s">
        <v>4175</v>
      </c>
      <c r="D1673" s="2">
        <v>152.0</v>
      </c>
      <c r="E1673" s="2">
        <v>1.0</v>
      </c>
      <c r="F1673" s="2">
        <v>100.0</v>
      </c>
      <c r="G1673" s="2">
        <v>158200.0</v>
      </c>
    </row>
    <row r="1674" ht="14.25" customHeight="1">
      <c r="A1674" s="2">
        <v>1673.0</v>
      </c>
      <c r="B1674" s="2" t="s">
        <v>2524</v>
      </c>
      <c r="C1674" s="2" t="s">
        <v>4176</v>
      </c>
      <c r="D1674" s="2">
        <v>331.0</v>
      </c>
      <c r="E1674" s="2">
        <v>1.0</v>
      </c>
      <c r="F1674" s="2">
        <v>75.0</v>
      </c>
      <c r="G1674" s="2">
        <v>158200.0</v>
      </c>
    </row>
    <row r="1675" ht="14.25" customHeight="1">
      <c r="A1675" s="2">
        <v>1674.0</v>
      </c>
      <c r="B1675" s="2" t="s">
        <v>2621</v>
      </c>
      <c r="C1675" s="2" t="s">
        <v>4177</v>
      </c>
      <c r="D1675" s="2">
        <v>403.0</v>
      </c>
      <c r="E1675" s="2">
        <v>1.0</v>
      </c>
      <c r="F1675" s="2">
        <v>77.5</v>
      </c>
      <c r="G1675" s="2">
        <v>158200.0</v>
      </c>
    </row>
    <row r="1676" ht="14.25" customHeight="1">
      <c r="A1676" s="2">
        <v>1675.0</v>
      </c>
      <c r="B1676" s="2" t="s">
        <v>2553</v>
      </c>
      <c r="C1676" s="2" t="s">
        <v>4178</v>
      </c>
      <c r="D1676" s="2">
        <v>187.0</v>
      </c>
      <c r="E1676" s="2">
        <v>1.0</v>
      </c>
      <c r="F1676" s="2">
        <v>145.0</v>
      </c>
      <c r="G1676" s="2">
        <v>158100.0</v>
      </c>
    </row>
    <row r="1677" ht="14.25" customHeight="1">
      <c r="A1677" s="2">
        <v>1676.0</v>
      </c>
      <c r="B1677" s="2" t="s">
        <v>2503</v>
      </c>
      <c r="C1677" s="2" t="s">
        <v>4179</v>
      </c>
      <c r="D1677" s="2">
        <v>105.0</v>
      </c>
      <c r="E1677" s="2">
        <v>1.0</v>
      </c>
      <c r="F1677" s="2">
        <v>132.0</v>
      </c>
      <c r="G1677" s="2">
        <v>158000.0</v>
      </c>
    </row>
    <row r="1678" ht="14.25" customHeight="1">
      <c r="A1678" s="2">
        <v>1677.0</v>
      </c>
      <c r="B1678" s="2" t="s">
        <v>2582</v>
      </c>
      <c r="C1678" s="2" t="s">
        <v>4180</v>
      </c>
      <c r="D1678" s="2">
        <v>183.0</v>
      </c>
      <c r="E1678" s="2">
        <v>1.0</v>
      </c>
      <c r="F1678" s="2">
        <v>100.0</v>
      </c>
      <c r="G1678" s="2">
        <v>158000.0</v>
      </c>
    </row>
    <row r="1679" ht="14.25" customHeight="1">
      <c r="A1679" s="2">
        <v>1678.0</v>
      </c>
      <c r="B1679" s="2" t="s">
        <v>2636</v>
      </c>
      <c r="C1679" s="2" t="s">
        <v>4181</v>
      </c>
      <c r="D1679" s="2">
        <v>145.0</v>
      </c>
      <c r="E1679" s="2">
        <v>1.0</v>
      </c>
      <c r="F1679" s="2">
        <v>125.0</v>
      </c>
      <c r="G1679" s="2">
        <v>157900.0</v>
      </c>
    </row>
    <row r="1680" ht="14.25" customHeight="1">
      <c r="A1680" s="2">
        <v>1679.0</v>
      </c>
      <c r="B1680" s="2" t="s">
        <v>2518</v>
      </c>
      <c r="C1680" s="2" t="s">
        <v>4182</v>
      </c>
      <c r="D1680" s="2">
        <v>161.0</v>
      </c>
      <c r="E1680" s="2">
        <v>1.0</v>
      </c>
      <c r="F1680" s="2">
        <v>100.0</v>
      </c>
      <c r="G1680" s="2">
        <v>157900.0</v>
      </c>
    </row>
    <row r="1681" ht="14.25" customHeight="1">
      <c r="A1681" s="2">
        <v>1680.0</v>
      </c>
      <c r="B1681" s="2" t="s">
        <v>2582</v>
      </c>
      <c r="C1681" s="2" t="s">
        <v>4183</v>
      </c>
      <c r="D1681" s="2">
        <v>183.0</v>
      </c>
      <c r="E1681" s="2">
        <v>1.0</v>
      </c>
      <c r="F1681" s="2">
        <v>100.0</v>
      </c>
      <c r="G1681" s="2">
        <v>157900.0</v>
      </c>
    </row>
    <row r="1682" ht="14.25" customHeight="1">
      <c r="A1682" s="2">
        <v>1681.0</v>
      </c>
      <c r="B1682" s="2" t="s">
        <v>2604</v>
      </c>
      <c r="C1682" s="2" t="s">
        <v>4184</v>
      </c>
      <c r="D1682" s="2">
        <v>200.0</v>
      </c>
      <c r="E1682" s="2">
        <v>1.0</v>
      </c>
      <c r="F1682" s="2">
        <v>125.0</v>
      </c>
      <c r="G1682" s="2">
        <v>157800.0</v>
      </c>
    </row>
    <row r="1683" ht="14.25" customHeight="1">
      <c r="A1683" s="2">
        <v>1682.0</v>
      </c>
      <c r="B1683" s="2" t="s">
        <v>2534</v>
      </c>
      <c r="C1683" s="2" t="s">
        <v>4185</v>
      </c>
      <c r="D1683" s="2">
        <v>188.0</v>
      </c>
      <c r="E1683" s="2">
        <v>1.0</v>
      </c>
      <c r="F1683" s="2">
        <v>100.0</v>
      </c>
      <c r="G1683" s="2">
        <v>157600.0</v>
      </c>
    </row>
    <row r="1684" ht="14.25" customHeight="1">
      <c r="A1684" s="2">
        <v>1683.0</v>
      </c>
      <c r="B1684" s="2" t="s">
        <v>2524</v>
      </c>
      <c r="C1684" s="2" t="s">
        <v>4186</v>
      </c>
      <c r="D1684" s="2">
        <v>331.0</v>
      </c>
      <c r="E1684" s="2">
        <v>1.0</v>
      </c>
      <c r="F1684" s="2">
        <v>65.0</v>
      </c>
      <c r="G1684" s="2">
        <v>157600.0</v>
      </c>
    </row>
    <row r="1685" ht="14.25" customHeight="1">
      <c r="A1685" s="2">
        <v>1684.0</v>
      </c>
      <c r="B1685" s="2" t="s">
        <v>2621</v>
      </c>
      <c r="C1685" s="2" t="s">
        <v>4187</v>
      </c>
      <c r="D1685" s="2">
        <v>403.0</v>
      </c>
      <c r="E1685" s="2">
        <v>1.0</v>
      </c>
      <c r="F1685" s="2">
        <v>77.5</v>
      </c>
      <c r="G1685" s="2">
        <v>157600.0</v>
      </c>
    </row>
    <row r="1686" ht="14.25" customHeight="1">
      <c r="A1686" s="2">
        <v>1685.0</v>
      </c>
      <c r="B1686" s="2" t="s">
        <v>2477</v>
      </c>
      <c r="C1686" s="2" t="s">
        <v>4188</v>
      </c>
      <c r="D1686" s="2">
        <v>152.0</v>
      </c>
      <c r="E1686" s="2">
        <v>1.0</v>
      </c>
      <c r="F1686" s="2">
        <v>100.0</v>
      </c>
      <c r="G1686" s="2">
        <v>157500.0</v>
      </c>
    </row>
    <row r="1687" ht="14.25" customHeight="1">
      <c r="A1687" s="2">
        <v>1686.0</v>
      </c>
      <c r="B1687" s="2" t="s">
        <v>2477</v>
      </c>
      <c r="C1687" s="2" t="s">
        <v>4189</v>
      </c>
      <c r="D1687" s="2">
        <v>152.0</v>
      </c>
      <c r="E1687" s="2">
        <v>1.0</v>
      </c>
      <c r="F1687" s="2">
        <v>75.0</v>
      </c>
      <c r="G1687" s="2">
        <v>157500.0</v>
      </c>
    </row>
    <row r="1688" ht="14.25" customHeight="1">
      <c r="A1688" s="2">
        <v>1687.0</v>
      </c>
      <c r="B1688" s="2" t="s">
        <v>2553</v>
      </c>
      <c r="C1688" s="2" t="s">
        <v>4190</v>
      </c>
      <c r="D1688" s="2">
        <v>187.0</v>
      </c>
      <c r="E1688" s="2">
        <v>1.0</v>
      </c>
      <c r="F1688" s="2">
        <v>75.0</v>
      </c>
      <c r="G1688" s="2">
        <v>157400.0</v>
      </c>
    </row>
    <row r="1689" ht="14.25" customHeight="1">
      <c r="A1689" s="2">
        <v>1688.0</v>
      </c>
      <c r="B1689" s="2" t="s">
        <v>2553</v>
      </c>
      <c r="C1689" s="2" t="s">
        <v>4191</v>
      </c>
      <c r="D1689" s="2">
        <v>187.0</v>
      </c>
      <c r="E1689" s="2">
        <v>1.0</v>
      </c>
      <c r="F1689" s="2">
        <v>75.0</v>
      </c>
      <c r="G1689" s="2">
        <v>157400.0</v>
      </c>
    </row>
    <row r="1690" ht="14.25" customHeight="1">
      <c r="A1690" s="2">
        <v>1689.0</v>
      </c>
      <c r="B1690" s="2" t="s">
        <v>2686</v>
      </c>
      <c r="C1690" s="2" t="s">
        <v>4192</v>
      </c>
      <c r="D1690" s="2">
        <v>127.0</v>
      </c>
      <c r="E1690" s="2">
        <v>1.0</v>
      </c>
      <c r="F1690" s="2">
        <v>132.0</v>
      </c>
      <c r="G1690" s="2">
        <v>157200.0</v>
      </c>
    </row>
    <row r="1691" ht="14.25" customHeight="1">
      <c r="A1691" s="2">
        <v>1690.0</v>
      </c>
      <c r="B1691" s="2" t="s">
        <v>2594</v>
      </c>
      <c r="C1691" s="2" t="s">
        <v>4193</v>
      </c>
      <c r="D1691" s="2">
        <v>184.0</v>
      </c>
      <c r="E1691" s="2">
        <v>1.0</v>
      </c>
      <c r="F1691" s="2">
        <v>100.0</v>
      </c>
      <c r="G1691" s="2">
        <v>157200.0</v>
      </c>
    </row>
    <row r="1692" ht="14.25" customHeight="1">
      <c r="A1692" s="2">
        <v>1691.0</v>
      </c>
      <c r="B1692" s="2" t="s">
        <v>2534</v>
      </c>
      <c r="C1692" s="2" t="s">
        <v>4194</v>
      </c>
      <c r="D1692" s="2">
        <v>188.0</v>
      </c>
      <c r="E1692" s="2">
        <v>1.0</v>
      </c>
      <c r="F1692" s="2">
        <v>100.0</v>
      </c>
      <c r="G1692" s="2">
        <v>157200.0</v>
      </c>
    </row>
    <row r="1693" ht="14.25" customHeight="1">
      <c r="A1693" s="2">
        <v>1692.0</v>
      </c>
      <c r="B1693" s="2" t="s">
        <v>2604</v>
      </c>
      <c r="C1693" s="2" t="s">
        <v>4195</v>
      </c>
      <c r="D1693" s="2">
        <v>200.0</v>
      </c>
      <c r="E1693" s="2">
        <v>1.0</v>
      </c>
      <c r="F1693" s="2">
        <v>100.0</v>
      </c>
      <c r="G1693" s="2">
        <v>157200.0</v>
      </c>
    </row>
    <row r="1694" ht="14.25" customHeight="1">
      <c r="A1694" s="2">
        <v>1693.0</v>
      </c>
      <c r="B1694" s="2" t="s">
        <v>2945</v>
      </c>
      <c r="C1694" s="2" t="s">
        <v>4196</v>
      </c>
      <c r="D1694" s="2">
        <v>619.0</v>
      </c>
      <c r="E1694" s="2">
        <v>1.0</v>
      </c>
      <c r="F1694" s="2">
        <v>60.0</v>
      </c>
      <c r="G1694" s="2">
        <v>157200.0</v>
      </c>
    </row>
    <row r="1695" ht="14.25" customHeight="1">
      <c r="A1695" s="2">
        <v>1694.0</v>
      </c>
      <c r="B1695" s="2" t="s">
        <v>2945</v>
      </c>
      <c r="C1695" s="2" t="s">
        <v>4197</v>
      </c>
      <c r="D1695" s="2">
        <v>619.0</v>
      </c>
      <c r="E1695" s="2">
        <v>1.0</v>
      </c>
      <c r="F1695" s="2">
        <v>60.0</v>
      </c>
      <c r="G1695" s="2">
        <v>157200.0</v>
      </c>
    </row>
    <row r="1696" ht="14.25" customHeight="1">
      <c r="A1696" s="2">
        <v>1695.0</v>
      </c>
      <c r="B1696" s="2" t="s">
        <v>2686</v>
      </c>
      <c r="C1696" s="2" t="s">
        <v>4198</v>
      </c>
      <c r="D1696" s="2">
        <v>127.0</v>
      </c>
      <c r="E1696" s="2">
        <v>1.0</v>
      </c>
      <c r="F1696" s="2">
        <v>99.0</v>
      </c>
      <c r="G1696" s="2">
        <v>157100.0</v>
      </c>
    </row>
    <row r="1697" ht="14.25" customHeight="1">
      <c r="A1697" s="2">
        <v>1696.0</v>
      </c>
      <c r="B1697" s="2" t="s">
        <v>2553</v>
      </c>
      <c r="C1697" s="2" t="s">
        <v>4199</v>
      </c>
      <c r="D1697" s="2">
        <v>187.0</v>
      </c>
      <c r="E1697" s="2">
        <v>1.0</v>
      </c>
      <c r="F1697" s="2">
        <v>75.0</v>
      </c>
      <c r="G1697" s="2">
        <v>157100.0</v>
      </c>
    </row>
    <row r="1698" ht="14.25" customHeight="1">
      <c r="A1698" s="2">
        <v>1697.0</v>
      </c>
      <c r="B1698" s="2" t="s">
        <v>2651</v>
      </c>
      <c r="C1698" s="2" t="s">
        <v>4200</v>
      </c>
      <c r="D1698" s="2">
        <v>347.0</v>
      </c>
      <c r="E1698" s="2">
        <v>1.0</v>
      </c>
      <c r="F1698" s="2">
        <v>90.0</v>
      </c>
      <c r="G1698" s="2">
        <v>157100.0</v>
      </c>
    </row>
    <row r="1699" ht="14.25" customHeight="1">
      <c r="A1699" s="2">
        <v>1698.0</v>
      </c>
      <c r="B1699" s="2" t="s">
        <v>2558</v>
      </c>
      <c r="C1699" s="2" t="s">
        <v>4201</v>
      </c>
      <c r="D1699" s="2">
        <v>357.0</v>
      </c>
      <c r="E1699" s="2">
        <v>1.0</v>
      </c>
      <c r="F1699" s="2">
        <v>80.0</v>
      </c>
      <c r="G1699" s="2">
        <v>157000.0</v>
      </c>
    </row>
    <row r="1700" ht="14.25" customHeight="1">
      <c r="A1700" s="2">
        <v>1699.0</v>
      </c>
      <c r="B1700" s="2" t="s">
        <v>2505</v>
      </c>
      <c r="C1700" s="2" t="s">
        <v>4202</v>
      </c>
      <c r="D1700" s="2">
        <v>429.0</v>
      </c>
      <c r="E1700" s="2">
        <v>1.0</v>
      </c>
      <c r="F1700" s="2">
        <v>85.0</v>
      </c>
      <c r="G1700" s="2">
        <v>157000.0</v>
      </c>
    </row>
    <row r="1701" ht="14.25" customHeight="1">
      <c r="A1701" s="2">
        <v>1700.0</v>
      </c>
      <c r="B1701" s="2" t="s">
        <v>2477</v>
      </c>
      <c r="C1701" s="2" t="s">
        <v>4203</v>
      </c>
      <c r="D1701" s="2">
        <v>152.0</v>
      </c>
      <c r="E1701" s="2">
        <v>1.0</v>
      </c>
      <c r="F1701" s="2">
        <v>130.0</v>
      </c>
      <c r="G1701" s="2">
        <v>156900.0</v>
      </c>
    </row>
    <row r="1702" ht="14.25" customHeight="1">
      <c r="A1702" s="2">
        <v>1701.0</v>
      </c>
      <c r="B1702" s="2" t="s">
        <v>2582</v>
      </c>
      <c r="C1702" s="2" t="s">
        <v>4204</v>
      </c>
      <c r="D1702" s="2">
        <v>183.0</v>
      </c>
      <c r="E1702" s="2">
        <v>1.0</v>
      </c>
      <c r="F1702" s="2">
        <v>50.0</v>
      </c>
      <c r="G1702" s="2">
        <v>156900.0</v>
      </c>
    </row>
    <row r="1703" ht="14.25" customHeight="1">
      <c r="A1703" s="2">
        <v>1702.0</v>
      </c>
      <c r="B1703" s="2" t="s">
        <v>2582</v>
      </c>
      <c r="C1703" s="2" t="s">
        <v>4205</v>
      </c>
      <c r="D1703" s="2">
        <v>183.0</v>
      </c>
      <c r="E1703" s="2">
        <v>1.0</v>
      </c>
      <c r="F1703" s="2">
        <v>75.0</v>
      </c>
      <c r="G1703" s="2">
        <v>156900.0</v>
      </c>
    </row>
    <row r="1704" ht="14.25" customHeight="1">
      <c r="A1704" s="2">
        <v>1703.0</v>
      </c>
      <c r="B1704" s="2" t="s">
        <v>2636</v>
      </c>
      <c r="C1704" s="2" t="s">
        <v>4206</v>
      </c>
      <c r="D1704" s="2">
        <v>145.0</v>
      </c>
      <c r="E1704" s="2">
        <v>1.0</v>
      </c>
      <c r="F1704" s="2">
        <v>75.0</v>
      </c>
      <c r="G1704" s="2">
        <v>156800.0</v>
      </c>
    </row>
    <row r="1705" ht="14.25" customHeight="1">
      <c r="A1705" s="2">
        <v>1704.0</v>
      </c>
      <c r="B1705" s="2" t="s">
        <v>2576</v>
      </c>
      <c r="C1705" s="2" t="s">
        <v>4207</v>
      </c>
      <c r="D1705" s="2">
        <v>197.0</v>
      </c>
      <c r="E1705" s="2">
        <v>1.0</v>
      </c>
      <c r="F1705" s="2">
        <v>100.0</v>
      </c>
      <c r="G1705" s="2">
        <v>156700.0</v>
      </c>
    </row>
    <row r="1706" ht="14.25" customHeight="1">
      <c r="A1706" s="2">
        <v>1705.0</v>
      </c>
      <c r="B1706" s="2" t="s">
        <v>2501</v>
      </c>
      <c r="C1706" s="2" t="s">
        <v>4208</v>
      </c>
      <c r="D1706" s="2">
        <v>199.0</v>
      </c>
      <c r="E1706" s="2">
        <v>1.0</v>
      </c>
      <c r="F1706" s="2">
        <v>200.0</v>
      </c>
      <c r="G1706" s="2">
        <v>156700.0</v>
      </c>
    </row>
    <row r="1707" ht="14.25" customHeight="1">
      <c r="A1707" s="2">
        <v>1706.0</v>
      </c>
      <c r="B1707" s="2" t="s">
        <v>2524</v>
      </c>
      <c r="C1707" s="2" t="s">
        <v>4209</v>
      </c>
      <c r="D1707" s="2">
        <v>331.0</v>
      </c>
      <c r="E1707" s="2">
        <v>1.0</v>
      </c>
      <c r="F1707" s="2">
        <v>50.0</v>
      </c>
      <c r="G1707" s="2">
        <v>156700.0</v>
      </c>
    </row>
    <row r="1708" ht="14.25" customHeight="1">
      <c r="A1708" s="2">
        <v>1707.0</v>
      </c>
      <c r="B1708" s="2" t="s">
        <v>2524</v>
      </c>
      <c r="C1708" s="2" t="s">
        <v>4210</v>
      </c>
      <c r="D1708" s="2">
        <v>331.0</v>
      </c>
      <c r="E1708" s="2">
        <v>1.0</v>
      </c>
      <c r="F1708" s="2">
        <v>150.0</v>
      </c>
      <c r="G1708" s="2">
        <v>156700.0</v>
      </c>
    </row>
    <row r="1709" ht="14.25" customHeight="1">
      <c r="A1709" s="2">
        <v>1708.0</v>
      </c>
      <c r="B1709" s="2" t="s">
        <v>2488</v>
      </c>
      <c r="C1709" s="2" t="s">
        <v>4211</v>
      </c>
      <c r="D1709" s="2">
        <v>333.0</v>
      </c>
      <c r="E1709" s="2">
        <v>1.0</v>
      </c>
      <c r="F1709" s="2">
        <v>75.0</v>
      </c>
      <c r="G1709" s="2">
        <v>156600.0</v>
      </c>
    </row>
    <row r="1710" ht="14.25" customHeight="1">
      <c r="A1710" s="2">
        <v>1709.0</v>
      </c>
      <c r="B1710" s="2" t="s">
        <v>2582</v>
      </c>
      <c r="C1710" s="2" t="s">
        <v>4212</v>
      </c>
      <c r="D1710" s="2">
        <v>183.0</v>
      </c>
      <c r="E1710" s="2">
        <v>1.0</v>
      </c>
      <c r="F1710" s="2">
        <v>90.0</v>
      </c>
      <c r="G1710" s="2">
        <v>156500.0</v>
      </c>
    </row>
    <row r="1711" ht="14.25" customHeight="1">
      <c r="A1711" s="2">
        <v>1710.0</v>
      </c>
      <c r="B1711" s="2" t="s">
        <v>2501</v>
      </c>
      <c r="C1711" s="2" t="s">
        <v>4213</v>
      </c>
      <c r="D1711" s="2">
        <v>199.0</v>
      </c>
      <c r="E1711" s="2">
        <v>1.0</v>
      </c>
      <c r="F1711" s="2">
        <v>52.0</v>
      </c>
      <c r="G1711" s="2">
        <v>156500.0</v>
      </c>
    </row>
    <row r="1712" ht="14.25" customHeight="1">
      <c r="A1712" s="2">
        <v>1711.0</v>
      </c>
      <c r="B1712" s="2" t="s">
        <v>2945</v>
      </c>
      <c r="C1712" s="2" t="s">
        <v>4214</v>
      </c>
      <c r="D1712" s="2">
        <v>619.0</v>
      </c>
      <c r="E1712" s="2">
        <v>1.0</v>
      </c>
      <c r="F1712" s="2">
        <v>45.0</v>
      </c>
      <c r="G1712" s="2">
        <v>156500.0</v>
      </c>
    </row>
    <row r="1713" ht="14.25" customHeight="1">
      <c r="A1713" s="2">
        <v>1712.0</v>
      </c>
      <c r="B1713" s="2" t="s">
        <v>2503</v>
      </c>
      <c r="C1713" s="2" t="s">
        <v>4215</v>
      </c>
      <c r="D1713" s="2">
        <v>105.0</v>
      </c>
      <c r="E1713" s="2">
        <v>1.0</v>
      </c>
      <c r="F1713" s="2">
        <v>75.0</v>
      </c>
      <c r="G1713" s="2">
        <v>156400.0</v>
      </c>
    </row>
    <row r="1714" ht="14.25" customHeight="1">
      <c r="A1714" s="2">
        <v>1713.0</v>
      </c>
      <c r="B1714" s="2" t="s">
        <v>2497</v>
      </c>
      <c r="C1714" s="2" t="s">
        <v>4216</v>
      </c>
      <c r="D1714" s="2">
        <v>151.0</v>
      </c>
      <c r="E1714" s="2">
        <v>1.0</v>
      </c>
      <c r="F1714" s="2">
        <v>75.0</v>
      </c>
      <c r="G1714" s="2">
        <v>156400.0</v>
      </c>
    </row>
    <row r="1715" ht="14.25" customHeight="1">
      <c r="A1715" s="2">
        <v>1714.0</v>
      </c>
      <c r="B1715" s="2" t="s">
        <v>2594</v>
      </c>
      <c r="C1715" s="2" t="s">
        <v>4217</v>
      </c>
      <c r="D1715" s="2">
        <v>184.0</v>
      </c>
      <c r="E1715" s="2">
        <v>1.0</v>
      </c>
      <c r="F1715" s="2">
        <v>100.0</v>
      </c>
      <c r="G1715" s="2">
        <v>156400.0</v>
      </c>
    </row>
    <row r="1716" ht="14.25" customHeight="1">
      <c r="A1716" s="2">
        <v>1715.0</v>
      </c>
      <c r="B1716" s="2" t="s">
        <v>2576</v>
      </c>
      <c r="C1716" s="2" t="s">
        <v>4218</v>
      </c>
      <c r="D1716" s="2">
        <v>197.0</v>
      </c>
      <c r="E1716" s="2">
        <v>1.0</v>
      </c>
      <c r="F1716" s="2">
        <v>132.0</v>
      </c>
      <c r="G1716" s="2">
        <v>156400.0</v>
      </c>
    </row>
    <row r="1717" ht="14.25" customHeight="1">
      <c r="A1717" s="2">
        <v>1716.0</v>
      </c>
      <c r="B1717" s="2" t="s">
        <v>2497</v>
      </c>
      <c r="C1717" s="2" t="s">
        <v>4219</v>
      </c>
      <c r="D1717" s="2">
        <v>151.0</v>
      </c>
      <c r="E1717" s="2">
        <v>1.0</v>
      </c>
      <c r="F1717" s="2">
        <v>75.0</v>
      </c>
      <c r="G1717" s="2">
        <v>156300.0</v>
      </c>
    </row>
    <row r="1718" ht="14.25" customHeight="1">
      <c r="A1718" s="2">
        <v>1717.0</v>
      </c>
      <c r="B1718" s="2" t="s">
        <v>2534</v>
      </c>
      <c r="C1718" s="2" t="s">
        <v>4220</v>
      </c>
      <c r="D1718" s="2">
        <v>188.0</v>
      </c>
      <c r="E1718" s="2">
        <v>1.0</v>
      </c>
      <c r="F1718" s="2">
        <v>100.0</v>
      </c>
      <c r="G1718" s="2">
        <v>156300.0</v>
      </c>
    </row>
    <row r="1719" ht="14.25" customHeight="1">
      <c r="A1719" s="2">
        <v>1718.0</v>
      </c>
      <c r="B1719" s="2" t="s">
        <v>2475</v>
      </c>
      <c r="C1719" s="2" t="s">
        <v>4221</v>
      </c>
      <c r="D1719" s="2">
        <v>143.0</v>
      </c>
      <c r="E1719" s="2">
        <v>1.0</v>
      </c>
      <c r="F1719" s="2">
        <v>100.0</v>
      </c>
      <c r="G1719" s="2">
        <v>156200.0</v>
      </c>
    </row>
    <row r="1720" ht="14.25" customHeight="1">
      <c r="A1720" s="2">
        <v>1719.0</v>
      </c>
      <c r="B1720" s="2" t="s">
        <v>2636</v>
      </c>
      <c r="C1720" s="2" t="s">
        <v>4222</v>
      </c>
      <c r="D1720" s="2">
        <v>145.0</v>
      </c>
      <c r="E1720" s="2">
        <v>1.0</v>
      </c>
      <c r="F1720" s="2">
        <v>150.0</v>
      </c>
      <c r="G1720" s="2">
        <v>156200.0</v>
      </c>
    </row>
    <row r="1721" ht="14.25" customHeight="1">
      <c r="A1721" s="2">
        <v>1720.0</v>
      </c>
      <c r="B1721" s="2" t="s">
        <v>2501</v>
      </c>
      <c r="C1721" s="2" t="s">
        <v>4223</v>
      </c>
      <c r="D1721" s="2">
        <v>199.0</v>
      </c>
      <c r="E1721" s="2">
        <v>1.0</v>
      </c>
      <c r="F1721" s="2">
        <v>50.0</v>
      </c>
      <c r="G1721" s="2">
        <v>156200.0</v>
      </c>
    </row>
    <row r="1722" ht="14.25" customHeight="1">
      <c r="A1722" s="2">
        <v>1721.0</v>
      </c>
      <c r="B1722" s="2" t="s">
        <v>2594</v>
      </c>
      <c r="C1722" s="2" t="s">
        <v>4224</v>
      </c>
      <c r="D1722" s="2">
        <v>184.0</v>
      </c>
      <c r="E1722" s="2">
        <v>1.0</v>
      </c>
      <c r="F1722" s="2">
        <v>100.0</v>
      </c>
      <c r="G1722" s="2">
        <v>156100.0</v>
      </c>
    </row>
    <row r="1723" ht="14.25" customHeight="1">
      <c r="A1723" s="2">
        <v>1722.0</v>
      </c>
      <c r="B1723" s="2" t="s">
        <v>2534</v>
      </c>
      <c r="C1723" s="2" t="s">
        <v>4225</v>
      </c>
      <c r="D1723" s="2">
        <v>188.0</v>
      </c>
      <c r="E1723" s="2">
        <v>1.0</v>
      </c>
      <c r="F1723" s="2">
        <v>75.0</v>
      </c>
      <c r="G1723" s="2">
        <v>156100.0</v>
      </c>
    </row>
    <row r="1724" ht="14.25" customHeight="1">
      <c r="A1724" s="2">
        <v>1723.0</v>
      </c>
      <c r="B1724" s="2" t="s">
        <v>2518</v>
      </c>
      <c r="C1724" s="2" t="s">
        <v>4226</v>
      </c>
      <c r="D1724" s="2">
        <v>161.0</v>
      </c>
      <c r="E1724" s="2">
        <v>1.0</v>
      </c>
      <c r="F1724" s="2">
        <v>100.0</v>
      </c>
      <c r="G1724" s="2">
        <v>156000.0</v>
      </c>
    </row>
    <row r="1725" ht="14.25" customHeight="1">
      <c r="A1725" s="2">
        <v>1724.0</v>
      </c>
      <c r="B1725" s="2" t="s">
        <v>2518</v>
      </c>
      <c r="C1725" s="2" t="s">
        <v>4227</v>
      </c>
      <c r="D1725" s="2">
        <v>161.0</v>
      </c>
      <c r="E1725" s="2">
        <v>1.0</v>
      </c>
      <c r="F1725" s="2">
        <v>75.0</v>
      </c>
      <c r="G1725" s="2">
        <v>156000.0</v>
      </c>
    </row>
    <row r="1726" ht="14.25" customHeight="1">
      <c r="A1726" s="2">
        <v>1725.0</v>
      </c>
      <c r="B1726" s="2" t="s">
        <v>2479</v>
      </c>
      <c r="C1726" s="2" t="s">
        <v>4228</v>
      </c>
      <c r="D1726" s="2">
        <v>182.0</v>
      </c>
      <c r="E1726" s="2">
        <v>1.0</v>
      </c>
      <c r="F1726" s="2">
        <v>100.0</v>
      </c>
      <c r="G1726" s="2">
        <v>156000.0</v>
      </c>
    </row>
    <row r="1727" ht="14.25" customHeight="1">
      <c r="A1727" s="2">
        <v>1726.0</v>
      </c>
      <c r="B1727" s="2" t="s">
        <v>2651</v>
      </c>
      <c r="C1727" s="2" t="s">
        <v>4229</v>
      </c>
      <c r="D1727" s="2">
        <v>347.0</v>
      </c>
      <c r="E1727" s="2">
        <v>1.0</v>
      </c>
      <c r="F1727" s="2">
        <v>50.0</v>
      </c>
      <c r="G1727" s="2">
        <v>156000.0</v>
      </c>
    </row>
    <row r="1728" ht="14.25" customHeight="1">
      <c r="A1728" s="2">
        <v>1727.0</v>
      </c>
      <c r="B1728" s="2" t="s">
        <v>2686</v>
      </c>
      <c r="C1728" s="2" t="s">
        <v>4230</v>
      </c>
      <c r="D1728" s="2">
        <v>127.0</v>
      </c>
      <c r="E1728" s="2">
        <v>1.0</v>
      </c>
      <c r="F1728" s="2">
        <v>99.0</v>
      </c>
      <c r="G1728" s="2">
        <v>155900.0</v>
      </c>
    </row>
    <row r="1729" ht="14.25" customHeight="1">
      <c r="A1729" s="2">
        <v>1728.0</v>
      </c>
      <c r="B1729" s="2" t="s">
        <v>2582</v>
      </c>
      <c r="C1729" s="2" t="s">
        <v>4231</v>
      </c>
      <c r="D1729" s="2">
        <v>183.0</v>
      </c>
      <c r="E1729" s="2">
        <v>1.0</v>
      </c>
      <c r="F1729" s="2">
        <v>50.0</v>
      </c>
      <c r="G1729" s="2">
        <v>155900.0</v>
      </c>
    </row>
    <row r="1730" ht="14.25" customHeight="1">
      <c r="A1730" s="2">
        <v>1729.0</v>
      </c>
      <c r="B1730" s="2" t="s">
        <v>2518</v>
      </c>
      <c r="C1730" s="2" t="s">
        <v>4232</v>
      </c>
      <c r="D1730" s="2">
        <v>161.0</v>
      </c>
      <c r="E1730" s="2">
        <v>1.0</v>
      </c>
      <c r="F1730" s="2">
        <v>150.0</v>
      </c>
      <c r="G1730" s="2">
        <v>155800.0</v>
      </c>
    </row>
    <row r="1731" ht="14.25" customHeight="1">
      <c r="A1731" s="2">
        <v>1730.0</v>
      </c>
      <c r="B1731" s="2" t="s">
        <v>2518</v>
      </c>
      <c r="C1731" s="2" t="s">
        <v>4233</v>
      </c>
      <c r="D1731" s="2">
        <v>161.0</v>
      </c>
      <c r="E1731" s="2">
        <v>1.0</v>
      </c>
      <c r="F1731" s="2">
        <v>150.0</v>
      </c>
      <c r="G1731" s="2">
        <v>155800.0</v>
      </c>
    </row>
    <row r="1732" ht="14.25" customHeight="1">
      <c r="A1732" s="2">
        <v>1731.0</v>
      </c>
      <c r="B1732" s="2" t="s">
        <v>2582</v>
      </c>
      <c r="C1732" s="2" t="s">
        <v>4234</v>
      </c>
      <c r="D1732" s="2">
        <v>183.0</v>
      </c>
      <c r="E1732" s="2">
        <v>1.0</v>
      </c>
      <c r="F1732" s="2">
        <v>90.0</v>
      </c>
      <c r="G1732" s="2">
        <v>155800.0</v>
      </c>
    </row>
    <row r="1733" ht="14.25" customHeight="1">
      <c r="A1733" s="2">
        <v>1732.0</v>
      </c>
      <c r="B1733" s="2" t="s">
        <v>2491</v>
      </c>
      <c r="C1733" s="2" t="s">
        <v>4235</v>
      </c>
      <c r="D1733" s="2">
        <v>116.0</v>
      </c>
      <c r="E1733" s="2">
        <v>1.0</v>
      </c>
      <c r="F1733" s="2">
        <v>100.0</v>
      </c>
      <c r="G1733" s="2">
        <v>155700.0</v>
      </c>
    </row>
    <row r="1734" ht="14.25" customHeight="1">
      <c r="A1734" s="2">
        <v>1733.0</v>
      </c>
      <c r="B1734" s="2" t="s">
        <v>2604</v>
      </c>
      <c r="C1734" s="2" t="s">
        <v>4236</v>
      </c>
      <c r="D1734" s="2">
        <v>200.0</v>
      </c>
      <c r="E1734" s="2">
        <v>1.0</v>
      </c>
      <c r="F1734" s="2">
        <v>100.1</v>
      </c>
      <c r="G1734" s="2">
        <v>155700.0</v>
      </c>
    </row>
    <row r="1735" ht="14.25" customHeight="1">
      <c r="A1735" s="2">
        <v>1734.0</v>
      </c>
      <c r="B1735" s="2" t="s">
        <v>2507</v>
      </c>
      <c r="C1735" s="2" t="s">
        <v>4237</v>
      </c>
      <c r="D1735" s="2">
        <v>205.0</v>
      </c>
      <c r="E1735" s="2">
        <v>1.0</v>
      </c>
      <c r="F1735" s="2">
        <v>110.0</v>
      </c>
      <c r="G1735" s="2">
        <v>155700.0</v>
      </c>
    </row>
    <row r="1736" ht="14.25" customHeight="1">
      <c r="A1736" s="2">
        <v>1735.0</v>
      </c>
      <c r="B1736" s="2" t="s">
        <v>2507</v>
      </c>
      <c r="C1736" s="2" t="s">
        <v>2608</v>
      </c>
      <c r="D1736" s="2">
        <v>205.0</v>
      </c>
      <c r="E1736" s="2">
        <v>1.0</v>
      </c>
      <c r="F1736" s="2">
        <v>100.0</v>
      </c>
      <c r="G1736" s="2">
        <v>155600.0</v>
      </c>
    </row>
    <row r="1737" ht="14.25" customHeight="1">
      <c r="A1737" s="2">
        <v>1736.0</v>
      </c>
      <c r="B1737" s="2" t="s">
        <v>2503</v>
      </c>
      <c r="C1737" s="2" t="s">
        <v>4238</v>
      </c>
      <c r="D1737" s="2">
        <v>105.0</v>
      </c>
      <c r="E1737" s="2">
        <v>1.0</v>
      </c>
      <c r="F1737" s="2">
        <v>65.0</v>
      </c>
      <c r="G1737" s="2">
        <v>155500.0</v>
      </c>
    </row>
    <row r="1738" ht="14.25" customHeight="1">
      <c r="A1738" s="2">
        <v>1737.0</v>
      </c>
      <c r="B1738" s="2" t="s">
        <v>2744</v>
      </c>
      <c r="C1738" s="2" t="s">
        <v>4239</v>
      </c>
      <c r="D1738" s="2">
        <v>169.0</v>
      </c>
      <c r="E1738" s="2">
        <v>1.0</v>
      </c>
      <c r="F1738" s="2">
        <v>150.0</v>
      </c>
      <c r="G1738" s="2">
        <v>155500.0</v>
      </c>
    </row>
    <row r="1739" ht="14.25" customHeight="1">
      <c r="A1739" s="2">
        <v>1738.0</v>
      </c>
      <c r="B1739" s="2" t="s">
        <v>2541</v>
      </c>
      <c r="C1739" s="2" t="s">
        <v>4240</v>
      </c>
      <c r="D1739" s="2">
        <v>195.0</v>
      </c>
      <c r="E1739" s="2">
        <v>1.0</v>
      </c>
      <c r="F1739" s="2">
        <v>50.0</v>
      </c>
      <c r="G1739" s="2">
        <v>155500.0</v>
      </c>
    </row>
    <row r="1740" ht="14.25" customHeight="1">
      <c r="A1740" s="2">
        <v>1739.0</v>
      </c>
      <c r="B1740" s="2" t="s">
        <v>2524</v>
      </c>
      <c r="C1740" s="2" t="s">
        <v>4241</v>
      </c>
      <c r="D1740" s="2">
        <v>331.0</v>
      </c>
      <c r="E1740" s="2">
        <v>1.0</v>
      </c>
      <c r="F1740" s="2">
        <v>110.0</v>
      </c>
      <c r="G1740" s="2">
        <v>155500.0</v>
      </c>
    </row>
    <row r="1741" ht="14.25" customHeight="1">
      <c r="A1741" s="2">
        <v>1740.0</v>
      </c>
      <c r="B1741" s="2" t="s">
        <v>2497</v>
      </c>
      <c r="C1741" s="2" t="s">
        <v>4242</v>
      </c>
      <c r="D1741" s="2">
        <v>151.0</v>
      </c>
      <c r="E1741" s="2">
        <v>1.0</v>
      </c>
      <c r="F1741" s="2">
        <v>100.0</v>
      </c>
      <c r="G1741" s="2">
        <v>155400.0</v>
      </c>
    </row>
    <row r="1742" ht="14.25" customHeight="1">
      <c r="A1742" s="2">
        <v>1741.0</v>
      </c>
      <c r="B1742" s="2" t="s">
        <v>2477</v>
      </c>
      <c r="C1742" s="2" t="s">
        <v>4243</v>
      </c>
      <c r="D1742" s="2">
        <v>152.0</v>
      </c>
      <c r="E1742" s="2">
        <v>1.0</v>
      </c>
      <c r="F1742" s="2">
        <v>80.0</v>
      </c>
      <c r="G1742" s="2">
        <v>155400.0</v>
      </c>
    </row>
    <row r="1743" ht="14.25" customHeight="1">
      <c r="A1743" s="2">
        <v>1742.0</v>
      </c>
      <c r="B1743" s="2" t="s">
        <v>2512</v>
      </c>
      <c r="C1743" s="2" t="s">
        <v>4244</v>
      </c>
      <c r="D1743" s="2">
        <v>153.0</v>
      </c>
      <c r="E1743" s="2">
        <v>1.0</v>
      </c>
      <c r="F1743" s="2">
        <v>50.0</v>
      </c>
      <c r="G1743" s="2">
        <v>155400.0</v>
      </c>
    </row>
    <row r="1744" ht="14.25" customHeight="1">
      <c r="A1744" s="2">
        <v>1743.0</v>
      </c>
      <c r="B1744" s="2" t="s">
        <v>2524</v>
      </c>
      <c r="C1744" s="2" t="s">
        <v>4245</v>
      </c>
      <c r="D1744" s="2">
        <v>331.0</v>
      </c>
      <c r="E1744" s="2">
        <v>1.0</v>
      </c>
      <c r="F1744" s="2">
        <v>75.0</v>
      </c>
      <c r="G1744" s="2">
        <v>155400.0</v>
      </c>
    </row>
    <row r="1745" ht="14.25" customHeight="1">
      <c r="A1745" s="2">
        <v>1744.0</v>
      </c>
      <c r="B1745" s="2" t="s">
        <v>2553</v>
      </c>
      <c r="C1745" s="2" t="s">
        <v>4246</v>
      </c>
      <c r="D1745" s="2">
        <v>187.0</v>
      </c>
      <c r="E1745" s="2">
        <v>1.0</v>
      </c>
      <c r="F1745" s="2">
        <v>90.0</v>
      </c>
      <c r="G1745" s="2">
        <v>155300.0</v>
      </c>
    </row>
    <row r="1746" ht="14.25" customHeight="1">
      <c r="A1746" s="2">
        <v>1745.0</v>
      </c>
      <c r="B1746" s="2" t="s">
        <v>2576</v>
      </c>
      <c r="C1746" s="2" t="s">
        <v>4247</v>
      </c>
      <c r="D1746" s="2">
        <v>197.0</v>
      </c>
      <c r="E1746" s="2">
        <v>1.0</v>
      </c>
      <c r="F1746" s="2">
        <v>120.0</v>
      </c>
      <c r="G1746" s="2">
        <v>155300.0</v>
      </c>
    </row>
    <row r="1747" ht="14.25" customHeight="1">
      <c r="A1747" s="2">
        <v>1746.0</v>
      </c>
      <c r="B1747" s="2" t="s">
        <v>2604</v>
      </c>
      <c r="C1747" s="2" t="s">
        <v>4248</v>
      </c>
      <c r="D1747" s="2">
        <v>200.0</v>
      </c>
      <c r="E1747" s="2">
        <v>1.0</v>
      </c>
      <c r="F1747" s="2">
        <v>150.0</v>
      </c>
      <c r="G1747" s="2">
        <v>155300.0</v>
      </c>
    </row>
    <row r="1748" ht="14.25" customHeight="1">
      <c r="A1748" s="2">
        <v>1747.0</v>
      </c>
      <c r="B1748" s="2" t="s">
        <v>2524</v>
      </c>
      <c r="C1748" s="2" t="s">
        <v>4249</v>
      </c>
      <c r="D1748" s="2">
        <v>331.0</v>
      </c>
      <c r="E1748" s="2">
        <v>1.0</v>
      </c>
      <c r="F1748" s="2">
        <v>75.0</v>
      </c>
      <c r="G1748" s="2">
        <v>155300.0</v>
      </c>
    </row>
    <row r="1749" ht="14.25" customHeight="1">
      <c r="A1749" s="2">
        <v>1748.0</v>
      </c>
      <c r="B1749" s="2" t="s">
        <v>2651</v>
      </c>
      <c r="C1749" s="2" t="s">
        <v>4250</v>
      </c>
      <c r="D1749" s="2">
        <v>347.0</v>
      </c>
      <c r="E1749" s="2">
        <v>1.0</v>
      </c>
      <c r="F1749" s="2">
        <v>66.0</v>
      </c>
      <c r="G1749" s="2">
        <v>155300.0</v>
      </c>
    </row>
    <row r="1750" ht="14.25" customHeight="1">
      <c r="A1750" s="2">
        <v>1749.0</v>
      </c>
      <c r="B1750" s="2" t="s">
        <v>2503</v>
      </c>
      <c r="C1750" s="2" t="s">
        <v>4251</v>
      </c>
      <c r="D1750" s="2">
        <v>105.0</v>
      </c>
      <c r="E1750" s="2">
        <v>1.0</v>
      </c>
      <c r="F1750" s="2">
        <v>100.0</v>
      </c>
      <c r="G1750" s="2">
        <v>155100.0</v>
      </c>
    </row>
    <row r="1751" ht="14.25" customHeight="1">
      <c r="A1751" s="2">
        <v>1750.0</v>
      </c>
      <c r="B1751" s="2" t="s">
        <v>2501</v>
      </c>
      <c r="C1751" s="2" t="s">
        <v>4252</v>
      </c>
      <c r="D1751" s="2">
        <v>199.0</v>
      </c>
      <c r="E1751" s="2">
        <v>1.0</v>
      </c>
      <c r="F1751" s="2">
        <v>100.0</v>
      </c>
      <c r="G1751" s="2">
        <v>155100.0</v>
      </c>
    </row>
    <row r="1752" ht="14.25" customHeight="1">
      <c r="A1752" s="2">
        <v>1751.0</v>
      </c>
      <c r="B1752" s="2" t="s">
        <v>2524</v>
      </c>
      <c r="C1752" s="2" t="s">
        <v>4253</v>
      </c>
      <c r="D1752" s="2">
        <v>331.0</v>
      </c>
      <c r="E1752" s="2">
        <v>1.0</v>
      </c>
      <c r="F1752" s="2">
        <v>75.0</v>
      </c>
      <c r="G1752" s="2">
        <v>155100.0</v>
      </c>
    </row>
    <row r="1753" ht="14.25" customHeight="1">
      <c r="A1753" s="2">
        <v>1752.0</v>
      </c>
      <c r="B1753" s="2" t="s">
        <v>2512</v>
      </c>
      <c r="C1753" s="2" t="s">
        <v>4254</v>
      </c>
      <c r="D1753" s="2">
        <v>153.0</v>
      </c>
      <c r="E1753" s="2">
        <v>1.0</v>
      </c>
      <c r="F1753" s="2">
        <v>120.0</v>
      </c>
      <c r="G1753" s="2">
        <v>155000.0</v>
      </c>
    </row>
    <row r="1754" ht="14.25" customHeight="1">
      <c r="A1754" s="2">
        <v>1753.0</v>
      </c>
      <c r="B1754" s="2" t="s">
        <v>2582</v>
      </c>
      <c r="C1754" s="2" t="s">
        <v>4255</v>
      </c>
      <c r="D1754" s="2">
        <v>183.0</v>
      </c>
      <c r="E1754" s="2">
        <v>1.0</v>
      </c>
      <c r="F1754" s="2">
        <v>100.0</v>
      </c>
      <c r="G1754" s="2">
        <v>155000.0</v>
      </c>
    </row>
    <row r="1755" ht="14.25" customHeight="1">
      <c r="A1755" s="2">
        <v>1754.0</v>
      </c>
      <c r="B1755" s="2" t="s">
        <v>2501</v>
      </c>
      <c r="C1755" s="2" t="s">
        <v>4256</v>
      </c>
      <c r="D1755" s="2">
        <v>199.0</v>
      </c>
      <c r="E1755" s="2">
        <v>1.0</v>
      </c>
      <c r="F1755" s="2">
        <v>100.0</v>
      </c>
      <c r="G1755" s="2">
        <v>155000.0</v>
      </c>
    </row>
    <row r="1756" ht="14.25" customHeight="1">
      <c r="A1756" s="2">
        <v>1755.0</v>
      </c>
      <c r="B1756" s="2" t="s">
        <v>2479</v>
      </c>
      <c r="C1756" s="2" t="s">
        <v>4257</v>
      </c>
      <c r="D1756" s="2">
        <v>182.0</v>
      </c>
      <c r="E1756" s="2">
        <v>1.0</v>
      </c>
      <c r="F1756" s="2">
        <v>100.0</v>
      </c>
      <c r="G1756" s="2">
        <v>154900.0</v>
      </c>
    </row>
    <row r="1757" ht="14.25" customHeight="1">
      <c r="A1757" s="2">
        <v>1756.0</v>
      </c>
      <c r="B1757" s="2" t="s">
        <v>2686</v>
      </c>
      <c r="C1757" s="2" t="s">
        <v>4258</v>
      </c>
      <c r="D1757" s="2">
        <v>127.0</v>
      </c>
      <c r="E1757" s="2">
        <v>1.0</v>
      </c>
      <c r="F1757" s="2">
        <v>105.0</v>
      </c>
      <c r="G1757" s="2">
        <v>154700.0</v>
      </c>
    </row>
    <row r="1758" ht="14.25" customHeight="1">
      <c r="A1758" s="2">
        <v>1757.0</v>
      </c>
      <c r="B1758" s="2" t="s">
        <v>2497</v>
      </c>
      <c r="C1758" s="2" t="s">
        <v>4259</v>
      </c>
      <c r="D1758" s="2">
        <v>151.0</v>
      </c>
      <c r="E1758" s="2">
        <v>1.0</v>
      </c>
      <c r="F1758" s="2">
        <v>99.0</v>
      </c>
      <c r="G1758" s="2">
        <v>154700.0</v>
      </c>
    </row>
    <row r="1759" ht="14.25" customHeight="1">
      <c r="A1759" s="2">
        <v>1758.0</v>
      </c>
      <c r="B1759" s="2" t="s">
        <v>2604</v>
      </c>
      <c r="C1759" s="2" t="s">
        <v>4260</v>
      </c>
      <c r="D1759" s="2">
        <v>200.0</v>
      </c>
      <c r="E1759" s="2">
        <v>1.0</v>
      </c>
      <c r="F1759" s="2">
        <v>75.0</v>
      </c>
      <c r="G1759" s="2">
        <v>154600.0</v>
      </c>
    </row>
    <row r="1760" ht="14.25" customHeight="1">
      <c r="A1760" s="2">
        <v>1759.0</v>
      </c>
      <c r="B1760" s="2" t="s">
        <v>2488</v>
      </c>
      <c r="C1760" s="2" t="s">
        <v>4261</v>
      </c>
      <c r="D1760" s="2">
        <v>333.0</v>
      </c>
      <c r="E1760" s="2">
        <v>1.0</v>
      </c>
      <c r="F1760" s="2">
        <v>75.0</v>
      </c>
      <c r="G1760" s="2">
        <v>154600.0</v>
      </c>
    </row>
    <row r="1761" ht="14.25" customHeight="1">
      <c r="A1761" s="2">
        <v>1760.0</v>
      </c>
      <c r="B1761" s="2" t="s">
        <v>2477</v>
      </c>
      <c r="C1761" s="2" t="s">
        <v>4262</v>
      </c>
      <c r="D1761" s="2">
        <v>152.0</v>
      </c>
      <c r="E1761" s="2">
        <v>1.0</v>
      </c>
      <c r="F1761" s="2">
        <v>130.0</v>
      </c>
      <c r="G1761" s="2">
        <v>154500.0</v>
      </c>
    </row>
    <row r="1762" ht="14.25" customHeight="1">
      <c r="A1762" s="2">
        <v>1761.0</v>
      </c>
      <c r="B1762" s="2" t="s">
        <v>2594</v>
      </c>
      <c r="C1762" s="2" t="s">
        <v>4263</v>
      </c>
      <c r="D1762" s="2">
        <v>184.0</v>
      </c>
      <c r="E1762" s="2">
        <v>1.0</v>
      </c>
      <c r="F1762" s="2">
        <v>66.0</v>
      </c>
      <c r="G1762" s="2">
        <v>154500.0</v>
      </c>
    </row>
    <row r="1763" ht="14.25" customHeight="1">
      <c r="A1763" s="2">
        <v>1762.0</v>
      </c>
      <c r="B1763" s="2" t="s">
        <v>2503</v>
      </c>
      <c r="C1763" s="2" t="s">
        <v>4264</v>
      </c>
      <c r="D1763" s="2">
        <v>105.0</v>
      </c>
      <c r="E1763" s="2">
        <v>1.0</v>
      </c>
      <c r="F1763" s="2">
        <v>100.0</v>
      </c>
      <c r="G1763" s="2">
        <v>154400.0</v>
      </c>
    </row>
    <row r="1764" ht="14.25" customHeight="1">
      <c r="A1764" s="2">
        <v>1763.0</v>
      </c>
      <c r="B1764" s="2" t="s">
        <v>2501</v>
      </c>
      <c r="C1764" s="2" t="s">
        <v>4265</v>
      </c>
      <c r="D1764" s="2">
        <v>199.0</v>
      </c>
      <c r="E1764" s="2">
        <v>1.0</v>
      </c>
      <c r="F1764" s="2">
        <v>50.0</v>
      </c>
      <c r="G1764" s="2">
        <v>154400.0</v>
      </c>
    </row>
    <row r="1765" ht="14.25" customHeight="1">
      <c r="A1765" s="2">
        <v>1764.0</v>
      </c>
      <c r="B1765" s="2" t="s">
        <v>2505</v>
      </c>
      <c r="C1765" s="2" t="s">
        <v>3021</v>
      </c>
      <c r="D1765" s="2">
        <v>429.0</v>
      </c>
      <c r="E1765" s="2">
        <v>1.0</v>
      </c>
      <c r="F1765" s="2">
        <v>100.0</v>
      </c>
      <c r="G1765" s="2">
        <v>154400.0</v>
      </c>
    </row>
    <row r="1766" ht="14.25" customHeight="1">
      <c r="A1766" s="2">
        <v>1765.0</v>
      </c>
      <c r="B1766" s="2" t="s">
        <v>2571</v>
      </c>
      <c r="C1766" s="2" t="s">
        <v>4266</v>
      </c>
      <c r="D1766" s="2">
        <v>185.0</v>
      </c>
      <c r="E1766" s="2">
        <v>1.0</v>
      </c>
      <c r="F1766" s="2">
        <v>100.0</v>
      </c>
      <c r="G1766" s="2">
        <v>154300.0</v>
      </c>
    </row>
    <row r="1767" ht="14.25" customHeight="1">
      <c r="A1767" s="2">
        <v>1766.0</v>
      </c>
      <c r="B1767" s="2" t="s">
        <v>2549</v>
      </c>
      <c r="C1767" s="2" t="s">
        <v>4267</v>
      </c>
      <c r="D1767" s="2">
        <v>115.0</v>
      </c>
      <c r="E1767" s="2">
        <v>1.0</v>
      </c>
      <c r="F1767" s="2">
        <v>50.0</v>
      </c>
      <c r="G1767" s="2">
        <v>154200.0</v>
      </c>
    </row>
    <row r="1768" ht="14.25" customHeight="1">
      <c r="A1768" s="2">
        <v>1767.0</v>
      </c>
      <c r="B1768" s="2" t="s">
        <v>2488</v>
      </c>
      <c r="C1768" s="2" t="s">
        <v>4268</v>
      </c>
      <c r="D1768" s="2">
        <v>333.0</v>
      </c>
      <c r="E1768" s="2">
        <v>1.0</v>
      </c>
      <c r="F1768" s="2">
        <v>55.0</v>
      </c>
      <c r="G1768" s="2">
        <v>154200.0</v>
      </c>
    </row>
    <row r="1769" ht="14.25" customHeight="1">
      <c r="A1769" s="2">
        <v>1768.0</v>
      </c>
      <c r="B1769" s="2" t="s">
        <v>2558</v>
      </c>
      <c r="C1769" s="2" t="s">
        <v>4269</v>
      </c>
      <c r="D1769" s="2">
        <v>357.0</v>
      </c>
      <c r="E1769" s="2">
        <v>1.0</v>
      </c>
      <c r="F1769" s="2">
        <v>88.0</v>
      </c>
      <c r="G1769" s="2">
        <v>154200.0</v>
      </c>
    </row>
    <row r="1770" ht="14.25" customHeight="1">
      <c r="A1770" s="2">
        <v>1769.0</v>
      </c>
      <c r="B1770" s="2" t="s">
        <v>2621</v>
      </c>
      <c r="C1770" s="2" t="s">
        <v>4270</v>
      </c>
      <c r="D1770" s="2">
        <v>403.0</v>
      </c>
      <c r="E1770" s="2">
        <v>1.0</v>
      </c>
      <c r="F1770" s="2">
        <v>65.0</v>
      </c>
      <c r="G1770" s="2">
        <v>154200.0</v>
      </c>
    </row>
    <row r="1771" ht="14.25" customHeight="1">
      <c r="A1771" s="2">
        <v>1770.0</v>
      </c>
      <c r="B1771" s="2" t="s">
        <v>2505</v>
      </c>
      <c r="C1771" s="2" t="s">
        <v>4271</v>
      </c>
      <c r="D1771" s="2">
        <v>429.0</v>
      </c>
      <c r="E1771" s="2">
        <v>1.0</v>
      </c>
      <c r="F1771" s="2">
        <v>75.0</v>
      </c>
      <c r="G1771" s="2">
        <v>154200.0</v>
      </c>
    </row>
    <row r="1772" ht="14.25" customHeight="1">
      <c r="A1772" s="2">
        <v>1771.0</v>
      </c>
      <c r="B1772" s="2" t="s">
        <v>2945</v>
      </c>
      <c r="C1772" s="2" t="s">
        <v>4272</v>
      </c>
      <c r="D1772" s="2">
        <v>619.0</v>
      </c>
      <c r="E1772" s="2">
        <v>1.0</v>
      </c>
      <c r="F1772" s="2">
        <v>65.0</v>
      </c>
      <c r="G1772" s="2">
        <v>154200.0</v>
      </c>
    </row>
    <row r="1773" ht="14.25" customHeight="1">
      <c r="A1773" s="2">
        <v>1772.0</v>
      </c>
      <c r="B1773" s="2" t="s">
        <v>2497</v>
      </c>
      <c r="C1773" s="2" t="s">
        <v>4273</v>
      </c>
      <c r="D1773" s="2">
        <v>151.0</v>
      </c>
      <c r="E1773" s="2">
        <v>1.0</v>
      </c>
      <c r="F1773" s="2">
        <v>66.0</v>
      </c>
      <c r="G1773" s="2">
        <v>154100.0</v>
      </c>
    </row>
    <row r="1774" ht="14.25" customHeight="1">
      <c r="A1774" s="2">
        <v>1773.0</v>
      </c>
      <c r="B1774" s="2" t="s">
        <v>2479</v>
      </c>
      <c r="C1774" s="2" t="s">
        <v>4274</v>
      </c>
      <c r="D1774" s="2">
        <v>182.0</v>
      </c>
      <c r="E1774" s="2">
        <v>1.0</v>
      </c>
      <c r="F1774" s="2">
        <v>100.0</v>
      </c>
      <c r="G1774" s="2">
        <v>154100.0</v>
      </c>
    </row>
    <row r="1775" ht="14.25" customHeight="1">
      <c r="A1775" s="2">
        <v>1774.0</v>
      </c>
      <c r="B1775" s="2" t="s">
        <v>2576</v>
      </c>
      <c r="C1775" s="2" t="s">
        <v>4275</v>
      </c>
      <c r="D1775" s="2">
        <v>197.0</v>
      </c>
      <c r="E1775" s="2">
        <v>1.0</v>
      </c>
      <c r="F1775" s="2">
        <v>99.0</v>
      </c>
      <c r="G1775" s="2">
        <v>154100.0</v>
      </c>
    </row>
    <row r="1776" ht="14.25" customHeight="1">
      <c r="A1776" s="2">
        <v>1775.0</v>
      </c>
      <c r="B1776" s="2" t="s">
        <v>2512</v>
      </c>
      <c r="C1776" s="2" t="s">
        <v>4276</v>
      </c>
      <c r="D1776" s="2">
        <v>153.0</v>
      </c>
      <c r="E1776" s="2">
        <v>1.0</v>
      </c>
      <c r="F1776" s="2">
        <v>75.0</v>
      </c>
      <c r="G1776" s="2">
        <v>154000.0</v>
      </c>
    </row>
    <row r="1777" ht="14.25" customHeight="1">
      <c r="A1777" s="2">
        <v>1776.0</v>
      </c>
      <c r="B1777" s="2" t="s">
        <v>2534</v>
      </c>
      <c r="C1777" s="2" t="s">
        <v>4277</v>
      </c>
      <c r="D1777" s="2">
        <v>188.0</v>
      </c>
      <c r="E1777" s="2">
        <v>1.0</v>
      </c>
      <c r="F1777" s="2">
        <v>60.0</v>
      </c>
      <c r="G1777" s="2">
        <v>154000.0</v>
      </c>
    </row>
    <row r="1778" ht="14.25" customHeight="1">
      <c r="A1778" s="2">
        <v>1777.0</v>
      </c>
      <c r="B1778" s="2" t="s">
        <v>2582</v>
      </c>
      <c r="C1778" s="2" t="s">
        <v>4278</v>
      </c>
      <c r="D1778" s="2">
        <v>183.0</v>
      </c>
      <c r="E1778" s="2">
        <v>1.0</v>
      </c>
      <c r="F1778" s="2">
        <v>50.0</v>
      </c>
      <c r="G1778" s="2">
        <v>153900.0</v>
      </c>
    </row>
    <row r="1779" ht="14.25" customHeight="1">
      <c r="A1779" s="2">
        <v>1778.0</v>
      </c>
      <c r="B1779" s="2" t="s">
        <v>2582</v>
      </c>
      <c r="C1779" s="2" t="s">
        <v>4279</v>
      </c>
      <c r="D1779" s="2">
        <v>183.0</v>
      </c>
      <c r="E1779" s="2">
        <v>1.0</v>
      </c>
      <c r="F1779" s="2">
        <v>100.1</v>
      </c>
      <c r="G1779" s="2">
        <v>153900.0</v>
      </c>
    </row>
    <row r="1780" ht="14.25" customHeight="1">
      <c r="A1780" s="2">
        <v>1779.0</v>
      </c>
      <c r="B1780" s="2" t="s">
        <v>2524</v>
      </c>
      <c r="C1780" s="2" t="s">
        <v>4280</v>
      </c>
      <c r="D1780" s="2">
        <v>331.0</v>
      </c>
      <c r="E1780" s="2">
        <v>1.0</v>
      </c>
      <c r="F1780" s="2">
        <v>50.0</v>
      </c>
      <c r="G1780" s="2">
        <v>153900.0</v>
      </c>
    </row>
    <row r="1781" ht="14.25" customHeight="1">
      <c r="A1781" s="2">
        <v>1780.0</v>
      </c>
      <c r="B1781" s="2" t="s">
        <v>2477</v>
      </c>
      <c r="C1781" s="2" t="s">
        <v>4281</v>
      </c>
      <c r="D1781" s="2">
        <v>152.0</v>
      </c>
      <c r="E1781" s="2">
        <v>1.0</v>
      </c>
      <c r="F1781" s="2">
        <v>100.0</v>
      </c>
      <c r="G1781" s="2">
        <v>153800.0</v>
      </c>
    </row>
    <row r="1782" ht="14.25" customHeight="1">
      <c r="A1782" s="2">
        <v>1781.0</v>
      </c>
      <c r="B1782" s="2" t="s">
        <v>2512</v>
      </c>
      <c r="C1782" s="2" t="s">
        <v>4282</v>
      </c>
      <c r="D1782" s="2">
        <v>153.0</v>
      </c>
      <c r="E1782" s="2">
        <v>1.0</v>
      </c>
      <c r="F1782" s="2">
        <v>100.0</v>
      </c>
      <c r="G1782" s="2">
        <v>153800.0</v>
      </c>
    </row>
    <row r="1783" ht="14.25" customHeight="1">
      <c r="A1783" s="2">
        <v>1782.0</v>
      </c>
      <c r="B1783" s="2" t="s">
        <v>2594</v>
      </c>
      <c r="C1783" s="2" t="s">
        <v>4283</v>
      </c>
      <c r="D1783" s="2">
        <v>184.0</v>
      </c>
      <c r="E1783" s="2">
        <v>1.0</v>
      </c>
      <c r="F1783" s="2">
        <v>80.0</v>
      </c>
      <c r="G1783" s="2">
        <v>153800.0</v>
      </c>
    </row>
    <row r="1784" ht="14.25" customHeight="1">
      <c r="A1784" s="2">
        <v>1783.0</v>
      </c>
      <c r="B1784" s="2" t="s">
        <v>2582</v>
      </c>
      <c r="C1784" s="2" t="s">
        <v>4284</v>
      </c>
      <c r="D1784" s="2">
        <v>183.0</v>
      </c>
      <c r="E1784" s="2">
        <v>1.0</v>
      </c>
      <c r="F1784" s="2">
        <v>70.0</v>
      </c>
      <c r="G1784" s="2">
        <v>153700.0</v>
      </c>
    </row>
    <row r="1785" ht="14.25" customHeight="1">
      <c r="A1785" s="2">
        <v>1784.0</v>
      </c>
      <c r="B1785" s="2" t="s">
        <v>2571</v>
      </c>
      <c r="C1785" s="2" t="s">
        <v>4285</v>
      </c>
      <c r="D1785" s="2">
        <v>185.0</v>
      </c>
      <c r="E1785" s="2">
        <v>1.0</v>
      </c>
      <c r="F1785" s="2">
        <v>100.0</v>
      </c>
      <c r="G1785" s="2">
        <v>153700.0</v>
      </c>
    </row>
    <row r="1786" ht="14.25" customHeight="1">
      <c r="A1786" s="2">
        <v>1785.0</v>
      </c>
      <c r="B1786" s="2" t="s">
        <v>2534</v>
      </c>
      <c r="C1786" s="2" t="s">
        <v>4286</v>
      </c>
      <c r="D1786" s="2">
        <v>188.0</v>
      </c>
      <c r="E1786" s="2">
        <v>1.0</v>
      </c>
      <c r="F1786" s="2">
        <v>100.0</v>
      </c>
      <c r="G1786" s="2">
        <v>153700.0</v>
      </c>
    </row>
    <row r="1787" ht="14.25" customHeight="1">
      <c r="A1787" s="2">
        <v>1786.0</v>
      </c>
      <c r="B1787" s="2" t="s">
        <v>2621</v>
      </c>
      <c r="C1787" s="2" t="s">
        <v>4287</v>
      </c>
      <c r="D1787" s="2">
        <v>403.0</v>
      </c>
      <c r="E1787" s="2">
        <v>1.0</v>
      </c>
      <c r="F1787" s="2">
        <v>66.0</v>
      </c>
      <c r="G1787" s="2">
        <v>153600.0</v>
      </c>
    </row>
    <row r="1788" ht="14.25" customHeight="1">
      <c r="A1788" s="2">
        <v>1787.0</v>
      </c>
      <c r="B1788" s="2" t="s">
        <v>2505</v>
      </c>
      <c r="C1788" s="2" t="s">
        <v>4288</v>
      </c>
      <c r="D1788" s="2">
        <v>429.0</v>
      </c>
      <c r="E1788" s="2">
        <v>1.0</v>
      </c>
      <c r="F1788" s="2">
        <v>80.0</v>
      </c>
      <c r="G1788" s="2">
        <v>153600.0</v>
      </c>
    </row>
    <row r="1789" ht="14.25" customHeight="1">
      <c r="A1789" s="2">
        <v>1788.0</v>
      </c>
      <c r="B1789" s="2" t="s">
        <v>2549</v>
      </c>
      <c r="C1789" s="2" t="s">
        <v>4289</v>
      </c>
      <c r="D1789" s="2">
        <v>115.0</v>
      </c>
      <c r="E1789" s="2">
        <v>1.0</v>
      </c>
      <c r="F1789" s="2">
        <v>50.0</v>
      </c>
      <c r="G1789" s="2">
        <v>153500.0</v>
      </c>
    </row>
    <row r="1790" ht="14.25" customHeight="1">
      <c r="A1790" s="2">
        <v>1789.0</v>
      </c>
      <c r="B1790" s="2" t="s">
        <v>2576</v>
      </c>
      <c r="C1790" s="2" t="s">
        <v>4290</v>
      </c>
      <c r="D1790" s="2">
        <v>197.0</v>
      </c>
      <c r="E1790" s="2">
        <v>1.0</v>
      </c>
      <c r="F1790" s="2">
        <v>100.0</v>
      </c>
      <c r="G1790" s="2">
        <v>153400.0</v>
      </c>
    </row>
    <row r="1791" ht="14.25" customHeight="1">
      <c r="A1791" s="2">
        <v>1790.0</v>
      </c>
      <c r="B1791" s="2" t="s">
        <v>2945</v>
      </c>
      <c r="C1791" s="2" t="s">
        <v>4291</v>
      </c>
      <c r="D1791" s="2">
        <v>619.0</v>
      </c>
      <c r="E1791" s="2">
        <v>1.0</v>
      </c>
      <c r="F1791" s="2">
        <v>60.0</v>
      </c>
      <c r="G1791" s="2">
        <v>153400.0</v>
      </c>
    </row>
    <row r="1792" ht="14.25" customHeight="1">
      <c r="A1792" s="2">
        <v>1791.0</v>
      </c>
      <c r="B1792" s="2" t="s">
        <v>2636</v>
      </c>
      <c r="C1792" s="2" t="s">
        <v>4292</v>
      </c>
      <c r="D1792" s="2">
        <v>145.0</v>
      </c>
      <c r="E1792" s="2">
        <v>1.0</v>
      </c>
      <c r="F1792" s="2">
        <v>100.0</v>
      </c>
      <c r="G1792" s="2">
        <v>153300.0</v>
      </c>
    </row>
    <row r="1793" ht="14.25" customHeight="1">
      <c r="A1793" s="2">
        <v>1792.0</v>
      </c>
      <c r="B1793" s="2" t="s">
        <v>2561</v>
      </c>
      <c r="C1793" s="2" t="s">
        <v>4293</v>
      </c>
      <c r="D1793" s="2">
        <v>162.0</v>
      </c>
      <c r="E1793" s="2">
        <v>1.0</v>
      </c>
      <c r="F1793" s="2">
        <v>80.0</v>
      </c>
      <c r="G1793" s="2">
        <v>153300.0</v>
      </c>
    </row>
    <row r="1794" ht="14.25" customHeight="1">
      <c r="A1794" s="2">
        <v>1793.0</v>
      </c>
      <c r="B1794" s="2" t="s">
        <v>2553</v>
      </c>
      <c r="C1794" s="2" t="s">
        <v>4294</v>
      </c>
      <c r="D1794" s="2">
        <v>187.0</v>
      </c>
      <c r="E1794" s="2">
        <v>1.0</v>
      </c>
      <c r="F1794" s="2">
        <v>250.0</v>
      </c>
      <c r="G1794" s="2">
        <v>153300.0</v>
      </c>
    </row>
    <row r="1795" ht="14.25" customHeight="1">
      <c r="A1795" s="2">
        <v>1794.0</v>
      </c>
      <c r="B1795" s="2" t="s">
        <v>2604</v>
      </c>
      <c r="C1795" s="2" t="s">
        <v>4295</v>
      </c>
      <c r="D1795" s="2">
        <v>200.0</v>
      </c>
      <c r="E1795" s="2">
        <v>1.0</v>
      </c>
      <c r="F1795" s="2">
        <v>150.0</v>
      </c>
      <c r="G1795" s="2">
        <v>153300.0</v>
      </c>
    </row>
    <row r="1796" ht="14.25" customHeight="1">
      <c r="A1796" s="2">
        <v>1795.0</v>
      </c>
      <c r="B1796" s="2" t="s">
        <v>2558</v>
      </c>
      <c r="C1796" s="2" t="s">
        <v>4296</v>
      </c>
      <c r="D1796" s="2">
        <v>357.0</v>
      </c>
      <c r="E1796" s="2">
        <v>1.0</v>
      </c>
      <c r="F1796" s="2">
        <v>66.0</v>
      </c>
      <c r="G1796" s="2">
        <v>153300.0</v>
      </c>
    </row>
    <row r="1797" ht="14.25" customHeight="1">
      <c r="A1797" s="2">
        <v>1796.0</v>
      </c>
      <c r="B1797" s="2" t="s">
        <v>2541</v>
      </c>
      <c r="C1797" s="2" t="s">
        <v>4297</v>
      </c>
      <c r="D1797" s="2">
        <v>195.0</v>
      </c>
      <c r="E1797" s="2">
        <v>1.0</v>
      </c>
      <c r="F1797" s="2">
        <v>100.0</v>
      </c>
      <c r="G1797" s="2">
        <v>153200.0</v>
      </c>
    </row>
    <row r="1798" ht="14.25" customHeight="1">
      <c r="A1798" s="2">
        <v>1797.0</v>
      </c>
      <c r="B1798" s="2" t="s">
        <v>2524</v>
      </c>
      <c r="C1798" s="2" t="s">
        <v>4298</v>
      </c>
      <c r="D1798" s="2">
        <v>331.0</v>
      </c>
      <c r="E1798" s="2">
        <v>1.0</v>
      </c>
      <c r="F1798" s="2">
        <v>80.0</v>
      </c>
      <c r="G1798" s="2">
        <v>153200.0</v>
      </c>
    </row>
    <row r="1799" ht="14.25" customHeight="1">
      <c r="A1799" s="2">
        <v>1798.0</v>
      </c>
      <c r="B1799" s="2" t="s">
        <v>2524</v>
      </c>
      <c r="C1799" s="2" t="s">
        <v>4299</v>
      </c>
      <c r="D1799" s="2">
        <v>331.0</v>
      </c>
      <c r="E1799" s="2">
        <v>1.0</v>
      </c>
      <c r="F1799" s="2">
        <v>60.0</v>
      </c>
      <c r="G1799" s="2">
        <v>153200.0</v>
      </c>
    </row>
    <row r="1800" ht="14.25" customHeight="1">
      <c r="A1800" s="2">
        <v>1799.0</v>
      </c>
      <c r="B1800" s="2" t="s">
        <v>2518</v>
      </c>
      <c r="C1800" s="2" t="s">
        <v>4300</v>
      </c>
      <c r="D1800" s="2">
        <v>161.0</v>
      </c>
      <c r="E1800" s="2">
        <v>1.0</v>
      </c>
      <c r="F1800" s="2">
        <v>120.0</v>
      </c>
      <c r="G1800" s="2">
        <v>153100.0</v>
      </c>
    </row>
    <row r="1801" ht="14.25" customHeight="1">
      <c r="A1801" s="2">
        <v>1800.0</v>
      </c>
      <c r="B1801" s="2" t="s">
        <v>2582</v>
      </c>
      <c r="C1801" s="2" t="s">
        <v>4301</v>
      </c>
      <c r="D1801" s="2">
        <v>183.0</v>
      </c>
      <c r="E1801" s="2">
        <v>1.0</v>
      </c>
      <c r="F1801" s="2">
        <v>50.0</v>
      </c>
      <c r="G1801" s="2">
        <v>153100.0</v>
      </c>
    </row>
    <row r="1802" ht="14.25" customHeight="1">
      <c r="A1802" s="2">
        <v>1801.0</v>
      </c>
      <c r="B1802" s="2" t="s">
        <v>2541</v>
      </c>
      <c r="C1802" s="2" t="s">
        <v>4302</v>
      </c>
      <c r="D1802" s="2">
        <v>195.0</v>
      </c>
      <c r="E1802" s="2">
        <v>1.0</v>
      </c>
      <c r="F1802" s="2">
        <v>62.5</v>
      </c>
      <c r="G1802" s="2">
        <v>153100.0</v>
      </c>
    </row>
    <row r="1803" ht="14.25" customHeight="1">
      <c r="A1803" s="2">
        <v>1802.0</v>
      </c>
      <c r="B1803" s="2" t="s">
        <v>2501</v>
      </c>
      <c r="C1803" s="2" t="s">
        <v>4303</v>
      </c>
      <c r="D1803" s="2">
        <v>199.0</v>
      </c>
      <c r="E1803" s="2">
        <v>1.0</v>
      </c>
      <c r="F1803" s="2">
        <v>100.0</v>
      </c>
      <c r="G1803" s="2">
        <v>153100.0</v>
      </c>
    </row>
    <row r="1804" ht="14.25" customHeight="1">
      <c r="A1804" s="2">
        <v>1803.0</v>
      </c>
      <c r="B1804" s="2" t="s">
        <v>2479</v>
      </c>
      <c r="C1804" s="2" t="s">
        <v>4304</v>
      </c>
      <c r="D1804" s="2">
        <v>182.0</v>
      </c>
      <c r="E1804" s="2">
        <v>1.0</v>
      </c>
      <c r="F1804" s="2">
        <v>75.0</v>
      </c>
      <c r="G1804" s="2">
        <v>152900.0</v>
      </c>
    </row>
    <row r="1805" ht="14.25" customHeight="1">
      <c r="A1805" s="2">
        <v>1804.0</v>
      </c>
      <c r="B1805" s="2" t="s">
        <v>2594</v>
      </c>
      <c r="C1805" s="2" t="s">
        <v>4305</v>
      </c>
      <c r="D1805" s="2">
        <v>184.0</v>
      </c>
      <c r="E1805" s="2">
        <v>1.0</v>
      </c>
      <c r="F1805" s="2">
        <v>80.0</v>
      </c>
      <c r="G1805" s="2">
        <v>152900.0</v>
      </c>
    </row>
    <row r="1806" ht="14.25" customHeight="1">
      <c r="A1806" s="2">
        <v>1805.0</v>
      </c>
      <c r="B1806" s="2" t="s">
        <v>2576</v>
      </c>
      <c r="C1806" s="2" t="s">
        <v>4306</v>
      </c>
      <c r="D1806" s="2">
        <v>197.0</v>
      </c>
      <c r="E1806" s="2">
        <v>1.0</v>
      </c>
      <c r="F1806" s="2">
        <v>150.0</v>
      </c>
      <c r="G1806" s="2">
        <v>152800.0</v>
      </c>
    </row>
    <row r="1807" ht="14.25" customHeight="1">
      <c r="A1807" s="2">
        <v>1806.0</v>
      </c>
      <c r="B1807" s="2" t="s">
        <v>2501</v>
      </c>
      <c r="C1807" s="2" t="s">
        <v>4307</v>
      </c>
      <c r="D1807" s="2">
        <v>199.0</v>
      </c>
      <c r="E1807" s="2">
        <v>1.0</v>
      </c>
      <c r="F1807" s="2">
        <v>50.0</v>
      </c>
      <c r="G1807" s="2">
        <v>152800.0</v>
      </c>
    </row>
    <row r="1808" ht="14.25" customHeight="1">
      <c r="A1808" s="2">
        <v>1807.0</v>
      </c>
      <c r="B1808" s="2" t="s">
        <v>2945</v>
      </c>
      <c r="C1808" s="2" t="s">
        <v>4308</v>
      </c>
      <c r="D1808" s="2">
        <v>619.0</v>
      </c>
      <c r="E1808" s="2">
        <v>1.0</v>
      </c>
      <c r="F1808" s="2">
        <v>55.0</v>
      </c>
      <c r="G1808" s="2">
        <v>152800.0</v>
      </c>
    </row>
    <row r="1809" ht="14.25" customHeight="1">
      <c r="A1809" s="2">
        <v>1808.0</v>
      </c>
      <c r="B1809" s="2" t="s">
        <v>2561</v>
      </c>
      <c r="C1809" s="2" t="s">
        <v>4309</v>
      </c>
      <c r="D1809" s="2">
        <v>162.0</v>
      </c>
      <c r="E1809" s="2">
        <v>1.0</v>
      </c>
      <c r="F1809" s="2">
        <v>130.0</v>
      </c>
      <c r="G1809" s="2">
        <v>152700.0</v>
      </c>
    </row>
    <row r="1810" ht="14.25" customHeight="1">
      <c r="A1810" s="2">
        <v>1809.0</v>
      </c>
      <c r="B1810" s="2" t="s">
        <v>2576</v>
      </c>
      <c r="C1810" s="2" t="s">
        <v>4310</v>
      </c>
      <c r="D1810" s="2">
        <v>197.0</v>
      </c>
      <c r="E1810" s="2">
        <v>1.0</v>
      </c>
      <c r="F1810" s="2">
        <v>132.0</v>
      </c>
      <c r="G1810" s="2">
        <v>152500.0</v>
      </c>
    </row>
    <row r="1811" ht="14.25" customHeight="1">
      <c r="A1811" s="2">
        <v>1810.0</v>
      </c>
      <c r="B1811" s="2" t="s">
        <v>2479</v>
      </c>
      <c r="C1811" s="2" t="s">
        <v>4311</v>
      </c>
      <c r="D1811" s="2">
        <v>182.0</v>
      </c>
      <c r="E1811" s="2">
        <v>1.0</v>
      </c>
      <c r="F1811" s="2">
        <v>100.0</v>
      </c>
      <c r="G1811" s="2">
        <v>152400.0</v>
      </c>
    </row>
    <row r="1812" ht="14.25" customHeight="1">
      <c r="A1812" s="2">
        <v>1811.0</v>
      </c>
      <c r="B1812" s="2" t="s">
        <v>2594</v>
      </c>
      <c r="C1812" s="2" t="s">
        <v>4312</v>
      </c>
      <c r="D1812" s="2">
        <v>184.0</v>
      </c>
      <c r="E1812" s="2">
        <v>1.0</v>
      </c>
      <c r="F1812" s="2">
        <v>150.0</v>
      </c>
      <c r="G1812" s="2">
        <v>152400.0</v>
      </c>
    </row>
    <row r="1813" ht="14.25" customHeight="1">
      <c r="A1813" s="2">
        <v>1812.0</v>
      </c>
      <c r="B1813" s="2" t="s">
        <v>2541</v>
      </c>
      <c r="C1813" s="2" t="s">
        <v>4313</v>
      </c>
      <c r="D1813" s="2">
        <v>195.0</v>
      </c>
      <c r="E1813" s="2">
        <v>1.0</v>
      </c>
      <c r="F1813" s="2">
        <v>100.0</v>
      </c>
      <c r="G1813" s="2">
        <v>152400.0</v>
      </c>
    </row>
    <row r="1814" ht="14.25" customHeight="1">
      <c r="A1814" s="2">
        <v>1813.0</v>
      </c>
      <c r="B1814" s="2" t="s">
        <v>2576</v>
      </c>
      <c r="C1814" s="2" t="s">
        <v>4314</v>
      </c>
      <c r="D1814" s="2">
        <v>197.0</v>
      </c>
      <c r="E1814" s="2">
        <v>1.0</v>
      </c>
      <c r="F1814" s="2">
        <v>80.0</v>
      </c>
      <c r="G1814" s="2">
        <v>152400.0</v>
      </c>
    </row>
    <row r="1815" ht="14.25" customHeight="1">
      <c r="A1815" s="2">
        <v>1814.0</v>
      </c>
      <c r="B1815" s="2" t="s">
        <v>2512</v>
      </c>
      <c r="C1815" s="2" t="s">
        <v>4315</v>
      </c>
      <c r="D1815" s="2">
        <v>153.0</v>
      </c>
      <c r="E1815" s="2">
        <v>1.0</v>
      </c>
      <c r="F1815" s="2">
        <v>75.0</v>
      </c>
      <c r="G1815" s="2">
        <v>152300.0</v>
      </c>
    </row>
    <row r="1816" ht="14.25" customHeight="1">
      <c r="A1816" s="2">
        <v>1815.0</v>
      </c>
      <c r="B1816" s="2" t="s">
        <v>2518</v>
      </c>
      <c r="C1816" s="2" t="s">
        <v>4316</v>
      </c>
      <c r="D1816" s="2">
        <v>161.0</v>
      </c>
      <c r="E1816" s="2">
        <v>1.0</v>
      </c>
      <c r="F1816" s="2">
        <v>65.0</v>
      </c>
      <c r="G1816" s="2">
        <v>152300.0</v>
      </c>
    </row>
    <row r="1817" ht="14.25" customHeight="1">
      <c r="A1817" s="2">
        <v>1816.0</v>
      </c>
      <c r="B1817" s="2" t="s">
        <v>2479</v>
      </c>
      <c r="C1817" s="2" t="s">
        <v>4317</v>
      </c>
      <c r="D1817" s="2">
        <v>182.0</v>
      </c>
      <c r="E1817" s="2">
        <v>1.0</v>
      </c>
      <c r="F1817" s="2">
        <v>75.0</v>
      </c>
      <c r="G1817" s="2">
        <v>152300.0</v>
      </c>
    </row>
    <row r="1818" ht="14.25" customHeight="1">
      <c r="A1818" s="2">
        <v>1817.0</v>
      </c>
      <c r="B1818" s="2" t="s">
        <v>2501</v>
      </c>
      <c r="C1818" s="2" t="s">
        <v>4318</v>
      </c>
      <c r="D1818" s="2">
        <v>199.0</v>
      </c>
      <c r="E1818" s="2">
        <v>1.0</v>
      </c>
      <c r="F1818" s="2">
        <v>100.0</v>
      </c>
      <c r="G1818" s="2">
        <v>152300.0</v>
      </c>
    </row>
    <row r="1819" ht="14.25" customHeight="1">
      <c r="A1819" s="2">
        <v>1818.0</v>
      </c>
      <c r="B1819" s="2" t="s">
        <v>2518</v>
      </c>
      <c r="C1819" s="2" t="s">
        <v>4319</v>
      </c>
      <c r="D1819" s="2">
        <v>161.0</v>
      </c>
      <c r="E1819" s="2">
        <v>1.0</v>
      </c>
      <c r="F1819" s="2">
        <v>80.0</v>
      </c>
      <c r="G1819" s="2">
        <v>152200.0</v>
      </c>
    </row>
    <row r="1820" ht="14.25" customHeight="1">
      <c r="A1820" s="2">
        <v>1819.0</v>
      </c>
      <c r="B1820" s="2" t="s">
        <v>2594</v>
      </c>
      <c r="C1820" s="2" t="s">
        <v>4320</v>
      </c>
      <c r="D1820" s="2">
        <v>184.0</v>
      </c>
      <c r="E1820" s="2">
        <v>1.0</v>
      </c>
      <c r="F1820" s="2">
        <v>50.0</v>
      </c>
      <c r="G1820" s="2">
        <v>152200.0</v>
      </c>
    </row>
    <row r="1821" ht="14.25" customHeight="1">
      <c r="A1821" s="2">
        <v>1820.0</v>
      </c>
      <c r="B1821" s="2" t="s">
        <v>2576</v>
      </c>
      <c r="C1821" s="2" t="s">
        <v>4321</v>
      </c>
      <c r="D1821" s="2">
        <v>197.0</v>
      </c>
      <c r="E1821" s="2">
        <v>1.0</v>
      </c>
      <c r="F1821" s="2">
        <v>100.0</v>
      </c>
      <c r="G1821" s="2">
        <v>152200.0</v>
      </c>
    </row>
    <row r="1822" ht="14.25" customHeight="1">
      <c r="A1822" s="2">
        <v>1821.0</v>
      </c>
      <c r="B1822" s="2" t="s">
        <v>2524</v>
      </c>
      <c r="C1822" s="2" t="s">
        <v>4322</v>
      </c>
      <c r="D1822" s="2">
        <v>331.0</v>
      </c>
      <c r="E1822" s="2">
        <v>1.0</v>
      </c>
      <c r="F1822" s="2">
        <v>75.0</v>
      </c>
      <c r="G1822" s="2">
        <v>152200.0</v>
      </c>
    </row>
    <row r="1823" ht="14.25" customHeight="1">
      <c r="A1823" s="2">
        <v>1822.0</v>
      </c>
      <c r="B1823" s="2" t="s">
        <v>2524</v>
      </c>
      <c r="C1823" s="2" t="s">
        <v>4323</v>
      </c>
      <c r="D1823" s="2">
        <v>331.0</v>
      </c>
      <c r="E1823" s="2">
        <v>1.0</v>
      </c>
      <c r="F1823" s="2">
        <v>60.0</v>
      </c>
      <c r="G1823" s="2">
        <v>152200.0</v>
      </c>
    </row>
    <row r="1824" ht="14.25" customHeight="1">
      <c r="A1824" s="2">
        <v>1823.0</v>
      </c>
      <c r="B1824" s="2" t="s">
        <v>2945</v>
      </c>
      <c r="C1824" s="2" t="s">
        <v>4324</v>
      </c>
      <c r="D1824" s="2">
        <v>619.0</v>
      </c>
      <c r="E1824" s="2">
        <v>1.0</v>
      </c>
      <c r="F1824" s="2">
        <v>60.0</v>
      </c>
      <c r="G1824" s="2">
        <v>152200.0</v>
      </c>
    </row>
    <row r="1825" ht="14.25" customHeight="1">
      <c r="A1825" s="2">
        <v>1824.0</v>
      </c>
      <c r="B1825" s="2" t="s">
        <v>2945</v>
      </c>
      <c r="C1825" s="2" t="s">
        <v>4325</v>
      </c>
      <c r="D1825" s="2">
        <v>619.0</v>
      </c>
      <c r="E1825" s="2">
        <v>1.0</v>
      </c>
      <c r="F1825" s="2">
        <v>60.0</v>
      </c>
      <c r="G1825" s="2">
        <v>152200.0</v>
      </c>
    </row>
    <row r="1826" ht="14.25" customHeight="1">
      <c r="A1826" s="2">
        <v>1825.0</v>
      </c>
      <c r="B1826" s="2" t="s">
        <v>2945</v>
      </c>
      <c r="C1826" s="2" t="s">
        <v>4326</v>
      </c>
      <c r="D1826" s="2">
        <v>619.0</v>
      </c>
      <c r="E1826" s="2">
        <v>1.0</v>
      </c>
      <c r="F1826" s="2">
        <v>60.0</v>
      </c>
      <c r="G1826" s="2">
        <v>152200.0</v>
      </c>
    </row>
    <row r="1827" ht="14.25" customHeight="1">
      <c r="A1827" s="2">
        <v>1826.0</v>
      </c>
      <c r="B1827" s="2" t="s">
        <v>2479</v>
      </c>
      <c r="C1827" s="2" t="s">
        <v>4327</v>
      </c>
      <c r="D1827" s="2">
        <v>182.0</v>
      </c>
      <c r="E1827" s="2">
        <v>1.0</v>
      </c>
      <c r="F1827" s="2">
        <v>75.0</v>
      </c>
      <c r="G1827" s="2">
        <v>152000.0</v>
      </c>
    </row>
    <row r="1828" ht="14.25" customHeight="1">
      <c r="A1828" s="2">
        <v>1827.0</v>
      </c>
      <c r="B1828" s="2" t="s">
        <v>2503</v>
      </c>
      <c r="C1828" s="2" t="s">
        <v>4328</v>
      </c>
      <c r="D1828" s="2">
        <v>105.0</v>
      </c>
      <c r="E1828" s="2">
        <v>1.0</v>
      </c>
      <c r="F1828" s="2">
        <v>132.0</v>
      </c>
      <c r="G1828" s="2">
        <v>151900.0</v>
      </c>
    </row>
    <row r="1829" ht="14.25" customHeight="1">
      <c r="A1829" s="2">
        <v>1828.0</v>
      </c>
      <c r="B1829" s="2" t="s">
        <v>2604</v>
      </c>
      <c r="C1829" s="2" t="s">
        <v>4329</v>
      </c>
      <c r="D1829" s="2">
        <v>200.0</v>
      </c>
      <c r="E1829" s="2">
        <v>1.0</v>
      </c>
      <c r="F1829" s="2">
        <v>100.0</v>
      </c>
      <c r="G1829" s="2">
        <v>151900.0</v>
      </c>
    </row>
    <row r="1830" ht="14.25" customHeight="1">
      <c r="A1830" s="2">
        <v>1829.0</v>
      </c>
      <c r="B1830" s="2" t="s">
        <v>2488</v>
      </c>
      <c r="C1830" s="2" t="s">
        <v>4330</v>
      </c>
      <c r="D1830" s="2">
        <v>333.0</v>
      </c>
      <c r="E1830" s="2">
        <v>1.0</v>
      </c>
      <c r="F1830" s="2">
        <v>45.0</v>
      </c>
      <c r="G1830" s="2">
        <v>151900.0</v>
      </c>
    </row>
    <row r="1831" ht="14.25" customHeight="1">
      <c r="A1831" s="2">
        <v>1830.0</v>
      </c>
      <c r="B1831" s="2" t="s">
        <v>2594</v>
      </c>
      <c r="C1831" s="2" t="s">
        <v>4331</v>
      </c>
      <c r="D1831" s="2">
        <v>184.0</v>
      </c>
      <c r="E1831" s="2">
        <v>1.0</v>
      </c>
      <c r="F1831" s="2">
        <v>150.0</v>
      </c>
      <c r="G1831" s="2">
        <v>151800.0</v>
      </c>
    </row>
    <row r="1832" ht="14.25" customHeight="1">
      <c r="A1832" s="2">
        <v>1831.0</v>
      </c>
      <c r="B1832" s="2" t="s">
        <v>2541</v>
      </c>
      <c r="C1832" s="2" t="s">
        <v>4332</v>
      </c>
      <c r="D1832" s="2">
        <v>195.0</v>
      </c>
      <c r="E1832" s="2">
        <v>1.0</v>
      </c>
      <c r="F1832" s="2">
        <v>75.0</v>
      </c>
      <c r="G1832" s="2">
        <v>151800.0</v>
      </c>
    </row>
    <row r="1833" ht="14.25" customHeight="1">
      <c r="A1833" s="2">
        <v>1832.0</v>
      </c>
      <c r="B1833" s="2" t="s">
        <v>2604</v>
      </c>
      <c r="C1833" s="2" t="s">
        <v>4333</v>
      </c>
      <c r="D1833" s="2">
        <v>200.0</v>
      </c>
      <c r="E1833" s="2">
        <v>1.0</v>
      </c>
      <c r="F1833" s="2">
        <v>80.0</v>
      </c>
      <c r="G1833" s="2">
        <v>151800.0</v>
      </c>
    </row>
    <row r="1834" ht="14.25" customHeight="1">
      <c r="A1834" s="2">
        <v>1833.0</v>
      </c>
      <c r="B1834" s="2" t="s">
        <v>2621</v>
      </c>
      <c r="C1834" s="2" t="s">
        <v>4334</v>
      </c>
      <c r="D1834" s="2">
        <v>403.0</v>
      </c>
      <c r="E1834" s="2">
        <v>1.0</v>
      </c>
      <c r="F1834" s="2">
        <v>88.0</v>
      </c>
      <c r="G1834" s="2">
        <v>151800.0</v>
      </c>
    </row>
    <row r="1835" ht="14.25" customHeight="1">
      <c r="A1835" s="2">
        <v>1834.0</v>
      </c>
      <c r="B1835" s="2" t="s">
        <v>2744</v>
      </c>
      <c r="C1835" s="2" t="s">
        <v>4335</v>
      </c>
      <c r="D1835" s="2">
        <v>169.0</v>
      </c>
      <c r="E1835" s="2">
        <v>1.0</v>
      </c>
      <c r="F1835" s="2">
        <v>100.0</v>
      </c>
      <c r="G1835" s="2">
        <v>151700.0</v>
      </c>
    </row>
    <row r="1836" ht="14.25" customHeight="1">
      <c r="A1836" s="2">
        <v>1835.0</v>
      </c>
      <c r="B1836" s="2" t="s">
        <v>2576</v>
      </c>
      <c r="C1836" s="2" t="s">
        <v>4336</v>
      </c>
      <c r="D1836" s="2">
        <v>197.0</v>
      </c>
      <c r="E1836" s="2">
        <v>1.0</v>
      </c>
      <c r="F1836" s="2">
        <v>75.0</v>
      </c>
      <c r="G1836" s="2">
        <v>151700.0</v>
      </c>
    </row>
    <row r="1837" ht="14.25" customHeight="1">
      <c r="A1837" s="2">
        <v>1836.0</v>
      </c>
      <c r="B1837" s="2" t="s">
        <v>2558</v>
      </c>
      <c r="C1837" s="2" t="s">
        <v>4337</v>
      </c>
      <c r="D1837" s="2">
        <v>357.0</v>
      </c>
      <c r="E1837" s="2">
        <v>1.0</v>
      </c>
      <c r="F1837" s="2">
        <v>86.0</v>
      </c>
      <c r="G1837" s="2">
        <v>151700.0</v>
      </c>
    </row>
    <row r="1838" ht="14.25" customHeight="1">
      <c r="A1838" s="2">
        <v>1837.0</v>
      </c>
      <c r="B1838" s="2" t="s">
        <v>2512</v>
      </c>
      <c r="C1838" s="2" t="s">
        <v>4338</v>
      </c>
      <c r="D1838" s="2">
        <v>153.0</v>
      </c>
      <c r="E1838" s="2">
        <v>1.0</v>
      </c>
      <c r="F1838" s="2">
        <v>75.0</v>
      </c>
      <c r="G1838" s="2">
        <v>151600.0</v>
      </c>
    </row>
    <row r="1839" ht="14.25" customHeight="1">
      <c r="A1839" s="2">
        <v>1838.0</v>
      </c>
      <c r="B1839" s="2" t="s">
        <v>2507</v>
      </c>
      <c r="C1839" s="2" t="s">
        <v>4339</v>
      </c>
      <c r="D1839" s="2">
        <v>205.0</v>
      </c>
      <c r="E1839" s="2">
        <v>1.0</v>
      </c>
      <c r="F1839" s="2">
        <v>110.0</v>
      </c>
      <c r="G1839" s="2">
        <v>151600.0</v>
      </c>
    </row>
    <row r="1840" ht="14.25" customHeight="1">
      <c r="A1840" s="2">
        <v>1839.0</v>
      </c>
      <c r="B1840" s="2" t="s">
        <v>2505</v>
      </c>
      <c r="C1840" s="2" t="s">
        <v>4340</v>
      </c>
      <c r="D1840" s="2">
        <v>429.0</v>
      </c>
      <c r="E1840" s="2">
        <v>1.0</v>
      </c>
      <c r="F1840" s="2">
        <v>50.0</v>
      </c>
      <c r="G1840" s="2">
        <v>151600.0</v>
      </c>
    </row>
    <row r="1841" ht="14.25" customHeight="1">
      <c r="A1841" s="2">
        <v>1840.0</v>
      </c>
      <c r="B1841" s="2" t="s">
        <v>2518</v>
      </c>
      <c r="C1841" s="2" t="s">
        <v>4341</v>
      </c>
      <c r="D1841" s="2">
        <v>161.0</v>
      </c>
      <c r="E1841" s="2">
        <v>1.0</v>
      </c>
      <c r="F1841" s="2">
        <v>100.0</v>
      </c>
      <c r="G1841" s="2">
        <v>151500.0</v>
      </c>
    </row>
    <row r="1842" ht="14.25" customHeight="1">
      <c r="A1842" s="2">
        <v>1841.0</v>
      </c>
      <c r="B1842" s="2" t="s">
        <v>2505</v>
      </c>
      <c r="C1842" s="2" t="s">
        <v>4342</v>
      </c>
      <c r="D1842" s="2">
        <v>429.0</v>
      </c>
      <c r="E1842" s="2">
        <v>1.0</v>
      </c>
      <c r="F1842" s="2">
        <v>160.0</v>
      </c>
      <c r="G1842" s="2">
        <v>151500.0</v>
      </c>
    </row>
    <row r="1843" ht="14.25" customHeight="1">
      <c r="A1843" s="2">
        <v>1842.0</v>
      </c>
      <c r="B1843" s="2" t="s">
        <v>2576</v>
      </c>
      <c r="C1843" s="2" t="s">
        <v>4343</v>
      </c>
      <c r="D1843" s="2">
        <v>197.0</v>
      </c>
      <c r="E1843" s="2">
        <v>1.0</v>
      </c>
      <c r="F1843" s="2">
        <v>90.0</v>
      </c>
      <c r="G1843" s="2">
        <v>151300.0</v>
      </c>
    </row>
    <row r="1844" ht="14.25" customHeight="1">
      <c r="A1844" s="2">
        <v>1843.0</v>
      </c>
      <c r="B1844" s="2" t="s">
        <v>2534</v>
      </c>
      <c r="C1844" s="2" t="s">
        <v>4344</v>
      </c>
      <c r="D1844" s="2">
        <v>188.0</v>
      </c>
      <c r="E1844" s="2">
        <v>1.0</v>
      </c>
      <c r="F1844" s="2">
        <v>75.0</v>
      </c>
      <c r="G1844" s="2">
        <v>151200.0</v>
      </c>
    </row>
    <row r="1845" ht="14.25" customHeight="1">
      <c r="A1845" s="2">
        <v>1844.0</v>
      </c>
      <c r="B1845" s="2" t="s">
        <v>2651</v>
      </c>
      <c r="C1845" s="2" t="s">
        <v>4345</v>
      </c>
      <c r="D1845" s="2">
        <v>347.0</v>
      </c>
      <c r="E1845" s="2">
        <v>1.0</v>
      </c>
      <c r="F1845" s="2">
        <v>175.0</v>
      </c>
      <c r="G1845" s="2">
        <v>151200.0</v>
      </c>
    </row>
    <row r="1846" ht="14.25" customHeight="1">
      <c r="A1846" s="2">
        <v>1845.0</v>
      </c>
      <c r="B1846" s="2" t="s">
        <v>2479</v>
      </c>
      <c r="C1846" s="2" t="s">
        <v>4346</v>
      </c>
      <c r="D1846" s="2">
        <v>182.0</v>
      </c>
      <c r="E1846" s="2">
        <v>1.0</v>
      </c>
      <c r="F1846" s="2">
        <v>100.0</v>
      </c>
      <c r="G1846" s="2">
        <v>151100.0</v>
      </c>
    </row>
    <row r="1847" ht="14.25" customHeight="1">
      <c r="A1847" s="2">
        <v>1846.0</v>
      </c>
      <c r="B1847" s="2" t="s">
        <v>2488</v>
      </c>
      <c r="C1847" s="2" t="s">
        <v>4347</v>
      </c>
      <c r="D1847" s="2">
        <v>333.0</v>
      </c>
      <c r="E1847" s="2">
        <v>1.0</v>
      </c>
      <c r="F1847" s="2">
        <v>100.0</v>
      </c>
      <c r="G1847" s="2">
        <v>151100.0</v>
      </c>
    </row>
    <row r="1848" ht="14.25" customHeight="1">
      <c r="A1848" s="2">
        <v>1847.0</v>
      </c>
      <c r="B1848" s="2" t="s">
        <v>2582</v>
      </c>
      <c r="C1848" s="2" t="s">
        <v>4348</v>
      </c>
      <c r="D1848" s="2">
        <v>183.0</v>
      </c>
      <c r="E1848" s="2">
        <v>1.0</v>
      </c>
      <c r="F1848" s="2">
        <v>100.1</v>
      </c>
      <c r="G1848" s="2">
        <v>151000.0</v>
      </c>
    </row>
    <row r="1849" ht="14.25" customHeight="1">
      <c r="A1849" s="2">
        <v>1848.0</v>
      </c>
      <c r="B1849" s="2" t="s">
        <v>2636</v>
      </c>
      <c r="C1849" s="2" t="s">
        <v>4349</v>
      </c>
      <c r="D1849" s="2">
        <v>145.0</v>
      </c>
      <c r="E1849" s="2">
        <v>1.0</v>
      </c>
      <c r="F1849" s="2">
        <v>110.0</v>
      </c>
      <c r="G1849" s="2">
        <v>150900.0</v>
      </c>
    </row>
    <row r="1850" ht="14.25" customHeight="1">
      <c r="A1850" s="2">
        <v>1849.0</v>
      </c>
      <c r="B1850" s="2" t="s">
        <v>2477</v>
      </c>
      <c r="C1850" s="2" t="s">
        <v>4350</v>
      </c>
      <c r="D1850" s="2">
        <v>152.0</v>
      </c>
      <c r="E1850" s="2">
        <v>1.0</v>
      </c>
      <c r="F1850" s="2">
        <v>60.0</v>
      </c>
      <c r="G1850" s="2">
        <v>150900.0</v>
      </c>
    </row>
    <row r="1851" ht="14.25" customHeight="1">
      <c r="A1851" s="2">
        <v>1850.0</v>
      </c>
      <c r="B1851" s="2" t="s">
        <v>2744</v>
      </c>
      <c r="C1851" s="2" t="s">
        <v>4351</v>
      </c>
      <c r="D1851" s="2">
        <v>169.0</v>
      </c>
      <c r="E1851" s="2">
        <v>1.0</v>
      </c>
      <c r="F1851" s="2">
        <v>110.0</v>
      </c>
      <c r="G1851" s="2">
        <v>150800.0</v>
      </c>
    </row>
    <row r="1852" ht="14.25" customHeight="1">
      <c r="A1852" s="2">
        <v>1851.0</v>
      </c>
      <c r="B1852" s="2" t="s">
        <v>2534</v>
      </c>
      <c r="C1852" s="2" t="s">
        <v>4352</v>
      </c>
      <c r="D1852" s="2">
        <v>188.0</v>
      </c>
      <c r="E1852" s="2">
        <v>1.0</v>
      </c>
      <c r="F1852" s="2">
        <v>80.0</v>
      </c>
      <c r="G1852" s="2">
        <v>150800.0</v>
      </c>
    </row>
    <row r="1853" ht="14.25" customHeight="1">
      <c r="A1853" s="2">
        <v>1852.0</v>
      </c>
      <c r="B1853" s="2" t="s">
        <v>2488</v>
      </c>
      <c r="C1853" s="2" t="s">
        <v>4353</v>
      </c>
      <c r="D1853" s="2">
        <v>333.0</v>
      </c>
      <c r="E1853" s="2">
        <v>1.0</v>
      </c>
      <c r="F1853" s="2">
        <v>80.0</v>
      </c>
      <c r="G1853" s="2">
        <v>150800.0</v>
      </c>
    </row>
    <row r="1854" ht="14.25" customHeight="1">
      <c r="A1854" s="2">
        <v>1853.0</v>
      </c>
      <c r="B1854" s="2" t="s">
        <v>2621</v>
      </c>
      <c r="C1854" s="2" t="s">
        <v>4354</v>
      </c>
      <c r="D1854" s="2">
        <v>403.0</v>
      </c>
      <c r="E1854" s="2">
        <v>1.0</v>
      </c>
      <c r="F1854" s="2">
        <v>99.0</v>
      </c>
      <c r="G1854" s="2">
        <v>150700.0</v>
      </c>
    </row>
    <row r="1855" ht="14.25" customHeight="1">
      <c r="A1855" s="2">
        <v>1854.0</v>
      </c>
      <c r="B1855" s="2" t="s">
        <v>2505</v>
      </c>
      <c r="C1855" s="2" t="s">
        <v>4355</v>
      </c>
      <c r="D1855" s="2">
        <v>429.0</v>
      </c>
      <c r="E1855" s="2">
        <v>1.0</v>
      </c>
      <c r="F1855" s="2">
        <v>100.0</v>
      </c>
      <c r="G1855" s="2">
        <v>150700.0</v>
      </c>
    </row>
    <row r="1856" ht="14.25" customHeight="1">
      <c r="A1856" s="2">
        <v>1855.0</v>
      </c>
      <c r="B1856" s="2" t="s">
        <v>2541</v>
      </c>
      <c r="C1856" s="2" t="s">
        <v>4356</v>
      </c>
      <c r="D1856" s="2">
        <v>195.0</v>
      </c>
      <c r="E1856" s="2">
        <v>1.0</v>
      </c>
      <c r="F1856" s="2">
        <v>100.0</v>
      </c>
      <c r="G1856" s="2">
        <v>150600.0</v>
      </c>
    </row>
    <row r="1857" ht="14.25" customHeight="1">
      <c r="A1857" s="2">
        <v>1856.0</v>
      </c>
      <c r="B1857" s="2" t="s">
        <v>2475</v>
      </c>
      <c r="C1857" s="2" t="s">
        <v>4357</v>
      </c>
      <c r="D1857" s="2">
        <v>143.0</v>
      </c>
      <c r="E1857" s="2">
        <v>1.0</v>
      </c>
      <c r="F1857" s="2">
        <v>70.0</v>
      </c>
      <c r="G1857" s="2">
        <v>150500.0</v>
      </c>
    </row>
    <row r="1858" ht="14.25" customHeight="1">
      <c r="A1858" s="2">
        <v>1857.0</v>
      </c>
      <c r="B1858" s="2" t="s">
        <v>2576</v>
      </c>
      <c r="C1858" s="2" t="s">
        <v>4358</v>
      </c>
      <c r="D1858" s="2">
        <v>197.0</v>
      </c>
      <c r="E1858" s="2">
        <v>1.0</v>
      </c>
      <c r="F1858" s="2">
        <v>75.0</v>
      </c>
      <c r="G1858" s="2">
        <v>150500.0</v>
      </c>
    </row>
    <row r="1859" ht="14.25" customHeight="1">
      <c r="A1859" s="2">
        <v>1858.0</v>
      </c>
      <c r="B1859" s="2" t="s">
        <v>2524</v>
      </c>
      <c r="C1859" s="2" t="s">
        <v>4359</v>
      </c>
      <c r="D1859" s="2">
        <v>331.0</v>
      </c>
      <c r="E1859" s="2">
        <v>1.0</v>
      </c>
      <c r="F1859" s="2">
        <v>100.0</v>
      </c>
      <c r="G1859" s="2">
        <v>150500.0</v>
      </c>
    </row>
    <row r="1860" ht="14.25" customHeight="1">
      <c r="A1860" s="2">
        <v>1859.0</v>
      </c>
      <c r="B1860" s="2" t="s">
        <v>2503</v>
      </c>
      <c r="C1860" s="2" t="s">
        <v>4360</v>
      </c>
      <c r="D1860" s="2">
        <v>105.0</v>
      </c>
      <c r="E1860" s="2">
        <v>1.0</v>
      </c>
      <c r="F1860" s="2">
        <v>165.0</v>
      </c>
      <c r="G1860" s="2">
        <v>150400.0</v>
      </c>
    </row>
    <row r="1861" ht="14.25" customHeight="1">
      <c r="A1861" s="2">
        <v>1860.0</v>
      </c>
      <c r="B1861" s="2" t="s">
        <v>2744</v>
      </c>
      <c r="C1861" s="2" t="s">
        <v>4361</v>
      </c>
      <c r="D1861" s="2">
        <v>169.0</v>
      </c>
      <c r="E1861" s="2">
        <v>1.0</v>
      </c>
      <c r="F1861" s="2">
        <v>100.0</v>
      </c>
      <c r="G1861" s="2">
        <v>150400.0</v>
      </c>
    </row>
    <row r="1862" ht="14.25" customHeight="1">
      <c r="A1862" s="2">
        <v>1861.0</v>
      </c>
      <c r="B1862" s="2" t="s">
        <v>2503</v>
      </c>
      <c r="C1862" s="2" t="s">
        <v>4362</v>
      </c>
      <c r="D1862" s="2">
        <v>105.0</v>
      </c>
      <c r="E1862" s="2">
        <v>1.0</v>
      </c>
      <c r="F1862" s="2">
        <v>65.0</v>
      </c>
      <c r="G1862" s="2">
        <v>150300.0</v>
      </c>
    </row>
    <row r="1863" ht="14.25" customHeight="1">
      <c r="A1863" s="2">
        <v>1862.0</v>
      </c>
      <c r="B1863" s="2" t="s">
        <v>2582</v>
      </c>
      <c r="C1863" s="2" t="s">
        <v>4363</v>
      </c>
      <c r="D1863" s="2">
        <v>183.0</v>
      </c>
      <c r="E1863" s="2">
        <v>1.0</v>
      </c>
      <c r="F1863" s="2">
        <v>107.0</v>
      </c>
      <c r="G1863" s="2">
        <v>150300.0</v>
      </c>
    </row>
    <row r="1864" ht="14.25" customHeight="1">
      <c r="A1864" s="2">
        <v>1863.0</v>
      </c>
      <c r="B1864" s="2" t="s">
        <v>2534</v>
      </c>
      <c r="C1864" s="2" t="s">
        <v>4364</v>
      </c>
      <c r="D1864" s="2">
        <v>188.0</v>
      </c>
      <c r="E1864" s="2">
        <v>1.0</v>
      </c>
      <c r="F1864" s="2">
        <v>75.0</v>
      </c>
      <c r="G1864" s="2">
        <v>150300.0</v>
      </c>
    </row>
    <row r="1865" ht="14.25" customHeight="1">
      <c r="A1865" s="2">
        <v>1864.0</v>
      </c>
      <c r="B1865" s="2" t="s">
        <v>2488</v>
      </c>
      <c r="C1865" s="2" t="s">
        <v>4365</v>
      </c>
      <c r="D1865" s="2">
        <v>333.0</v>
      </c>
      <c r="E1865" s="2">
        <v>1.0</v>
      </c>
      <c r="F1865" s="2">
        <v>75.0</v>
      </c>
      <c r="G1865" s="2">
        <v>150300.0</v>
      </c>
    </row>
    <row r="1866" ht="14.25" customHeight="1">
      <c r="A1866" s="2">
        <v>1865.0</v>
      </c>
      <c r="B1866" s="2" t="s">
        <v>2553</v>
      </c>
      <c r="C1866" s="2" t="s">
        <v>4366</v>
      </c>
      <c r="D1866" s="2">
        <v>187.0</v>
      </c>
      <c r="E1866" s="2">
        <v>1.0</v>
      </c>
      <c r="F1866" s="2">
        <v>100.0</v>
      </c>
      <c r="G1866" s="2">
        <v>150200.0</v>
      </c>
    </row>
    <row r="1867" ht="14.25" customHeight="1">
      <c r="A1867" s="2">
        <v>1866.0</v>
      </c>
      <c r="B1867" s="2" t="s">
        <v>2604</v>
      </c>
      <c r="C1867" s="2" t="s">
        <v>4367</v>
      </c>
      <c r="D1867" s="2">
        <v>200.0</v>
      </c>
      <c r="E1867" s="2">
        <v>1.0</v>
      </c>
      <c r="F1867" s="2">
        <v>80.0</v>
      </c>
      <c r="G1867" s="2">
        <v>150200.0</v>
      </c>
    </row>
    <row r="1868" ht="14.25" customHeight="1">
      <c r="A1868" s="2">
        <v>1867.0</v>
      </c>
      <c r="B1868" s="2" t="s">
        <v>2571</v>
      </c>
      <c r="C1868" s="2" t="s">
        <v>4368</v>
      </c>
      <c r="D1868" s="2">
        <v>185.0</v>
      </c>
      <c r="E1868" s="2">
        <v>1.0</v>
      </c>
      <c r="F1868" s="2">
        <v>100.0</v>
      </c>
      <c r="G1868" s="2">
        <v>150100.0</v>
      </c>
    </row>
    <row r="1869" ht="14.25" customHeight="1">
      <c r="A1869" s="2">
        <v>1868.0</v>
      </c>
      <c r="B1869" s="2" t="s">
        <v>2604</v>
      </c>
      <c r="C1869" s="2" t="s">
        <v>4369</v>
      </c>
      <c r="D1869" s="2">
        <v>200.0</v>
      </c>
      <c r="E1869" s="2">
        <v>1.0</v>
      </c>
      <c r="F1869" s="2">
        <v>100.0</v>
      </c>
      <c r="G1869" s="2">
        <v>150100.0</v>
      </c>
    </row>
    <row r="1870" ht="14.25" customHeight="1">
      <c r="A1870" s="2">
        <v>1869.0</v>
      </c>
      <c r="B1870" s="2" t="s">
        <v>2488</v>
      </c>
      <c r="C1870" s="2" t="s">
        <v>4370</v>
      </c>
      <c r="D1870" s="2">
        <v>333.0</v>
      </c>
      <c r="E1870" s="2">
        <v>1.0</v>
      </c>
      <c r="F1870" s="2">
        <v>75.0</v>
      </c>
      <c r="G1870" s="2">
        <v>150100.0</v>
      </c>
    </row>
    <row r="1871" ht="14.25" customHeight="1">
      <c r="A1871" s="2">
        <v>1870.0</v>
      </c>
      <c r="B1871" s="2" t="s">
        <v>2651</v>
      </c>
      <c r="C1871" s="2" t="s">
        <v>4371</v>
      </c>
      <c r="D1871" s="2">
        <v>347.0</v>
      </c>
      <c r="E1871" s="2">
        <v>1.0</v>
      </c>
      <c r="F1871" s="2">
        <v>54.0</v>
      </c>
      <c r="G1871" s="2">
        <v>150100.0</v>
      </c>
    </row>
    <row r="1872" ht="14.25" customHeight="1">
      <c r="A1872" s="2">
        <v>1871.0</v>
      </c>
      <c r="B1872" s="2" t="s">
        <v>2479</v>
      </c>
      <c r="C1872" s="2" t="s">
        <v>4372</v>
      </c>
      <c r="D1872" s="2">
        <v>182.0</v>
      </c>
      <c r="E1872" s="2">
        <v>1.0</v>
      </c>
      <c r="F1872" s="2">
        <v>50.0</v>
      </c>
      <c r="G1872" s="2">
        <v>150000.0</v>
      </c>
    </row>
    <row r="1873" ht="14.25" customHeight="1">
      <c r="A1873" s="2">
        <v>1872.0</v>
      </c>
      <c r="B1873" s="2" t="s">
        <v>2582</v>
      </c>
      <c r="C1873" s="2" t="s">
        <v>4373</v>
      </c>
      <c r="D1873" s="2">
        <v>183.0</v>
      </c>
      <c r="E1873" s="2">
        <v>1.0</v>
      </c>
      <c r="F1873" s="2">
        <v>65.0</v>
      </c>
      <c r="G1873" s="2">
        <v>150000.0</v>
      </c>
    </row>
    <row r="1874" ht="14.25" customHeight="1">
      <c r="A1874" s="2">
        <v>1873.0</v>
      </c>
      <c r="B1874" s="2" t="s">
        <v>2576</v>
      </c>
      <c r="C1874" s="2" t="s">
        <v>4374</v>
      </c>
      <c r="D1874" s="2">
        <v>197.0</v>
      </c>
      <c r="E1874" s="2">
        <v>1.0</v>
      </c>
      <c r="F1874" s="2">
        <v>100.0</v>
      </c>
      <c r="G1874" s="2">
        <v>150000.0</v>
      </c>
    </row>
    <row r="1875" ht="14.25" customHeight="1">
      <c r="A1875" s="2">
        <v>1874.0</v>
      </c>
      <c r="B1875" s="2" t="s">
        <v>2561</v>
      </c>
      <c r="C1875" s="2" t="s">
        <v>4375</v>
      </c>
      <c r="D1875" s="2">
        <v>162.0</v>
      </c>
      <c r="E1875" s="2">
        <v>1.0</v>
      </c>
      <c r="F1875" s="2">
        <v>100.0</v>
      </c>
      <c r="G1875" s="2">
        <v>149900.0</v>
      </c>
    </row>
    <row r="1876" ht="14.25" customHeight="1">
      <c r="A1876" s="2">
        <v>1875.0</v>
      </c>
      <c r="B1876" s="2" t="s">
        <v>2479</v>
      </c>
      <c r="C1876" s="2" t="s">
        <v>4376</v>
      </c>
      <c r="D1876" s="2">
        <v>182.0</v>
      </c>
      <c r="E1876" s="2">
        <v>1.0</v>
      </c>
      <c r="F1876" s="2">
        <v>100.0</v>
      </c>
      <c r="G1876" s="2">
        <v>149900.0</v>
      </c>
    </row>
    <row r="1877" ht="14.25" customHeight="1">
      <c r="A1877" s="2">
        <v>1876.0</v>
      </c>
      <c r="B1877" s="2" t="s">
        <v>2594</v>
      </c>
      <c r="C1877" s="2" t="s">
        <v>4377</v>
      </c>
      <c r="D1877" s="2">
        <v>184.0</v>
      </c>
      <c r="E1877" s="2">
        <v>1.0</v>
      </c>
      <c r="F1877" s="2">
        <v>150.0</v>
      </c>
      <c r="G1877" s="2">
        <v>149900.0</v>
      </c>
    </row>
    <row r="1878" ht="14.25" customHeight="1">
      <c r="A1878" s="2">
        <v>1877.0</v>
      </c>
      <c r="B1878" s="2" t="s">
        <v>2553</v>
      </c>
      <c r="C1878" s="2" t="s">
        <v>4378</v>
      </c>
      <c r="D1878" s="2">
        <v>187.0</v>
      </c>
      <c r="E1878" s="2">
        <v>1.0</v>
      </c>
      <c r="F1878" s="2">
        <v>90.0</v>
      </c>
      <c r="G1878" s="2">
        <v>149900.0</v>
      </c>
    </row>
    <row r="1879" ht="14.25" customHeight="1">
      <c r="A1879" s="2">
        <v>1878.0</v>
      </c>
      <c r="B1879" s="2" t="s">
        <v>2503</v>
      </c>
      <c r="C1879" s="2" t="s">
        <v>4379</v>
      </c>
      <c r="D1879" s="2">
        <v>105.0</v>
      </c>
      <c r="E1879" s="2">
        <v>1.0</v>
      </c>
      <c r="F1879" s="2">
        <v>66.0</v>
      </c>
      <c r="G1879" s="2">
        <v>149800.0</v>
      </c>
    </row>
    <row r="1880" ht="14.25" customHeight="1">
      <c r="A1880" s="2">
        <v>1879.0</v>
      </c>
      <c r="B1880" s="2" t="s">
        <v>2501</v>
      </c>
      <c r="C1880" s="2" t="s">
        <v>4380</v>
      </c>
      <c r="D1880" s="2">
        <v>199.0</v>
      </c>
      <c r="E1880" s="2">
        <v>1.0</v>
      </c>
      <c r="F1880" s="2">
        <v>50.0</v>
      </c>
      <c r="G1880" s="2">
        <v>149800.0</v>
      </c>
    </row>
    <row r="1881" ht="14.25" customHeight="1">
      <c r="A1881" s="2">
        <v>1880.0</v>
      </c>
      <c r="B1881" s="2" t="s">
        <v>2512</v>
      </c>
      <c r="C1881" s="2" t="s">
        <v>4381</v>
      </c>
      <c r="D1881" s="2">
        <v>153.0</v>
      </c>
      <c r="E1881" s="2">
        <v>1.0</v>
      </c>
      <c r="F1881" s="2">
        <v>100.0</v>
      </c>
      <c r="G1881" s="2">
        <v>149700.0</v>
      </c>
    </row>
    <row r="1882" ht="14.25" customHeight="1">
      <c r="A1882" s="2">
        <v>1881.0</v>
      </c>
      <c r="B1882" s="2" t="s">
        <v>2576</v>
      </c>
      <c r="C1882" s="2" t="s">
        <v>4382</v>
      </c>
      <c r="D1882" s="2">
        <v>197.0</v>
      </c>
      <c r="E1882" s="2">
        <v>1.0</v>
      </c>
      <c r="F1882" s="2">
        <v>100.0</v>
      </c>
      <c r="G1882" s="2">
        <v>149700.0</v>
      </c>
    </row>
    <row r="1883" ht="14.25" customHeight="1">
      <c r="A1883" s="2">
        <v>1882.0</v>
      </c>
      <c r="B1883" s="2" t="s">
        <v>2505</v>
      </c>
      <c r="C1883" s="2" t="s">
        <v>4383</v>
      </c>
      <c r="D1883" s="2">
        <v>429.0</v>
      </c>
      <c r="E1883" s="2">
        <v>1.0</v>
      </c>
      <c r="F1883" s="2">
        <v>75.0</v>
      </c>
      <c r="G1883" s="2">
        <v>149700.0</v>
      </c>
    </row>
    <row r="1884" ht="14.25" customHeight="1">
      <c r="A1884" s="2">
        <v>1883.0</v>
      </c>
      <c r="B1884" s="2" t="s">
        <v>2497</v>
      </c>
      <c r="C1884" s="2" t="s">
        <v>4384</v>
      </c>
      <c r="D1884" s="2">
        <v>151.0</v>
      </c>
      <c r="E1884" s="2">
        <v>1.0</v>
      </c>
      <c r="F1884" s="2">
        <v>70.0</v>
      </c>
      <c r="G1884" s="2">
        <v>149600.0</v>
      </c>
    </row>
    <row r="1885" ht="14.25" customHeight="1">
      <c r="A1885" s="2">
        <v>1884.0</v>
      </c>
      <c r="B1885" s="2" t="s">
        <v>2558</v>
      </c>
      <c r="C1885" s="2" t="s">
        <v>4385</v>
      </c>
      <c r="D1885" s="2">
        <v>357.0</v>
      </c>
      <c r="E1885" s="2">
        <v>1.0</v>
      </c>
      <c r="F1885" s="2">
        <v>66.0</v>
      </c>
      <c r="G1885" s="2">
        <v>149600.0</v>
      </c>
    </row>
    <row r="1886" ht="14.25" customHeight="1">
      <c r="A1886" s="2">
        <v>1885.0</v>
      </c>
      <c r="B1886" s="2" t="s">
        <v>2558</v>
      </c>
      <c r="C1886" s="2" t="s">
        <v>4386</v>
      </c>
      <c r="D1886" s="2">
        <v>357.0</v>
      </c>
      <c r="E1886" s="2">
        <v>1.0</v>
      </c>
      <c r="F1886" s="2">
        <v>65.0</v>
      </c>
      <c r="G1886" s="2">
        <v>149600.0</v>
      </c>
    </row>
    <row r="1887" ht="14.25" customHeight="1">
      <c r="A1887" s="2">
        <v>1886.0</v>
      </c>
      <c r="B1887" s="2" t="s">
        <v>2686</v>
      </c>
      <c r="C1887" s="2" t="s">
        <v>4387</v>
      </c>
      <c r="D1887" s="2">
        <v>127.0</v>
      </c>
      <c r="E1887" s="2">
        <v>1.0</v>
      </c>
      <c r="F1887" s="2">
        <v>66.0</v>
      </c>
      <c r="G1887" s="2">
        <v>149500.0</v>
      </c>
    </row>
    <row r="1888" ht="14.25" customHeight="1">
      <c r="A1888" s="2">
        <v>1887.0</v>
      </c>
      <c r="B1888" s="2" t="s">
        <v>2524</v>
      </c>
      <c r="C1888" s="2" t="s">
        <v>4388</v>
      </c>
      <c r="D1888" s="2">
        <v>331.0</v>
      </c>
      <c r="E1888" s="2">
        <v>1.0</v>
      </c>
      <c r="F1888" s="2">
        <v>75.0</v>
      </c>
      <c r="G1888" s="2">
        <v>149500.0</v>
      </c>
    </row>
    <row r="1889" ht="14.25" customHeight="1">
      <c r="A1889" s="2">
        <v>1888.0</v>
      </c>
      <c r="B1889" s="2" t="s">
        <v>2582</v>
      </c>
      <c r="C1889" s="2" t="s">
        <v>4389</v>
      </c>
      <c r="D1889" s="2">
        <v>183.0</v>
      </c>
      <c r="E1889" s="2">
        <v>1.0</v>
      </c>
      <c r="F1889" s="2">
        <v>50.0</v>
      </c>
      <c r="G1889" s="2">
        <v>149400.0</v>
      </c>
    </row>
    <row r="1890" ht="14.25" customHeight="1">
      <c r="A1890" s="2">
        <v>1889.0</v>
      </c>
      <c r="B1890" s="2" t="s">
        <v>2636</v>
      </c>
      <c r="C1890" s="2" t="s">
        <v>4390</v>
      </c>
      <c r="D1890" s="2">
        <v>145.0</v>
      </c>
      <c r="E1890" s="2">
        <v>1.0</v>
      </c>
      <c r="F1890" s="2">
        <v>75.0</v>
      </c>
      <c r="G1890" s="2">
        <v>149300.0</v>
      </c>
    </row>
    <row r="1891" ht="14.25" customHeight="1">
      <c r="A1891" s="2">
        <v>1890.0</v>
      </c>
      <c r="B1891" s="2" t="s">
        <v>2477</v>
      </c>
      <c r="C1891" s="2" t="s">
        <v>4391</v>
      </c>
      <c r="D1891" s="2">
        <v>152.0</v>
      </c>
      <c r="E1891" s="2">
        <v>1.0</v>
      </c>
      <c r="F1891" s="2">
        <v>100.0</v>
      </c>
      <c r="G1891" s="2">
        <v>149300.0</v>
      </c>
    </row>
    <row r="1892" ht="14.25" customHeight="1">
      <c r="A1892" s="2">
        <v>1891.0</v>
      </c>
      <c r="B1892" s="2" t="s">
        <v>2561</v>
      </c>
      <c r="C1892" s="2" t="s">
        <v>4392</v>
      </c>
      <c r="D1892" s="2">
        <v>162.0</v>
      </c>
      <c r="E1892" s="2">
        <v>1.0</v>
      </c>
      <c r="F1892" s="2">
        <v>100.0</v>
      </c>
      <c r="G1892" s="2">
        <v>149300.0</v>
      </c>
    </row>
    <row r="1893" ht="14.25" customHeight="1">
      <c r="A1893" s="2">
        <v>1892.0</v>
      </c>
      <c r="B1893" s="2" t="s">
        <v>2518</v>
      </c>
      <c r="C1893" s="2" t="s">
        <v>4393</v>
      </c>
      <c r="D1893" s="2">
        <v>161.0</v>
      </c>
      <c r="E1893" s="2">
        <v>1.0</v>
      </c>
      <c r="F1893" s="2">
        <v>100.0</v>
      </c>
      <c r="G1893" s="2">
        <v>149200.0</v>
      </c>
    </row>
    <row r="1894" ht="14.25" customHeight="1">
      <c r="A1894" s="2">
        <v>1893.0</v>
      </c>
      <c r="B1894" s="2" t="s">
        <v>2582</v>
      </c>
      <c r="C1894" s="2" t="s">
        <v>4394</v>
      </c>
      <c r="D1894" s="2">
        <v>183.0</v>
      </c>
      <c r="E1894" s="2">
        <v>1.0</v>
      </c>
      <c r="F1894" s="2">
        <v>57.0</v>
      </c>
      <c r="G1894" s="2">
        <v>149200.0</v>
      </c>
    </row>
    <row r="1895" ht="14.25" customHeight="1">
      <c r="A1895" s="2">
        <v>1894.0</v>
      </c>
      <c r="B1895" s="2" t="s">
        <v>2553</v>
      </c>
      <c r="C1895" s="2" t="s">
        <v>4395</v>
      </c>
      <c r="D1895" s="2">
        <v>187.0</v>
      </c>
      <c r="E1895" s="2">
        <v>1.0</v>
      </c>
      <c r="F1895" s="2">
        <v>130.0</v>
      </c>
      <c r="G1895" s="2">
        <v>149200.0</v>
      </c>
    </row>
    <row r="1896" ht="14.25" customHeight="1">
      <c r="A1896" s="2">
        <v>1895.0</v>
      </c>
      <c r="B1896" s="2" t="s">
        <v>2576</v>
      </c>
      <c r="C1896" s="2" t="s">
        <v>4396</v>
      </c>
      <c r="D1896" s="2">
        <v>197.0</v>
      </c>
      <c r="E1896" s="2">
        <v>1.0</v>
      </c>
      <c r="F1896" s="2">
        <v>100.0</v>
      </c>
      <c r="G1896" s="2">
        <v>149200.0</v>
      </c>
    </row>
    <row r="1897" ht="14.25" customHeight="1">
      <c r="A1897" s="2">
        <v>1896.0</v>
      </c>
      <c r="B1897" s="2" t="s">
        <v>2549</v>
      </c>
      <c r="C1897" s="2" t="s">
        <v>4397</v>
      </c>
      <c r="D1897" s="2">
        <v>115.0</v>
      </c>
      <c r="E1897" s="2">
        <v>1.0</v>
      </c>
      <c r="F1897" s="2">
        <v>110.0</v>
      </c>
      <c r="G1897" s="2">
        <v>149100.0</v>
      </c>
    </row>
    <row r="1898" ht="14.25" customHeight="1">
      <c r="A1898" s="2">
        <v>1897.0</v>
      </c>
      <c r="B1898" s="2" t="s">
        <v>2561</v>
      </c>
      <c r="C1898" s="2" t="s">
        <v>4398</v>
      </c>
      <c r="D1898" s="2">
        <v>162.0</v>
      </c>
      <c r="E1898" s="2">
        <v>1.0</v>
      </c>
      <c r="F1898" s="2">
        <v>55.0</v>
      </c>
      <c r="G1898" s="2">
        <v>149100.0</v>
      </c>
    </row>
    <row r="1899" ht="14.25" customHeight="1">
      <c r="A1899" s="2">
        <v>1898.0</v>
      </c>
      <c r="B1899" s="2" t="s">
        <v>2582</v>
      </c>
      <c r="C1899" s="2" t="s">
        <v>4399</v>
      </c>
      <c r="D1899" s="2">
        <v>183.0</v>
      </c>
      <c r="E1899" s="2">
        <v>1.0</v>
      </c>
      <c r="F1899" s="2">
        <v>145.0</v>
      </c>
      <c r="G1899" s="2">
        <v>149100.0</v>
      </c>
    </row>
    <row r="1900" ht="14.25" customHeight="1">
      <c r="A1900" s="2">
        <v>1899.0</v>
      </c>
      <c r="B1900" s="2" t="s">
        <v>2594</v>
      </c>
      <c r="C1900" s="2" t="s">
        <v>4400</v>
      </c>
      <c r="D1900" s="2">
        <v>184.0</v>
      </c>
      <c r="E1900" s="2">
        <v>1.0</v>
      </c>
      <c r="F1900" s="2">
        <v>100.0</v>
      </c>
      <c r="G1900" s="2">
        <v>149100.0</v>
      </c>
    </row>
    <row r="1901" ht="14.25" customHeight="1">
      <c r="A1901" s="2">
        <v>1900.0</v>
      </c>
      <c r="B1901" s="2" t="s">
        <v>2651</v>
      </c>
      <c r="C1901" s="2" t="s">
        <v>4401</v>
      </c>
      <c r="D1901" s="2">
        <v>347.0</v>
      </c>
      <c r="E1901" s="2">
        <v>1.0</v>
      </c>
      <c r="F1901" s="2">
        <v>75.0</v>
      </c>
      <c r="G1901" s="2">
        <v>149100.0</v>
      </c>
    </row>
    <row r="1902" ht="14.25" customHeight="1">
      <c r="A1902" s="2">
        <v>1901.0</v>
      </c>
      <c r="B1902" s="2" t="s">
        <v>2503</v>
      </c>
      <c r="C1902" s="2" t="s">
        <v>4402</v>
      </c>
      <c r="D1902" s="2">
        <v>105.0</v>
      </c>
      <c r="E1902" s="2">
        <v>1.0</v>
      </c>
      <c r="F1902" s="2">
        <v>105.0</v>
      </c>
      <c r="G1902" s="2">
        <v>149000.0</v>
      </c>
    </row>
    <row r="1903" ht="14.25" customHeight="1">
      <c r="A1903" s="2">
        <v>1902.0</v>
      </c>
      <c r="B1903" s="2" t="s">
        <v>2686</v>
      </c>
      <c r="C1903" s="2" t="s">
        <v>3451</v>
      </c>
      <c r="D1903" s="2">
        <v>127.0</v>
      </c>
      <c r="E1903" s="2">
        <v>1.0</v>
      </c>
      <c r="F1903" s="2">
        <v>60.0</v>
      </c>
      <c r="G1903" s="2">
        <v>149000.0</v>
      </c>
    </row>
    <row r="1904" ht="14.25" customHeight="1">
      <c r="A1904" s="2">
        <v>1903.0</v>
      </c>
      <c r="B1904" s="2" t="s">
        <v>2571</v>
      </c>
      <c r="C1904" s="2" t="s">
        <v>4403</v>
      </c>
      <c r="D1904" s="2">
        <v>185.0</v>
      </c>
      <c r="E1904" s="2">
        <v>1.0</v>
      </c>
      <c r="F1904" s="2">
        <v>120.0</v>
      </c>
      <c r="G1904" s="2">
        <v>149000.0</v>
      </c>
    </row>
    <row r="1905" ht="14.25" customHeight="1">
      <c r="A1905" s="2">
        <v>1904.0</v>
      </c>
      <c r="B1905" s="2" t="s">
        <v>2501</v>
      </c>
      <c r="C1905" s="2" t="s">
        <v>4404</v>
      </c>
      <c r="D1905" s="2">
        <v>199.0</v>
      </c>
      <c r="E1905" s="2">
        <v>1.0</v>
      </c>
      <c r="F1905" s="2">
        <v>100.0</v>
      </c>
      <c r="G1905" s="2">
        <v>149000.0</v>
      </c>
    </row>
    <row r="1906" ht="14.25" customHeight="1">
      <c r="A1906" s="2">
        <v>1905.0</v>
      </c>
      <c r="B1906" s="2" t="s">
        <v>2475</v>
      </c>
      <c r="C1906" s="2" t="s">
        <v>4405</v>
      </c>
      <c r="D1906" s="2">
        <v>143.0</v>
      </c>
      <c r="E1906" s="2">
        <v>1.0</v>
      </c>
      <c r="F1906" s="2">
        <v>100.0</v>
      </c>
      <c r="G1906" s="2">
        <v>148900.0</v>
      </c>
    </row>
    <row r="1907" ht="14.25" customHeight="1">
      <c r="A1907" s="2">
        <v>1906.0</v>
      </c>
      <c r="B1907" s="2" t="s">
        <v>2541</v>
      </c>
      <c r="C1907" s="2" t="s">
        <v>4406</v>
      </c>
      <c r="D1907" s="2">
        <v>195.0</v>
      </c>
      <c r="E1907" s="2">
        <v>1.0</v>
      </c>
      <c r="F1907" s="2">
        <v>75.0</v>
      </c>
      <c r="G1907" s="2">
        <v>148900.0</v>
      </c>
    </row>
    <row r="1908" ht="14.25" customHeight="1">
      <c r="A1908" s="2">
        <v>1907.0</v>
      </c>
      <c r="B1908" s="2" t="s">
        <v>2558</v>
      </c>
      <c r="C1908" s="2" t="s">
        <v>4407</v>
      </c>
      <c r="D1908" s="2">
        <v>357.0</v>
      </c>
      <c r="E1908" s="2">
        <v>1.0</v>
      </c>
      <c r="F1908" s="2">
        <v>66.0</v>
      </c>
      <c r="G1908" s="2">
        <v>148800.0</v>
      </c>
    </row>
    <row r="1909" ht="14.25" customHeight="1">
      <c r="A1909" s="2">
        <v>1908.0</v>
      </c>
      <c r="B1909" s="2" t="s">
        <v>2744</v>
      </c>
      <c r="C1909" s="2" t="s">
        <v>4408</v>
      </c>
      <c r="D1909" s="2">
        <v>169.0</v>
      </c>
      <c r="E1909" s="2">
        <v>1.0</v>
      </c>
      <c r="F1909" s="2">
        <v>100.0</v>
      </c>
      <c r="G1909" s="2">
        <v>148700.0</v>
      </c>
    </row>
    <row r="1910" ht="14.25" customHeight="1">
      <c r="A1910" s="2">
        <v>1909.0</v>
      </c>
      <c r="B1910" s="2" t="s">
        <v>2512</v>
      </c>
      <c r="C1910" s="2" t="s">
        <v>4409</v>
      </c>
      <c r="D1910" s="2">
        <v>153.0</v>
      </c>
      <c r="E1910" s="2">
        <v>1.0</v>
      </c>
      <c r="F1910" s="2">
        <v>100.0</v>
      </c>
      <c r="G1910" s="2">
        <v>148600.0</v>
      </c>
    </row>
    <row r="1911" ht="14.25" customHeight="1">
      <c r="A1911" s="2">
        <v>1910.0</v>
      </c>
      <c r="B1911" s="2" t="s">
        <v>2553</v>
      </c>
      <c r="C1911" s="2" t="s">
        <v>4410</v>
      </c>
      <c r="D1911" s="2">
        <v>187.0</v>
      </c>
      <c r="E1911" s="2">
        <v>1.0</v>
      </c>
      <c r="F1911" s="2">
        <v>85.0</v>
      </c>
      <c r="G1911" s="2">
        <v>148600.0</v>
      </c>
    </row>
    <row r="1912" ht="14.25" customHeight="1">
      <c r="A1912" s="2">
        <v>1911.0</v>
      </c>
      <c r="B1912" s="2" t="s">
        <v>2503</v>
      </c>
      <c r="C1912" s="2" t="s">
        <v>4411</v>
      </c>
      <c r="D1912" s="2">
        <v>105.0</v>
      </c>
      <c r="E1912" s="2">
        <v>1.0</v>
      </c>
      <c r="F1912" s="2">
        <v>132.0</v>
      </c>
      <c r="G1912" s="2">
        <v>148500.0</v>
      </c>
    </row>
    <row r="1913" ht="14.25" customHeight="1">
      <c r="A1913" s="2">
        <v>1912.0</v>
      </c>
      <c r="B1913" s="2" t="s">
        <v>2501</v>
      </c>
      <c r="C1913" s="2" t="s">
        <v>4412</v>
      </c>
      <c r="D1913" s="2">
        <v>199.0</v>
      </c>
      <c r="E1913" s="2">
        <v>1.0</v>
      </c>
      <c r="F1913" s="2">
        <v>80.0</v>
      </c>
      <c r="G1913" s="2">
        <v>148500.0</v>
      </c>
    </row>
    <row r="1914" ht="14.25" customHeight="1">
      <c r="A1914" s="2">
        <v>1913.0</v>
      </c>
      <c r="B1914" s="2" t="s">
        <v>2604</v>
      </c>
      <c r="C1914" s="2" t="s">
        <v>4413</v>
      </c>
      <c r="D1914" s="2">
        <v>200.0</v>
      </c>
      <c r="E1914" s="2">
        <v>1.0</v>
      </c>
      <c r="F1914" s="2">
        <v>75.0</v>
      </c>
      <c r="G1914" s="2">
        <v>148500.0</v>
      </c>
    </row>
    <row r="1915" ht="14.25" customHeight="1">
      <c r="A1915" s="2">
        <v>1914.0</v>
      </c>
      <c r="B1915" s="2" t="s">
        <v>2651</v>
      </c>
      <c r="C1915" s="2" t="s">
        <v>4414</v>
      </c>
      <c r="D1915" s="2">
        <v>347.0</v>
      </c>
      <c r="E1915" s="2">
        <v>1.0</v>
      </c>
      <c r="F1915" s="2">
        <v>85.0</v>
      </c>
      <c r="G1915" s="2">
        <v>148500.0</v>
      </c>
    </row>
    <row r="1916" ht="14.25" customHeight="1">
      <c r="A1916" s="2">
        <v>1915.0</v>
      </c>
      <c r="B1916" s="2" t="s">
        <v>2505</v>
      </c>
      <c r="C1916" s="2" t="s">
        <v>4415</v>
      </c>
      <c r="D1916" s="2">
        <v>429.0</v>
      </c>
      <c r="E1916" s="2">
        <v>1.0</v>
      </c>
      <c r="F1916" s="2">
        <v>50.0</v>
      </c>
      <c r="G1916" s="2">
        <v>148500.0</v>
      </c>
    </row>
    <row r="1917" ht="14.25" customHeight="1">
      <c r="A1917" s="2">
        <v>1916.0</v>
      </c>
      <c r="B1917" s="2" t="s">
        <v>2553</v>
      </c>
      <c r="C1917" s="2" t="s">
        <v>4416</v>
      </c>
      <c r="D1917" s="2">
        <v>187.0</v>
      </c>
      <c r="E1917" s="2">
        <v>1.0</v>
      </c>
      <c r="F1917" s="2">
        <v>100.0</v>
      </c>
      <c r="G1917" s="2">
        <v>148400.0</v>
      </c>
    </row>
    <row r="1918" ht="14.25" customHeight="1">
      <c r="A1918" s="2">
        <v>1917.0</v>
      </c>
      <c r="B1918" s="2" t="s">
        <v>2945</v>
      </c>
      <c r="C1918" s="2" t="s">
        <v>4417</v>
      </c>
      <c r="D1918" s="2">
        <v>619.0</v>
      </c>
      <c r="E1918" s="2">
        <v>1.0</v>
      </c>
      <c r="F1918" s="2">
        <v>60.0</v>
      </c>
      <c r="G1918" s="2">
        <v>148400.0</v>
      </c>
    </row>
    <row r="1919" ht="14.25" customHeight="1">
      <c r="A1919" s="2">
        <v>1918.0</v>
      </c>
      <c r="B1919" s="2" t="s">
        <v>2497</v>
      </c>
      <c r="C1919" s="2" t="s">
        <v>4418</v>
      </c>
      <c r="D1919" s="2">
        <v>151.0</v>
      </c>
      <c r="E1919" s="2">
        <v>1.0</v>
      </c>
      <c r="F1919" s="2">
        <v>90.0</v>
      </c>
      <c r="G1919" s="2">
        <v>148300.0</v>
      </c>
    </row>
    <row r="1920" ht="14.25" customHeight="1">
      <c r="A1920" s="2">
        <v>1919.0</v>
      </c>
      <c r="B1920" s="2" t="s">
        <v>2479</v>
      </c>
      <c r="C1920" s="2" t="s">
        <v>4419</v>
      </c>
      <c r="D1920" s="2">
        <v>182.0</v>
      </c>
      <c r="E1920" s="2">
        <v>1.0</v>
      </c>
      <c r="F1920" s="2">
        <v>75.0</v>
      </c>
      <c r="G1920" s="2">
        <v>148300.0</v>
      </c>
    </row>
    <row r="1921" ht="14.25" customHeight="1">
      <c r="A1921" s="2">
        <v>1920.0</v>
      </c>
      <c r="B1921" s="2" t="s">
        <v>2582</v>
      </c>
      <c r="C1921" s="2" t="s">
        <v>4420</v>
      </c>
      <c r="D1921" s="2">
        <v>183.0</v>
      </c>
      <c r="E1921" s="2">
        <v>1.0</v>
      </c>
      <c r="F1921" s="2">
        <v>145.0</v>
      </c>
      <c r="G1921" s="2">
        <v>148300.0</v>
      </c>
    </row>
    <row r="1922" ht="14.25" customHeight="1">
      <c r="A1922" s="2">
        <v>1921.0</v>
      </c>
      <c r="B1922" s="2" t="s">
        <v>2576</v>
      </c>
      <c r="C1922" s="2" t="s">
        <v>4421</v>
      </c>
      <c r="D1922" s="2">
        <v>197.0</v>
      </c>
      <c r="E1922" s="2">
        <v>1.0</v>
      </c>
      <c r="F1922" s="2">
        <v>75.0</v>
      </c>
      <c r="G1922" s="2">
        <v>148300.0</v>
      </c>
    </row>
    <row r="1923" ht="14.25" customHeight="1">
      <c r="A1923" s="2">
        <v>1922.0</v>
      </c>
      <c r="B1923" s="2" t="s">
        <v>2686</v>
      </c>
      <c r="C1923" s="2" t="s">
        <v>4422</v>
      </c>
      <c r="D1923" s="2">
        <v>127.0</v>
      </c>
      <c r="E1923" s="2">
        <v>1.0</v>
      </c>
      <c r="F1923" s="2">
        <v>120.0</v>
      </c>
      <c r="G1923" s="2">
        <v>148200.0</v>
      </c>
    </row>
    <row r="1924" ht="14.25" customHeight="1">
      <c r="A1924" s="2">
        <v>1923.0</v>
      </c>
      <c r="B1924" s="2" t="s">
        <v>2512</v>
      </c>
      <c r="C1924" s="2" t="s">
        <v>4423</v>
      </c>
      <c r="D1924" s="2">
        <v>153.0</v>
      </c>
      <c r="E1924" s="2">
        <v>1.0</v>
      </c>
      <c r="F1924" s="2">
        <v>50.0</v>
      </c>
      <c r="G1924" s="2">
        <v>148200.0</v>
      </c>
    </row>
    <row r="1925" ht="14.25" customHeight="1">
      <c r="A1925" s="2">
        <v>1924.0</v>
      </c>
      <c r="B1925" s="2" t="s">
        <v>2534</v>
      </c>
      <c r="C1925" s="2" t="s">
        <v>4424</v>
      </c>
      <c r="D1925" s="2">
        <v>188.0</v>
      </c>
      <c r="E1925" s="2">
        <v>1.0</v>
      </c>
      <c r="F1925" s="2">
        <v>75.0</v>
      </c>
      <c r="G1925" s="2">
        <v>148200.0</v>
      </c>
    </row>
    <row r="1926" ht="14.25" customHeight="1">
      <c r="A1926" s="2">
        <v>1925.0</v>
      </c>
      <c r="B1926" s="2" t="s">
        <v>2651</v>
      </c>
      <c r="C1926" s="2" t="s">
        <v>4425</v>
      </c>
      <c r="D1926" s="2">
        <v>347.0</v>
      </c>
      <c r="E1926" s="2">
        <v>1.0</v>
      </c>
      <c r="F1926" s="2">
        <v>65.0</v>
      </c>
      <c r="G1926" s="2">
        <v>148200.0</v>
      </c>
    </row>
    <row r="1927" ht="14.25" customHeight="1">
      <c r="A1927" s="2">
        <v>1926.0</v>
      </c>
      <c r="B1927" s="2" t="s">
        <v>2503</v>
      </c>
      <c r="C1927" s="2" t="s">
        <v>4426</v>
      </c>
      <c r="D1927" s="2">
        <v>105.0</v>
      </c>
      <c r="E1927" s="2">
        <v>1.0</v>
      </c>
      <c r="F1927" s="2">
        <v>120.0</v>
      </c>
      <c r="G1927" s="2">
        <v>148100.0</v>
      </c>
    </row>
    <row r="1928" ht="14.25" customHeight="1">
      <c r="A1928" s="2">
        <v>1927.0</v>
      </c>
      <c r="B1928" s="2" t="s">
        <v>2541</v>
      </c>
      <c r="C1928" s="2" t="s">
        <v>4427</v>
      </c>
      <c r="D1928" s="2">
        <v>195.0</v>
      </c>
      <c r="E1928" s="2">
        <v>1.0</v>
      </c>
      <c r="F1928" s="2">
        <v>100.0</v>
      </c>
      <c r="G1928" s="2">
        <v>148100.0</v>
      </c>
    </row>
    <row r="1929" ht="14.25" customHeight="1">
      <c r="A1929" s="2">
        <v>1928.0</v>
      </c>
      <c r="B1929" s="2" t="s">
        <v>2501</v>
      </c>
      <c r="C1929" s="2" t="s">
        <v>4428</v>
      </c>
      <c r="D1929" s="2">
        <v>199.0</v>
      </c>
      <c r="E1929" s="2">
        <v>1.0</v>
      </c>
      <c r="F1929" s="2">
        <v>100.0</v>
      </c>
      <c r="G1929" s="2">
        <v>148100.0</v>
      </c>
    </row>
    <row r="1930" ht="14.25" customHeight="1">
      <c r="A1930" s="2">
        <v>1929.0</v>
      </c>
      <c r="B1930" s="2" t="s">
        <v>2744</v>
      </c>
      <c r="C1930" s="2" t="s">
        <v>4429</v>
      </c>
      <c r="D1930" s="2">
        <v>169.0</v>
      </c>
      <c r="E1930" s="2">
        <v>1.0</v>
      </c>
      <c r="F1930" s="2">
        <v>100.0</v>
      </c>
      <c r="G1930" s="2">
        <v>148000.0</v>
      </c>
    </row>
    <row r="1931" ht="14.25" customHeight="1">
      <c r="A1931" s="2">
        <v>1930.0</v>
      </c>
      <c r="B1931" s="2" t="s">
        <v>2576</v>
      </c>
      <c r="C1931" s="2" t="s">
        <v>4430</v>
      </c>
      <c r="D1931" s="2">
        <v>197.0</v>
      </c>
      <c r="E1931" s="2">
        <v>1.0</v>
      </c>
      <c r="F1931" s="2">
        <v>100.0</v>
      </c>
      <c r="G1931" s="2">
        <v>148000.0</v>
      </c>
    </row>
    <row r="1932" ht="14.25" customHeight="1">
      <c r="A1932" s="2">
        <v>1931.0</v>
      </c>
      <c r="B1932" s="2" t="s">
        <v>2503</v>
      </c>
      <c r="C1932" s="2" t="s">
        <v>4431</v>
      </c>
      <c r="D1932" s="2">
        <v>105.0</v>
      </c>
      <c r="E1932" s="2">
        <v>1.0</v>
      </c>
      <c r="F1932" s="2">
        <v>70.0</v>
      </c>
      <c r="G1932" s="2">
        <v>147900.0</v>
      </c>
    </row>
    <row r="1933" ht="14.25" customHeight="1">
      <c r="A1933" s="2">
        <v>1932.0</v>
      </c>
      <c r="B1933" s="2" t="s">
        <v>2541</v>
      </c>
      <c r="C1933" s="2" t="s">
        <v>4432</v>
      </c>
      <c r="D1933" s="2">
        <v>195.0</v>
      </c>
      <c r="E1933" s="2">
        <v>1.0</v>
      </c>
      <c r="F1933" s="2">
        <v>85.0</v>
      </c>
      <c r="G1933" s="2">
        <v>147900.0</v>
      </c>
    </row>
    <row r="1934" ht="14.25" customHeight="1">
      <c r="A1934" s="2">
        <v>1933.0</v>
      </c>
      <c r="B1934" s="2" t="s">
        <v>2524</v>
      </c>
      <c r="C1934" s="2" t="s">
        <v>4433</v>
      </c>
      <c r="D1934" s="2">
        <v>331.0</v>
      </c>
      <c r="E1934" s="2">
        <v>1.0</v>
      </c>
      <c r="F1934" s="2">
        <v>50.0</v>
      </c>
      <c r="G1934" s="2">
        <v>147900.0</v>
      </c>
    </row>
    <row r="1935" ht="14.25" customHeight="1">
      <c r="A1935" s="2">
        <v>1934.0</v>
      </c>
      <c r="B1935" s="2" t="s">
        <v>2558</v>
      </c>
      <c r="C1935" s="2" t="s">
        <v>4434</v>
      </c>
      <c r="D1935" s="2">
        <v>357.0</v>
      </c>
      <c r="E1935" s="2">
        <v>1.0</v>
      </c>
      <c r="F1935" s="2">
        <v>66.0</v>
      </c>
      <c r="G1935" s="2">
        <v>147900.0</v>
      </c>
    </row>
    <row r="1936" ht="14.25" customHeight="1">
      <c r="A1936" s="2">
        <v>1935.0</v>
      </c>
      <c r="B1936" s="2" t="s">
        <v>2503</v>
      </c>
      <c r="C1936" s="2" t="s">
        <v>4435</v>
      </c>
      <c r="D1936" s="2">
        <v>105.0</v>
      </c>
      <c r="E1936" s="2">
        <v>1.0</v>
      </c>
      <c r="F1936" s="2">
        <v>200.0</v>
      </c>
      <c r="G1936" s="2">
        <v>147800.0</v>
      </c>
    </row>
    <row r="1937" ht="14.25" customHeight="1">
      <c r="A1937" s="2">
        <v>1936.0</v>
      </c>
      <c r="B1937" s="2" t="s">
        <v>2621</v>
      </c>
      <c r="C1937" s="2" t="s">
        <v>4436</v>
      </c>
      <c r="D1937" s="2">
        <v>403.0</v>
      </c>
      <c r="E1937" s="2">
        <v>1.0</v>
      </c>
      <c r="F1937" s="2">
        <v>165.0</v>
      </c>
      <c r="G1937" s="2">
        <v>147800.0</v>
      </c>
    </row>
    <row r="1938" ht="14.25" customHeight="1">
      <c r="A1938" s="2">
        <v>1937.0</v>
      </c>
      <c r="B1938" s="2" t="s">
        <v>2505</v>
      </c>
      <c r="C1938" s="2" t="s">
        <v>4437</v>
      </c>
      <c r="D1938" s="2">
        <v>429.0</v>
      </c>
      <c r="E1938" s="2">
        <v>1.0</v>
      </c>
      <c r="F1938" s="2">
        <v>100.0</v>
      </c>
      <c r="G1938" s="2">
        <v>147800.0</v>
      </c>
    </row>
    <row r="1939" ht="14.25" customHeight="1">
      <c r="A1939" s="2">
        <v>1938.0</v>
      </c>
      <c r="B1939" s="2" t="s">
        <v>2512</v>
      </c>
      <c r="C1939" s="2" t="s">
        <v>4438</v>
      </c>
      <c r="D1939" s="2">
        <v>153.0</v>
      </c>
      <c r="E1939" s="2">
        <v>1.0</v>
      </c>
      <c r="F1939" s="2">
        <v>100.0</v>
      </c>
      <c r="G1939" s="2">
        <v>147700.0</v>
      </c>
    </row>
    <row r="1940" ht="14.25" customHeight="1">
      <c r="A1940" s="2">
        <v>1939.0</v>
      </c>
      <c r="B1940" s="2" t="s">
        <v>2561</v>
      </c>
      <c r="C1940" s="2" t="s">
        <v>4439</v>
      </c>
      <c r="D1940" s="2">
        <v>162.0</v>
      </c>
      <c r="E1940" s="2">
        <v>1.0</v>
      </c>
      <c r="F1940" s="2">
        <v>100.0</v>
      </c>
      <c r="G1940" s="2">
        <v>147700.0</v>
      </c>
    </row>
    <row r="1941" ht="14.25" customHeight="1">
      <c r="A1941" s="2">
        <v>1940.0</v>
      </c>
      <c r="B1941" s="2" t="s">
        <v>2479</v>
      </c>
      <c r="C1941" s="2" t="s">
        <v>4440</v>
      </c>
      <c r="D1941" s="2">
        <v>182.0</v>
      </c>
      <c r="E1941" s="2">
        <v>1.0</v>
      </c>
      <c r="F1941" s="2">
        <v>75.0</v>
      </c>
      <c r="G1941" s="2">
        <v>147700.0</v>
      </c>
    </row>
    <row r="1942" ht="14.25" customHeight="1">
      <c r="A1942" s="2">
        <v>1941.0</v>
      </c>
      <c r="B1942" s="2" t="s">
        <v>2636</v>
      </c>
      <c r="C1942" s="2" t="s">
        <v>4441</v>
      </c>
      <c r="D1942" s="2">
        <v>145.0</v>
      </c>
      <c r="E1942" s="2">
        <v>1.0</v>
      </c>
      <c r="F1942" s="2">
        <v>100.0</v>
      </c>
      <c r="G1942" s="2">
        <v>147600.0</v>
      </c>
    </row>
    <row r="1943" ht="14.25" customHeight="1">
      <c r="A1943" s="2">
        <v>1942.0</v>
      </c>
      <c r="B1943" s="2" t="s">
        <v>2582</v>
      </c>
      <c r="C1943" s="2" t="s">
        <v>4442</v>
      </c>
      <c r="D1943" s="2">
        <v>183.0</v>
      </c>
      <c r="E1943" s="2">
        <v>1.0</v>
      </c>
      <c r="F1943" s="2">
        <v>100.0</v>
      </c>
      <c r="G1943" s="2">
        <v>147600.0</v>
      </c>
    </row>
    <row r="1944" ht="14.25" customHeight="1">
      <c r="A1944" s="2">
        <v>1943.0</v>
      </c>
      <c r="B1944" s="2" t="s">
        <v>2582</v>
      </c>
      <c r="C1944" s="2" t="s">
        <v>4443</v>
      </c>
      <c r="D1944" s="2">
        <v>183.0</v>
      </c>
      <c r="E1944" s="2">
        <v>1.0</v>
      </c>
      <c r="F1944" s="2">
        <v>150.0</v>
      </c>
      <c r="G1944" s="2">
        <v>147600.0</v>
      </c>
    </row>
    <row r="1945" ht="14.25" customHeight="1">
      <c r="A1945" s="2">
        <v>1944.0</v>
      </c>
      <c r="B1945" s="2" t="s">
        <v>2594</v>
      </c>
      <c r="C1945" s="2" t="s">
        <v>4444</v>
      </c>
      <c r="D1945" s="2">
        <v>184.0</v>
      </c>
      <c r="E1945" s="2">
        <v>1.0</v>
      </c>
      <c r="F1945" s="2">
        <v>66.0</v>
      </c>
      <c r="G1945" s="2">
        <v>147600.0</v>
      </c>
    </row>
    <row r="1946" ht="14.25" customHeight="1">
      <c r="A1946" s="2">
        <v>1945.0</v>
      </c>
      <c r="B1946" s="2" t="s">
        <v>2524</v>
      </c>
      <c r="C1946" s="2" t="s">
        <v>4445</v>
      </c>
      <c r="D1946" s="2">
        <v>331.0</v>
      </c>
      <c r="E1946" s="2">
        <v>1.0</v>
      </c>
      <c r="F1946" s="2">
        <v>100.0</v>
      </c>
      <c r="G1946" s="2">
        <v>147600.0</v>
      </c>
    </row>
    <row r="1947" ht="14.25" customHeight="1">
      <c r="A1947" s="2">
        <v>1946.0</v>
      </c>
      <c r="B1947" s="2" t="s">
        <v>2651</v>
      </c>
      <c r="C1947" s="2" t="s">
        <v>4446</v>
      </c>
      <c r="D1947" s="2">
        <v>347.0</v>
      </c>
      <c r="E1947" s="2">
        <v>1.0</v>
      </c>
      <c r="F1947" s="2">
        <v>55.0</v>
      </c>
      <c r="G1947" s="2">
        <v>147600.0</v>
      </c>
    </row>
    <row r="1948" ht="14.25" customHeight="1">
      <c r="A1948" s="2">
        <v>1947.0</v>
      </c>
      <c r="B1948" s="2" t="s">
        <v>2558</v>
      </c>
      <c r="C1948" s="2" t="s">
        <v>4447</v>
      </c>
      <c r="D1948" s="2">
        <v>357.0</v>
      </c>
      <c r="E1948" s="2">
        <v>1.0</v>
      </c>
      <c r="F1948" s="2">
        <v>66.0</v>
      </c>
      <c r="G1948" s="2">
        <v>147600.0</v>
      </c>
    </row>
    <row r="1949" ht="14.25" customHeight="1">
      <c r="A1949" s="2">
        <v>1948.0</v>
      </c>
      <c r="B1949" s="2" t="s">
        <v>2686</v>
      </c>
      <c r="C1949" s="2" t="s">
        <v>4448</v>
      </c>
      <c r="D1949" s="2">
        <v>127.0</v>
      </c>
      <c r="E1949" s="2">
        <v>1.0</v>
      </c>
      <c r="F1949" s="2">
        <v>100.0</v>
      </c>
      <c r="G1949" s="2">
        <v>147500.0</v>
      </c>
    </row>
    <row r="1950" ht="14.25" customHeight="1">
      <c r="A1950" s="2">
        <v>1949.0</v>
      </c>
      <c r="B1950" s="2" t="s">
        <v>2636</v>
      </c>
      <c r="C1950" s="2" t="s">
        <v>4449</v>
      </c>
      <c r="D1950" s="2">
        <v>145.0</v>
      </c>
      <c r="E1950" s="2">
        <v>1.0</v>
      </c>
      <c r="F1950" s="2">
        <v>100.0</v>
      </c>
      <c r="G1950" s="2">
        <v>147500.0</v>
      </c>
    </row>
    <row r="1951" ht="14.25" customHeight="1">
      <c r="A1951" s="2">
        <v>1950.0</v>
      </c>
      <c r="B1951" s="2" t="s">
        <v>2561</v>
      </c>
      <c r="C1951" s="2" t="s">
        <v>4450</v>
      </c>
      <c r="D1951" s="2">
        <v>162.0</v>
      </c>
      <c r="E1951" s="2">
        <v>1.0</v>
      </c>
      <c r="F1951" s="2">
        <v>75.0</v>
      </c>
      <c r="G1951" s="2">
        <v>147500.0</v>
      </c>
    </row>
    <row r="1952" ht="14.25" customHeight="1">
      <c r="A1952" s="2">
        <v>1951.0</v>
      </c>
      <c r="B1952" s="2" t="s">
        <v>2582</v>
      </c>
      <c r="C1952" s="2" t="s">
        <v>4451</v>
      </c>
      <c r="D1952" s="2">
        <v>183.0</v>
      </c>
      <c r="E1952" s="2">
        <v>1.0</v>
      </c>
      <c r="F1952" s="2">
        <v>100.0</v>
      </c>
      <c r="G1952" s="2">
        <v>147500.0</v>
      </c>
    </row>
    <row r="1953" ht="14.25" customHeight="1">
      <c r="A1953" s="2">
        <v>1952.0</v>
      </c>
      <c r="B1953" s="2" t="s">
        <v>2604</v>
      </c>
      <c r="C1953" s="2" t="s">
        <v>4452</v>
      </c>
      <c r="D1953" s="2">
        <v>200.0</v>
      </c>
      <c r="E1953" s="2">
        <v>1.0</v>
      </c>
      <c r="F1953" s="2">
        <v>75.0</v>
      </c>
      <c r="G1953" s="2">
        <v>147500.0</v>
      </c>
    </row>
    <row r="1954" ht="14.25" customHeight="1">
      <c r="A1954" s="2">
        <v>1953.0</v>
      </c>
      <c r="B1954" s="2" t="s">
        <v>2651</v>
      </c>
      <c r="C1954" s="2" t="s">
        <v>4453</v>
      </c>
      <c r="D1954" s="2">
        <v>347.0</v>
      </c>
      <c r="E1954" s="2">
        <v>1.0</v>
      </c>
      <c r="F1954" s="2">
        <v>75.0</v>
      </c>
      <c r="G1954" s="2">
        <v>147500.0</v>
      </c>
    </row>
    <row r="1955" ht="14.25" customHeight="1">
      <c r="A1955" s="2">
        <v>1954.0</v>
      </c>
      <c r="B1955" s="2" t="s">
        <v>2512</v>
      </c>
      <c r="C1955" s="2" t="s">
        <v>4454</v>
      </c>
      <c r="D1955" s="2">
        <v>153.0</v>
      </c>
      <c r="E1955" s="2">
        <v>1.0</v>
      </c>
      <c r="F1955" s="2">
        <v>100.0</v>
      </c>
      <c r="G1955" s="2">
        <v>147400.0</v>
      </c>
    </row>
    <row r="1956" ht="14.25" customHeight="1">
      <c r="A1956" s="2">
        <v>1955.0</v>
      </c>
      <c r="B1956" s="2" t="s">
        <v>2744</v>
      </c>
      <c r="C1956" s="2" t="s">
        <v>4455</v>
      </c>
      <c r="D1956" s="2">
        <v>169.0</v>
      </c>
      <c r="E1956" s="2">
        <v>1.0</v>
      </c>
      <c r="F1956" s="2">
        <v>50.0</v>
      </c>
      <c r="G1956" s="2">
        <v>147400.0</v>
      </c>
    </row>
    <row r="1957" ht="14.25" customHeight="1">
      <c r="A1957" s="2">
        <v>1956.0</v>
      </c>
      <c r="B1957" s="2" t="s">
        <v>2582</v>
      </c>
      <c r="C1957" s="2" t="s">
        <v>4456</v>
      </c>
      <c r="D1957" s="2">
        <v>183.0</v>
      </c>
      <c r="E1957" s="2">
        <v>1.0</v>
      </c>
      <c r="F1957" s="2">
        <v>100.0</v>
      </c>
      <c r="G1957" s="2">
        <v>147400.0</v>
      </c>
    </row>
    <row r="1958" ht="14.25" customHeight="1">
      <c r="A1958" s="2">
        <v>1957.0</v>
      </c>
      <c r="B1958" s="2" t="s">
        <v>2558</v>
      </c>
      <c r="C1958" s="2" t="s">
        <v>4457</v>
      </c>
      <c r="D1958" s="2">
        <v>357.0</v>
      </c>
      <c r="E1958" s="2">
        <v>1.0</v>
      </c>
      <c r="F1958" s="2">
        <v>80.0</v>
      </c>
      <c r="G1958" s="2">
        <v>147400.0</v>
      </c>
    </row>
    <row r="1959" ht="14.25" customHeight="1">
      <c r="A1959" s="2">
        <v>1958.0</v>
      </c>
      <c r="B1959" s="2" t="s">
        <v>2576</v>
      </c>
      <c r="C1959" s="2" t="s">
        <v>4458</v>
      </c>
      <c r="D1959" s="2">
        <v>197.0</v>
      </c>
      <c r="E1959" s="2">
        <v>1.0</v>
      </c>
      <c r="F1959" s="2">
        <v>132.0</v>
      </c>
      <c r="G1959" s="2">
        <v>147300.0</v>
      </c>
    </row>
    <row r="1960" ht="14.25" customHeight="1">
      <c r="A1960" s="2">
        <v>1959.0</v>
      </c>
      <c r="B1960" s="2" t="s">
        <v>2621</v>
      </c>
      <c r="C1960" s="2" t="s">
        <v>4459</v>
      </c>
      <c r="D1960" s="2">
        <v>403.0</v>
      </c>
      <c r="E1960" s="2">
        <v>1.0</v>
      </c>
      <c r="F1960" s="2">
        <v>66.0</v>
      </c>
      <c r="G1960" s="2">
        <v>147300.0</v>
      </c>
    </row>
    <row r="1961" ht="14.25" customHeight="1">
      <c r="A1961" s="2">
        <v>1960.0</v>
      </c>
      <c r="B1961" s="2" t="s">
        <v>2604</v>
      </c>
      <c r="C1961" s="2" t="s">
        <v>4460</v>
      </c>
      <c r="D1961" s="2">
        <v>200.0</v>
      </c>
      <c r="E1961" s="2">
        <v>1.0</v>
      </c>
      <c r="F1961" s="2">
        <v>250.0</v>
      </c>
      <c r="G1961" s="2">
        <v>147200.0</v>
      </c>
    </row>
    <row r="1962" ht="14.25" customHeight="1">
      <c r="A1962" s="2">
        <v>1961.0</v>
      </c>
      <c r="B1962" s="2" t="s">
        <v>2524</v>
      </c>
      <c r="C1962" s="2" t="s">
        <v>4461</v>
      </c>
      <c r="D1962" s="2">
        <v>331.0</v>
      </c>
      <c r="E1962" s="2">
        <v>1.0</v>
      </c>
      <c r="F1962" s="2">
        <v>60.0</v>
      </c>
      <c r="G1962" s="2">
        <v>147200.0</v>
      </c>
    </row>
    <row r="1963" ht="14.25" customHeight="1">
      <c r="A1963" s="2">
        <v>1962.0</v>
      </c>
      <c r="B1963" s="2" t="s">
        <v>2549</v>
      </c>
      <c r="C1963" s="2" t="s">
        <v>4462</v>
      </c>
      <c r="D1963" s="2">
        <v>115.0</v>
      </c>
      <c r="E1963" s="2">
        <v>1.0</v>
      </c>
      <c r="F1963" s="2">
        <v>100.0</v>
      </c>
      <c r="G1963" s="2">
        <v>147000.0</v>
      </c>
    </row>
    <row r="1964" ht="14.25" customHeight="1">
      <c r="A1964" s="2">
        <v>1963.0</v>
      </c>
      <c r="B1964" s="2" t="s">
        <v>2686</v>
      </c>
      <c r="C1964" s="2" t="s">
        <v>4463</v>
      </c>
      <c r="D1964" s="2">
        <v>127.0</v>
      </c>
      <c r="E1964" s="2">
        <v>1.0</v>
      </c>
      <c r="F1964" s="2">
        <v>70.0</v>
      </c>
      <c r="G1964" s="2">
        <v>147000.0</v>
      </c>
    </row>
    <row r="1965" ht="14.25" customHeight="1">
      <c r="A1965" s="2">
        <v>1964.0</v>
      </c>
      <c r="B1965" s="2" t="s">
        <v>2488</v>
      </c>
      <c r="C1965" s="2" t="s">
        <v>4464</v>
      </c>
      <c r="D1965" s="2">
        <v>333.0</v>
      </c>
      <c r="E1965" s="2">
        <v>1.0</v>
      </c>
      <c r="F1965" s="2">
        <v>90.0</v>
      </c>
      <c r="G1965" s="2">
        <v>147000.0</v>
      </c>
    </row>
    <row r="1966" ht="14.25" customHeight="1">
      <c r="A1966" s="2">
        <v>1965.0</v>
      </c>
      <c r="B1966" s="2" t="s">
        <v>2558</v>
      </c>
      <c r="C1966" s="2" t="s">
        <v>4465</v>
      </c>
      <c r="D1966" s="2">
        <v>357.0</v>
      </c>
      <c r="E1966" s="2">
        <v>1.0</v>
      </c>
      <c r="F1966" s="2">
        <v>60.0</v>
      </c>
      <c r="G1966" s="2">
        <v>147000.0</v>
      </c>
    </row>
    <row r="1967" ht="14.25" customHeight="1">
      <c r="A1967" s="2">
        <v>1966.0</v>
      </c>
      <c r="B1967" s="2" t="s">
        <v>2945</v>
      </c>
      <c r="C1967" s="2" t="s">
        <v>4466</v>
      </c>
      <c r="D1967" s="2">
        <v>619.0</v>
      </c>
      <c r="E1967" s="2">
        <v>1.0</v>
      </c>
      <c r="F1967" s="2">
        <v>60.0</v>
      </c>
      <c r="G1967" s="2">
        <v>147000.0</v>
      </c>
    </row>
    <row r="1968" ht="14.25" customHeight="1">
      <c r="A1968" s="2">
        <v>1967.0</v>
      </c>
      <c r="B1968" s="2" t="s">
        <v>2477</v>
      </c>
      <c r="C1968" s="2" t="s">
        <v>4467</v>
      </c>
      <c r="D1968" s="2">
        <v>152.0</v>
      </c>
      <c r="E1968" s="2">
        <v>1.0</v>
      </c>
      <c r="F1968" s="2">
        <v>100.0</v>
      </c>
      <c r="G1968" s="2">
        <v>146900.0</v>
      </c>
    </row>
    <row r="1969" ht="14.25" customHeight="1">
      <c r="A1969" s="2">
        <v>1968.0</v>
      </c>
      <c r="B1969" s="2" t="s">
        <v>2518</v>
      </c>
      <c r="C1969" s="2" t="s">
        <v>4468</v>
      </c>
      <c r="D1969" s="2">
        <v>161.0</v>
      </c>
      <c r="E1969" s="2">
        <v>1.0</v>
      </c>
      <c r="F1969" s="2">
        <v>100.0</v>
      </c>
      <c r="G1969" s="2">
        <v>146900.0</v>
      </c>
    </row>
    <row r="1970" ht="14.25" customHeight="1">
      <c r="A1970" s="2">
        <v>1969.0</v>
      </c>
      <c r="B1970" s="2" t="s">
        <v>2479</v>
      </c>
      <c r="C1970" s="2" t="s">
        <v>4469</v>
      </c>
      <c r="D1970" s="2">
        <v>182.0</v>
      </c>
      <c r="E1970" s="2">
        <v>1.0</v>
      </c>
      <c r="F1970" s="2">
        <v>75.0</v>
      </c>
      <c r="G1970" s="2">
        <v>146900.0</v>
      </c>
    </row>
    <row r="1971" ht="14.25" customHeight="1">
      <c r="A1971" s="2">
        <v>1970.0</v>
      </c>
      <c r="B1971" s="2" t="s">
        <v>2604</v>
      </c>
      <c r="C1971" s="2" t="s">
        <v>4470</v>
      </c>
      <c r="D1971" s="2">
        <v>200.0</v>
      </c>
      <c r="E1971" s="2">
        <v>1.0</v>
      </c>
      <c r="F1971" s="2">
        <v>50.0</v>
      </c>
      <c r="G1971" s="2">
        <v>146900.0</v>
      </c>
    </row>
    <row r="1972" ht="14.25" customHeight="1">
      <c r="A1972" s="2">
        <v>1971.0</v>
      </c>
      <c r="B1972" s="2" t="s">
        <v>2524</v>
      </c>
      <c r="C1972" s="2" t="s">
        <v>4471</v>
      </c>
      <c r="D1972" s="2">
        <v>331.0</v>
      </c>
      <c r="E1972" s="2">
        <v>1.0</v>
      </c>
      <c r="F1972" s="2">
        <v>50.0</v>
      </c>
      <c r="G1972" s="2">
        <v>146900.0</v>
      </c>
    </row>
    <row r="1973" ht="14.25" customHeight="1">
      <c r="A1973" s="2">
        <v>1972.0</v>
      </c>
      <c r="B1973" s="2" t="s">
        <v>2488</v>
      </c>
      <c r="C1973" s="2" t="s">
        <v>4472</v>
      </c>
      <c r="D1973" s="2">
        <v>333.0</v>
      </c>
      <c r="E1973" s="2">
        <v>1.0</v>
      </c>
      <c r="F1973" s="2">
        <v>70.0</v>
      </c>
      <c r="G1973" s="2">
        <v>146900.0</v>
      </c>
    </row>
    <row r="1974" ht="14.25" customHeight="1">
      <c r="A1974" s="2">
        <v>1973.0</v>
      </c>
      <c r="B1974" s="2" t="s">
        <v>2501</v>
      </c>
      <c r="C1974" s="2" t="s">
        <v>4473</v>
      </c>
      <c r="D1974" s="2">
        <v>199.0</v>
      </c>
      <c r="E1974" s="2">
        <v>1.0</v>
      </c>
      <c r="F1974" s="2">
        <v>176.0</v>
      </c>
      <c r="G1974" s="2">
        <v>146800.0</v>
      </c>
    </row>
    <row r="1975" ht="14.25" customHeight="1">
      <c r="A1975" s="2">
        <v>1974.0</v>
      </c>
      <c r="B1975" s="2" t="s">
        <v>2501</v>
      </c>
      <c r="C1975" s="2" t="s">
        <v>4474</v>
      </c>
      <c r="D1975" s="2">
        <v>199.0</v>
      </c>
      <c r="E1975" s="2">
        <v>1.0</v>
      </c>
      <c r="F1975" s="2">
        <v>75.0</v>
      </c>
      <c r="G1975" s="2">
        <v>146800.0</v>
      </c>
    </row>
    <row r="1976" ht="14.25" customHeight="1">
      <c r="A1976" s="2">
        <v>1975.0</v>
      </c>
      <c r="B1976" s="2" t="s">
        <v>2621</v>
      </c>
      <c r="C1976" s="2" t="s">
        <v>4475</v>
      </c>
      <c r="D1976" s="2">
        <v>403.0</v>
      </c>
      <c r="E1976" s="2">
        <v>1.0</v>
      </c>
      <c r="F1976" s="2">
        <v>132.0</v>
      </c>
      <c r="G1976" s="2">
        <v>146800.0</v>
      </c>
    </row>
    <row r="1977" ht="14.25" customHeight="1">
      <c r="A1977" s="2">
        <v>1976.0</v>
      </c>
      <c r="B1977" s="2" t="s">
        <v>2549</v>
      </c>
      <c r="C1977" s="2" t="s">
        <v>4476</v>
      </c>
      <c r="D1977" s="2">
        <v>115.0</v>
      </c>
      <c r="E1977" s="2">
        <v>1.0</v>
      </c>
      <c r="F1977" s="2">
        <v>250.0</v>
      </c>
      <c r="G1977" s="2">
        <v>146700.0</v>
      </c>
    </row>
    <row r="1978" ht="14.25" customHeight="1">
      <c r="A1978" s="2">
        <v>1977.0</v>
      </c>
      <c r="B1978" s="2" t="s">
        <v>2497</v>
      </c>
      <c r="C1978" s="2" t="s">
        <v>4477</v>
      </c>
      <c r="D1978" s="2">
        <v>151.0</v>
      </c>
      <c r="E1978" s="2">
        <v>1.0</v>
      </c>
      <c r="F1978" s="2">
        <v>75.0</v>
      </c>
      <c r="G1978" s="2">
        <v>146700.0</v>
      </c>
    </row>
    <row r="1979" ht="14.25" customHeight="1">
      <c r="A1979" s="2">
        <v>1978.0</v>
      </c>
      <c r="B1979" s="2" t="s">
        <v>2512</v>
      </c>
      <c r="C1979" s="2" t="s">
        <v>4478</v>
      </c>
      <c r="D1979" s="2">
        <v>153.0</v>
      </c>
      <c r="E1979" s="2">
        <v>1.0</v>
      </c>
      <c r="F1979" s="2">
        <v>90.0</v>
      </c>
      <c r="G1979" s="2">
        <v>146700.0</v>
      </c>
    </row>
    <row r="1980" ht="14.25" customHeight="1">
      <c r="A1980" s="2">
        <v>1979.0</v>
      </c>
      <c r="B1980" s="2" t="s">
        <v>2553</v>
      </c>
      <c r="C1980" s="2" t="s">
        <v>4479</v>
      </c>
      <c r="D1980" s="2">
        <v>187.0</v>
      </c>
      <c r="E1980" s="2">
        <v>1.0</v>
      </c>
      <c r="F1980" s="2">
        <v>110.0</v>
      </c>
      <c r="G1980" s="2">
        <v>146700.0</v>
      </c>
    </row>
    <row r="1981" ht="14.25" customHeight="1">
      <c r="A1981" s="2">
        <v>1980.0</v>
      </c>
      <c r="B1981" s="2" t="s">
        <v>2534</v>
      </c>
      <c r="C1981" s="2" t="s">
        <v>4480</v>
      </c>
      <c r="D1981" s="2">
        <v>188.0</v>
      </c>
      <c r="E1981" s="2">
        <v>1.0</v>
      </c>
      <c r="F1981" s="2">
        <v>130.0</v>
      </c>
      <c r="G1981" s="2">
        <v>146700.0</v>
      </c>
    </row>
    <row r="1982" ht="14.25" customHeight="1">
      <c r="A1982" s="2">
        <v>1981.0</v>
      </c>
      <c r="B1982" s="2" t="s">
        <v>2576</v>
      </c>
      <c r="C1982" s="2" t="s">
        <v>4481</v>
      </c>
      <c r="D1982" s="2">
        <v>197.0</v>
      </c>
      <c r="E1982" s="2">
        <v>1.0</v>
      </c>
      <c r="F1982" s="2">
        <v>50.0</v>
      </c>
      <c r="G1982" s="2">
        <v>146700.0</v>
      </c>
    </row>
    <row r="1983" ht="14.25" customHeight="1">
      <c r="A1983" s="2">
        <v>1982.0</v>
      </c>
      <c r="B1983" s="2" t="s">
        <v>2686</v>
      </c>
      <c r="C1983" s="2" t="s">
        <v>4482</v>
      </c>
      <c r="D1983" s="2">
        <v>127.0</v>
      </c>
      <c r="E1983" s="2">
        <v>1.0</v>
      </c>
      <c r="F1983" s="2">
        <v>100.0</v>
      </c>
      <c r="G1983" s="2">
        <v>146600.0</v>
      </c>
    </row>
    <row r="1984" ht="14.25" customHeight="1">
      <c r="A1984" s="2">
        <v>1983.0</v>
      </c>
      <c r="B1984" s="2" t="s">
        <v>2512</v>
      </c>
      <c r="C1984" s="2" t="s">
        <v>4483</v>
      </c>
      <c r="D1984" s="2">
        <v>153.0</v>
      </c>
      <c r="E1984" s="2">
        <v>1.0</v>
      </c>
      <c r="F1984" s="2">
        <v>60.0</v>
      </c>
      <c r="G1984" s="2">
        <v>146600.0</v>
      </c>
    </row>
    <row r="1985" ht="14.25" customHeight="1">
      <c r="A1985" s="2">
        <v>1984.0</v>
      </c>
      <c r="B1985" s="2" t="s">
        <v>2512</v>
      </c>
      <c r="C1985" s="2" t="s">
        <v>4484</v>
      </c>
      <c r="D1985" s="2">
        <v>153.0</v>
      </c>
      <c r="E1985" s="2">
        <v>1.0</v>
      </c>
      <c r="F1985" s="2">
        <v>100.0</v>
      </c>
      <c r="G1985" s="2">
        <v>146600.0</v>
      </c>
    </row>
    <row r="1986" ht="14.25" customHeight="1">
      <c r="A1986" s="2">
        <v>1985.0</v>
      </c>
      <c r="B1986" s="2" t="s">
        <v>2594</v>
      </c>
      <c r="C1986" s="2" t="s">
        <v>4485</v>
      </c>
      <c r="D1986" s="2">
        <v>184.0</v>
      </c>
      <c r="E1986" s="2">
        <v>1.0</v>
      </c>
      <c r="F1986" s="2">
        <v>75.0</v>
      </c>
      <c r="G1986" s="2">
        <v>146600.0</v>
      </c>
    </row>
    <row r="1987" ht="14.25" customHeight="1">
      <c r="A1987" s="2">
        <v>1986.0</v>
      </c>
      <c r="B1987" s="2" t="s">
        <v>2475</v>
      </c>
      <c r="C1987" s="2" t="s">
        <v>4486</v>
      </c>
      <c r="D1987" s="2">
        <v>143.0</v>
      </c>
      <c r="E1987" s="2">
        <v>1.0</v>
      </c>
      <c r="F1987" s="2">
        <v>100.0</v>
      </c>
      <c r="G1987" s="2">
        <v>146500.0</v>
      </c>
    </row>
    <row r="1988" ht="14.25" customHeight="1">
      <c r="A1988" s="2">
        <v>1987.0</v>
      </c>
      <c r="B1988" s="2" t="s">
        <v>2558</v>
      </c>
      <c r="C1988" s="2" t="s">
        <v>4487</v>
      </c>
      <c r="D1988" s="2">
        <v>357.0</v>
      </c>
      <c r="E1988" s="2">
        <v>1.0</v>
      </c>
      <c r="F1988" s="2">
        <v>60.0</v>
      </c>
      <c r="G1988" s="2">
        <v>146500.0</v>
      </c>
    </row>
    <row r="1989" ht="14.25" customHeight="1">
      <c r="A1989" s="2">
        <v>1988.0</v>
      </c>
      <c r="B1989" s="2" t="s">
        <v>2518</v>
      </c>
      <c r="C1989" s="2" t="s">
        <v>4488</v>
      </c>
      <c r="D1989" s="2">
        <v>161.0</v>
      </c>
      <c r="E1989" s="2">
        <v>1.0</v>
      </c>
      <c r="F1989" s="2">
        <v>75.0</v>
      </c>
      <c r="G1989" s="2">
        <v>146400.0</v>
      </c>
    </row>
    <row r="1990" ht="14.25" customHeight="1">
      <c r="A1990" s="2">
        <v>1989.0</v>
      </c>
      <c r="B1990" s="2" t="s">
        <v>2582</v>
      </c>
      <c r="C1990" s="2" t="s">
        <v>4489</v>
      </c>
      <c r="D1990" s="2">
        <v>183.0</v>
      </c>
      <c r="E1990" s="2">
        <v>1.0</v>
      </c>
      <c r="F1990" s="2">
        <v>50.0</v>
      </c>
      <c r="G1990" s="2">
        <v>146400.0</v>
      </c>
    </row>
    <row r="1991" ht="14.25" customHeight="1">
      <c r="A1991" s="2">
        <v>1990.0</v>
      </c>
      <c r="B1991" s="2" t="s">
        <v>2594</v>
      </c>
      <c r="C1991" s="2" t="s">
        <v>4490</v>
      </c>
      <c r="D1991" s="2">
        <v>184.0</v>
      </c>
      <c r="E1991" s="2">
        <v>1.0</v>
      </c>
      <c r="F1991" s="2">
        <v>100.0</v>
      </c>
      <c r="G1991" s="2">
        <v>146400.0</v>
      </c>
    </row>
    <row r="1992" ht="14.25" customHeight="1">
      <c r="A1992" s="2">
        <v>1991.0</v>
      </c>
      <c r="B1992" s="2" t="s">
        <v>2488</v>
      </c>
      <c r="C1992" s="2" t="s">
        <v>4491</v>
      </c>
      <c r="D1992" s="2">
        <v>333.0</v>
      </c>
      <c r="E1992" s="2">
        <v>1.0</v>
      </c>
      <c r="F1992" s="2">
        <v>50.0</v>
      </c>
      <c r="G1992" s="2">
        <v>146400.0</v>
      </c>
    </row>
    <row r="1993" ht="14.25" customHeight="1">
      <c r="A1993" s="2">
        <v>1992.0</v>
      </c>
      <c r="B1993" s="2" t="s">
        <v>2505</v>
      </c>
      <c r="C1993" s="2" t="s">
        <v>4492</v>
      </c>
      <c r="D1993" s="2">
        <v>429.0</v>
      </c>
      <c r="E1993" s="2">
        <v>1.0</v>
      </c>
      <c r="F1993" s="2">
        <v>75.0</v>
      </c>
      <c r="G1993" s="2">
        <v>146400.0</v>
      </c>
    </row>
    <row r="1994" ht="14.25" customHeight="1">
      <c r="A1994" s="2">
        <v>1993.0</v>
      </c>
      <c r="B1994" s="2" t="s">
        <v>2576</v>
      </c>
      <c r="C1994" s="2" t="s">
        <v>4493</v>
      </c>
      <c r="D1994" s="2">
        <v>197.0</v>
      </c>
      <c r="E1994" s="2">
        <v>1.0</v>
      </c>
      <c r="F1994" s="2">
        <v>100.0</v>
      </c>
      <c r="G1994" s="2">
        <v>146300.0</v>
      </c>
    </row>
    <row r="1995" ht="14.25" customHeight="1">
      <c r="A1995" s="2">
        <v>1994.0</v>
      </c>
      <c r="B1995" s="2" t="s">
        <v>2507</v>
      </c>
      <c r="C1995" s="2" t="s">
        <v>4494</v>
      </c>
      <c r="D1995" s="2">
        <v>205.0</v>
      </c>
      <c r="E1995" s="2">
        <v>1.0</v>
      </c>
      <c r="F1995" s="2">
        <v>100.0</v>
      </c>
      <c r="G1995" s="2">
        <v>146300.0</v>
      </c>
    </row>
    <row r="1996" ht="14.25" customHeight="1">
      <c r="A1996" s="2">
        <v>1995.0</v>
      </c>
      <c r="B1996" s="2" t="s">
        <v>2553</v>
      </c>
      <c r="C1996" s="2" t="s">
        <v>4495</v>
      </c>
      <c r="D1996" s="2">
        <v>187.0</v>
      </c>
      <c r="E1996" s="2">
        <v>1.0</v>
      </c>
      <c r="F1996" s="2">
        <v>150.0</v>
      </c>
      <c r="G1996" s="2">
        <v>146200.0</v>
      </c>
    </row>
    <row r="1997" ht="14.25" customHeight="1">
      <c r="A1997" s="2">
        <v>1996.0</v>
      </c>
      <c r="B1997" s="2" t="s">
        <v>2553</v>
      </c>
      <c r="C1997" s="2" t="s">
        <v>4496</v>
      </c>
      <c r="D1997" s="2">
        <v>187.0</v>
      </c>
      <c r="E1997" s="2">
        <v>1.0</v>
      </c>
      <c r="F1997" s="2">
        <v>100.0</v>
      </c>
      <c r="G1997" s="2">
        <v>146200.0</v>
      </c>
    </row>
    <row r="1998" ht="14.25" customHeight="1">
      <c r="A1998" s="2">
        <v>1997.0</v>
      </c>
      <c r="B1998" s="2" t="s">
        <v>2503</v>
      </c>
      <c r="C1998" s="2" t="s">
        <v>4497</v>
      </c>
      <c r="D1998" s="2">
        <v>105.0</v>
      </c>
      <c r="E1998" s="2">
        <v>1.0</v>
      </c>
      <c r="F1998" s="2">
        <v>100.0</v>
      </c>
      <c r="G1998" s="2">
        <v>146100.0</v>
      </c>
    </row>
    <row r="1999" ht="14.25" customHeight="1">
      <c r="A1999" s="2">
        <v>1998.0</v>
      </c>
      <c r="B1999" s="2" t="s">
        <v>2582</v>
      </c>
      <c r="C1999" s="2" t="s">
        <v>4498</v>
      </c>
      <c r="D1999" s="2">
        <v>183.0</v>
      </c>
      <c r="E1999" s="2">
        <v>1.0</v>
      </c>
      <c r="F1999" s="2">
        <v>70.0</v>
      </c>
      <c r="G1999" s="2">
        <v>146100.0</v>
      </c>
    </row>
    <row r="2000" ht="14.25" customHeight="1">
      <c r="A2000" s="2">
        <v>1999.0</v>
      </c>
      <c r="B2000" s="2" t="s">
        <v>2475</v>
      </c>
      <c r="C2000" s="2" t="s">
        <v>4499</v>
      </c>
      <c r="D2000" s="2">
        <v>143.0</v>
      </c>
      <c r="E2000" s="2">
        <v>1.0</v>
      </c>
      <c r="F2000" s="2">
        <v>60.0</v>
      </c>
      <c r="G2000" s="2">
        <v>145900.0</v>
      </c>
    </row>
    <row r="2001" ht="14.25" customHeight="1">
      <c r="A2001" s="2">
        <v>2000.0</v>
      </c>
      <c r="B2001" s="2" t="s">
        <v>2497</v>
      </c>
      <c r="C2001" s="2" t="s">
        <v>4500</v>
      </c>
      <c r="D2001" s="2">
        <v>151.0</v>
      </c>
      <c r="E2001" s="2">
        <v>1.0</v>
      </c>
      <c r="F2001" s="2">
        <v>50.0</v>
      </c>
      <c r="G2001" s="2">
        <v>145900.0</v>
      </c>
    </row>
    <row r="2002" ht="14.25" customHeight="1">
      <c r="A2002" s="2">
        <v>2001.0</v>
      </c>
      <c r="B2002" s="2" t="s">
        <v>2512</v>
      </c>
      <c r="C2002" s="2" t="s">
        <v>4501</v>
      </c>
      <c r="D2002" s="2">
        <v>153.0</v>
      </c>
      <c r="E2002" s="2">
        <v>1.0</v>
      </c>
      <c r="F2002" s="2">
        <v>100.0</v>
      </c>
      <c r="G2002" s="2">
        <v>145900.0</v>
      </c>
    </row>
    <row r="2003" ht="14.25" customHeight="1">
      <c r="A2003" s="2">
        <v>2002.0</v>
      </c>
      <c r="B2003" s="2" t="s">
        <v>2553</v>
      </c>
      <c r="C2003" s="2" t="s">
        <v>4502</v>
      </c>
      <c r="D2003" s="2">
        <v>187.0</v>
      </c>
      <c r="E2003" s="2">
        <v>1.0</v>
      </c>
      <c r="F2003" s="2">
        <v>100.0</v>
      </c>
      <c r="G2003" s="2">
        <v>145900.0</v>
      </c>
    </row>
    <row r="2004" ht="14.25" customHeight="1">
      <c r="A2004" s="2">
        <v>2003.0</v>
      </c>
      <c r="B2004" s="2" t="s">
        <v>2576</v>
      </c>
      <c r="C2004" s="2" t="s">
        <v>4503</v>
      </c>
      <c r="D2004" s="2">
        <v>197.0</v>
      </c>
      <c r="E2004" s="2">
        <v>1.0</v>
      </c>
      <c r="F2004" s="2">
        <v>100.0</v>
      </c>
      <c r="G2004" s="2">
        <v>145900.0</v>
      </c>
    </row>
    <row r="2005" ht="14.25" customHeight="1">
      <c r="A2005" s="2">
        <v>2004.0</v>
      </c>
      <c r="B2005" s="2" t="s">
        <v>2582</v>
      </c>
      <c r="C2005" s="2" t="s">
        <v>4504</v>
      </c>
      <c r="D2005" s="2">
        <v>183.0</v>
      </c>
      <c r="E2005" s="2">
        <v>1.0</v>
      </c>
      <c r="F2005" s="2">
        <v>50.0</v>
      </c>
      <c r="G2005" s="2">
        <v>145800.0</v>
      </c>
    </row>
    <row r="2006" ht="14.25" customHeight="1">
      <c r="A2006" s="2">
        <v>2005.0</v>
      </c>
      <c r="B2006" s="2" t="s">
        <v>2524</v>
      </c>
      <c r="C2006" s="2" t="s">
        <v>4505</v>
      </c>
      <c r="D2006" s="2">
        <v>331.0</v>
      </c>
      <c r="E2006" s="2">
        <v>1.0</v>
      </c>
      <c r="F2006" s="2">
        <v>100.0</v>
      </c>
      <c r="G2006" s="2">
        <v>145800.0</v>
      </c>
    </row>
    <row r="2007" ht="14.25" customHeight="1">
      <c r="A2007" s="2">
        <v>2006.0</v>
      </c>
      <c r="B2007" s="2" t="s">
        <v>2497</v>
      </c>
      <c r="C2007" s="2" t="s">
        <v>4506</v>
      </c>
      <c r="D2007" s="2">
        <v>151.0</v>
      </c>
      <c r="E2007" s="2">
        <v>1.0</v>
      </c>
      <c r="F2007" s="2">
        <v>70.0</v>
      </c>
      <c r="G2007" s="2">
        <v>145700.0</v>
      </c>
    </row>
    <row r="2008" ht="14.25" customHeight="1">
      <c r="A2008" s="2">
        <v>2007.0</v>
      </c>
      <c r="B2008" s="2" t="s">
        <v>2558</v>
      </c>
      <c r="C2008" s="2" t="s">
        <v>4507</v>
      </c>
      <c r="D2008" s="2">
        <v>357.0</v>
      </c>
      <c r="E2008" s="2">
        <v>1.0</v>
      </c>
      <c r="F2008" s="2">
        <v>50.0</v>
      </c>
      <c r="G2008" s="2">
        <v>145700.0</v>
      </c>
    </row>
    <row r="2009" ht="14.25" customHeight="1">
      <c r="A2009" s="2">
        <v>2008.0</v>
      </c>
      <c r="B2009" s="2" t="s">
        <v>2518</v>
      </c>
      <c r="C2009" s="2" t="s">
        <v>4508</v>
      </c>
      <c r="D2009" s="2">
        <v>161.0</v>
      </c>
      <c r="E2009" s="2">
        <v>1.0</v>
      </c>
      <c r="F2009" s="2">
        <v>50.0</v>
      </c>
      <c r="G2009" s="2">
        <v>145600.0</v>
      </c>
    </row>
    <row r="2010" ht="14.25" customHeight="1">
      <c r="A2010" s="2">
        <v>2009.0</v>
      </c>
      <c r="B2010" s="2" t="s">
        <v>2534</v>
      </c>
      <c r="C2010" s="2" t="s">
        <v>4509</v>
      </c>
      <c r="D2010" s="2">
        <v>188.0</v>
      </c>
      <c r="E2010" s="2">
        <v>1.0</v>
      </c>
      <c r="F2010" s="2">
        <v>60.0</v>
      </c>
      <c r="G2010" s="2">
        <v>145600.0</v>
      </c>
    </row>
    <row r="2011" ht="14.25" customHeight="1">
      <c r="A2011" s="2">
        <v>2010.0</v>
      </c>
      <c r="B2011" s="2" t="s">
        <v>2604</v>
      </c>
      <c r="C2011" s="2" t="s">
        <v>4510</v>
      </c>
      <c r="D2011" s="2">
        <v>200.0</v>
      </c>
      <c r="E2011" s="2">
        <v>1.0</v>
      </c>
      <c r="F2011" s="2">
        <v>150.0</v>
      </c>
      <c r="G2011" s="2">
        <v>145600.0</v>
      </c>
    </row>
    <row r="2012" ht="14.25" customHeight="1">
      <c r="A2012" s="2">
        <v>2011.0</v>
      </c>
      <c r="B2012" s="2" t="s">
        <v>2604</v>
      </c>
      <c r="C2012" s="2" t="s">
        <v>4511</v>
      </c>
      <c r="D2012" s="2">
        <v>200.0</v>
      </c>
      <c r="E2012" s="2">
        <v>1.0</v>
      </c>
      <c r="F2012" s="2">
        <v>75.0</v>
      </c>
      <c r="G2012" s="2">
        <v>145600.0</v>
      </c>
    </row>
    <row r="2013" ht="14.25" customHeight="1">
      <c r="A2013" s="2">
        <v>2012.0</v>
      </c>
      <c r="B2013" s="2" t="s">
        <v>2621</v>
      </c>
      <c r="C2013" s="2" t="s">
        <v>4512</v>
      </c>
      <c r="D2013" s="2">
        <v>403.0</v>
      </c>
      <c r="E2013" s="2">
        <v>1.0</v>
      </c>
      <c r="F2013" s="2">
        <v>100.0</v>
      </c>
      <c r="G2013" s="2">
        <v>145600.0</v>
      </c>
    </row>
    <row r="2014" ht="14.25" customHeight="1">
      <c r="A2014" s="2">
        <v>2013.0</v>
      </c>
      <c r="B2014" s="2" t="s">
        <v>2561</v>
      </c>
      <c r="C2014" s="2" t="s">
        <v>4513</v>
      </c>
      <c r="D2014" s="2">
        <v>162.0</v>
      </c>
      <c r="E2014" s="2">
        <v>1.0</v>
      </c>
      <c r="F2014" s="2">
        <v>85.0</v>
      </c>
      <c r="G2014" s="2">
        <v>145500.0</v>
      </c>
    </row>
    <row r="2015" ht="14.25" customHeight="1">
      <c r="A2015" s="2">
        <v>2014.0</v>
      </c>
      <c r="B2015" s="2" t="s">
        <v>2571</v>
      </c>
      <c r="C2015" s="2" t="s">
        <v>4514</v>
      </c>
      <c r="D2015" s="2">
        <v>185.0</v>
      </c>
      <c r="E2015" s="2">
        <v>1.0</v>
      </c>
      <c r="F2015" s="2">
        <v>100.0</v>
      </c>
      <c r="G2015" s="2">
        <v>145500.0</v>
      </c>
    </row>
    <row r="2016" ht="14.25" customHeight="1">
      <c r="A2016" s="2">
        <v>2015.0</v>
      </c>
      <c r="B2016" s="2" t="s">
        <v>2497</v>
      </c>
      <c r="C2016" s="2" t="s">
        <v>4515</v>
      </c>
      <c r="D2016" s="2">
        <v>151.0</v>
      </c>
      <c r="E2016" s="2">
        <v>1.0</v>
      </c>
      <c r="F2016" s="2">
        <v>150.0</v>
      </c>
      <c r="G2016" s="2">
        <v>145400.0</v>
      </c>
    </row>
    <row r="2017" ht="14.25" customHeight="1">
      <c r="A2017" s="2">
        <v>2016.0</v>
      </c>
      <c r="B2017" s="2" t="s">
        <v>2571</v>
      </c>
      <c r="C2017" s="2" t="s">
        <v>4516</v>
      </c>
      <c r="D2017" s="2">
        <v>185.0</v>
      </c>
      <c r="E2017" s="2">
        <v>1.0</v>
      </c>
      <c r="F2017" s="2">
        <v>100.0</v>
      </c>
      <c r="G2017" s="2">
        <v>145400.0</v>
      </c>
    </row>
    <row r="2018" ht="14.25" customHeight="1">
      <c r="A2018" s="2">
        <v>2017.0</v>
      </c>
      <c r="B2018" s="2" t="s">
        <v>2534</v>
      </c>
      <c r="C2018" s="2" t="s">
        <v>4517</v>
      </c>
      <c r="D2018" s="2">
        <v>188.0</v>
      </c>
      <c r="E2018" s="2">
        <v>1.0</v>
      </c>
      <c r="F2018" s="2">
        <v>85.0</v>
      </c>
      <c r="G2018" s="2">
        <v>145400.0</v>
      </c>
    </row>
    <row r="2019" ht="14.25" customHeight="1">
      <c r="A2019" s="2">
        <v>2018.0</v>
      </c>
      <c r="B2019" s="2" t="s">
        <v>2501</v>
      </c>
      <c r="C2019" s="2" t="s">
        <v>4518</v>
      </c>
      <c r="D2019" s="2">
        <v>199.0</v>
      </c>
      <c r="E2019" s="2">
        <v>1.0</v>
      </c>
      <c r="F2019" s="2">
        <v>100.0</v>
      </c>
      <c r="G2019" s="2">
        <v>145400.0</v>
      </c>
    </row>
    <row r="2020" ht="14.25" customHeight="1">
      <c r="A2020" s="2">
        <v>2019.0</v>
      </c>
      <c r="B2020" s="2" t="s">
        <v>2479</v>
      </c>
      <c r="C2020" s="2" t="s">
        <v>4519</v>
      </c>
      <c r="D2020" s="2">
        <v>182.0</v>
      </c>
      <c r="E2020" s="2">
        <v>1.0</v>
      </c>
      <c r="F2020" s="2">
        <v>60.0</v>
      </c>
      <c r="G2020" s="2">
        <v>145300.0</v>
      </c>
    </row>
    <row r="2021" ht="14.25" customHeight="1">
      <c r="A2021" s="2">
        <v>2020.0</v>
      </c>
      <c r="B2021" s="2" t="s">
        <v>2549</v>
      </c>
      <c r="C2021" s="2" t="s">
        <v>4520</v>
      </c>
      <c r="D2021" s="2">
        <v>115.0</v>
      </c>
      <c r="E2021" s="2">
        <v>1.0</v>
      </c>
      <c r="F2021" s="2">
        <v>120.0</v>
      </c>
      <c r="G2021" s="2">
        <v>145200.0</v>
      </c>
    </row>
    <row r="2022" ht="14.25" customHeight="1">
      <c r="A2022" s="2">
        <v>2021.0</v>
      </c>
      <c r="B2022" s="2" t="s">
        <v>2541</v>
      </c>
      <c r="C2022" s="2" t="s">
        <v>4521</v>
      </c>
      <c r="D2022" s="2">
        <v>195.0</v>
      </c>
      <c r="E2022" s="2">
        <v>1.0</v>
      </c>
      <c r="F2022" s="2">
        <v>75.0</v>
      </c>
      <c r="G2022" s="2">
        <v>145200.0</v>
      </c>
    </row>
    <row r="2023" ht="14.25" customHeight="1">
      <c r="A2023" s="2">
        <v>2022.0</v>
      </c>
      <c r="B2023" s="2" t="s">
        <v>2621</v>
      </c>
      <c r="C2023" s="2" t="s">
        <v>4522</v>
      </c>
      <c r="D2023" s="2">
        <v>403.0</v>
      </c>
      <c r="E2023" s="2">
        <v>1.0</v>
      </c>
      <c r="F2023" s="2">
        <v>150.0</v>
      </c>
      <c r="G2023" s="2">
        <v>145200.0</v>
      </c>
    </row>
    <row r="2024" ht="14.25" customHeight="1">
      <c r="A2024" s="2">
        <v>2023.0</v>
      </c>
      <c r="B2024" s="2" t="s">
        <v>2518</v>
      </c>
      <c r="C2024" s="2" t="s">
        <v>4523</v>
      </c>
      <c r="D2024" s="2">
        <v>161.0</v>
      </c>
      <c r="E2024" s="2">
        <v>1.0</v>
      </c>
      <c r="F2024" s="2">
        <v>75.0</v>
      </c>
      <c r="G2024" s="2">
        <v>145100.0</v>
      </c>
    </row>
    <row r="2025" ht="14.25" customHeight="1">
      <c r="A2025" s="2">
        <v>2024.0</v>
      </c>
      <c r="B2025" s="2" t="s">
        <v>2621</v>
      </c>
      <c r="C2025" s="2" t="s">
        <v>4524</v>
      </c>
      <c r="D2025" s="2">
        <v>403.0</v>
      </c>
      <c r="E2025" s="2">
        <v>1.0</v>
      </c>
      <c r="F2025" s="2">
        <v>132.0</v>
      </c>
      <c r="G2025" s="2">
        <v>145100.0</v>
      </c>
    </row>
    <row r="2026" ht="14.25" customHeight="1">
      <c r="A2026" s="2">
        <v>2025.0</v>
      </c>
      <c r="B2026" s="2" t="s">
        <v>2503</v>
      </c>
      <c r="C2026" s="2" t="s">
        <v>4525</v>
      </c>
      <c r="D2026" s="2">
        <v>105.0</v>
      </c>
      <c r="E2026" s="2">
        <v>1.0</v>
      </c>
      <c r="F2026" s="2">
        <v>75.0</v>
      </c>
      <c r="G2026" s="2">
        <v>145000.0</v>
      </c>
    </row>
    <row r="2027" ht="14.25" customHeight="1">
      <c r="A2027" s="2">
        <v>2026.0</v>
      </c>
      <c r="B2027" s="2" t="s">
        <v>2549</v>
      </c>
      <c r="C2027" s="2" t="s">
        <v>4526</v>
      </c>
      <c r="D2027" s="2">
        <v>115.0</v>
      </c>
      <c r="E2027" s="2">
        <v>1.0</v>
      </c>
      <c r="F2027" s="2">
        <v>100.0</v>
      </c>
      <c r="G2027" s="2">
        <v>145000.0</v>
      </c>
    </row>
    <row r="2028" ht="14.25" customHeight="1">
      <c r="A2028" s="2">
        <v>2027.0</v>
      </c>
      <c r="B2028" s="2" t="s">
        <v>2594</v>
      </c>
      <c r="C2028" s="2" t="s">
        <v>4527</v>
      </c>
      <c r="D2028" s="2">
        <v>184.0</v>
      </c>
      <c r="E2028" s="2">
        <v>1.0</v>
      </c>
      <c r="F2028" s="2">
        <v>100.0</v>
      </c>
      <c r="G2028" s="2">
        <v>145000.0</v>
      </c>
    </row>
    <row r="2029" ht="14.25" customHeight="1">
      <c r="A2029" s="2">
        <v>2028.0</v>
      </c>
      <c r="B2029" s="2" t="s">
        <v>2534</v>
      </c>
      <c r="C2029" s="2" t="s">
        <v>4528</v>
      </c>
      <c r="D2029" s="2">
        <v>188.0</v>
      </c>
      <c r="E2029" s="2">
        <v>1.0</v>
      </c>
      <c r="F2029" s="2">
        <v>100.0</v>
      </c>
      <c r="G2029" s="2">
        <v>145000.0</v>
      </c>
    </row>
    <row r="2030" ht="14.25" customHeight="1">
      <c r="A2030" s="2">
        <v>2029.0</v>
      </c>
      <c r="B2030" s="2" t="s">
        <v>2604</v>
      </c>
      <c r="C2030" s="2" t="s">
        <v>4529</v>
      </c>
      <c r="D2030" s="2">
        <v>200.0</v>
      </c>
      <c r="E2030" s="2">
        <v>1.0</v>
      </c>
      <c r="F2030" s="2">
        <v>100.0</v>
      </c>
      <c r="G2030" s="2">
        <v>145000.0</v>
      </c>
    </row>
    <row r="2031" ht="14.25" customHeight="1">
      <c r="A2031" s="2">
        <v>2030.0</v>
      </c>
      <c r="B2031" s="2" t="s">
        <v>2497</v>
      </c>
      <c r="C2031" s="2" t="s">
        <v>4530</v>
      </c>
      <c r="D2031" s="2">
        <v>151.0</v>
      </c>
      <c r="E2031" s="2">
        <v>1.0</v>
      </c>
      <c r="F2031" s="2">
        <v>75.0</v>
      </c>
      <c r="G2031" s="2">
        <v>144900.0</v>
      </c>
    </row>
    <row r="2032" ht="14.25" customHeight="1">
      <c r="A2032" s="2">
        <v>2031.0</v>
      </c>
      <c r="B2032" s="2" t="s">
        <v>2518</v>
      </c>
      <c r="C2032" s="2" t="s">
        <v>4531</v>
      </c>
      <c r="D2032" s="2">
        <v>161.0</v>
      </c>
      <c r="E2032" s="2">
        <v>1.0</v>
      </c>
      <c r="F2032" s="2">
        <v>100.0</v>
      </c>
      <c r="G2032" s="2">
        <v>144900.0</v>
      </c>
    </row>
    <row r="2033" ht="14.25" customHeight="1">
      <c r="A2033" s="2">
        <v>2032.0</v>
      </c>
      <c r="B2033" s="2" t="s">
        <v>2534</v>
      </c>
      <c r="C2033" s="2" t="s">
        <v>4532</v>
      </c>
      <c r="D2033" s="2">
        <v>188.0</v>
      </c>
      <c r="E2033" s="2">
        <v>1.0</v>
      </c>
      <c r="F2033" s="2">
        <v>100.0</v>
      </c>
      <c r="G2033" s="2">
        <v>144800.0</v>
      </c>
    </row>
    <row r="2034" ht="14.25" customHeight="1">
      <c r="A2034" s="2">
        <v>2033.0</v>
      </c>
      <c r="B2034" s="2" t="s">
        <v>2501</v>
      </c>
      <c r="C2034" s="2" t="s">
        <v>4533</v>
      </c>
      <c r="D2034" s="2">
        <v>199.0</v>
      </c>
      <c r="E2034" s="2">
        <v>1.0</v>
      </c>
      <c r="F2034" s="2">
        <v>66.0</v>
      </c>
      <c r="G2034" s="2">
        <v>144800.0</v>
      </c>
    </row>
    <row r="2035" ht="14.25" customHeight="1">
      <c r="A2035" s="2">
        <v>2034.0</v>
      </c>
      <c r="B2035" s="2" t="s">
        <v>2524</v>
      </c>
      <c r="C2035" s="2" t="s">
        <v>4534</v>
      </c>
      <c r="D2035" s="2">
        <v>331.0</v>
      </c>
      <c r="E2035" s="2">
        <v>1.0</v>
      </c>
      <c r="F2035" s="2">
        <v>150.0</v>
      </c>
      <c r="G2035" s="2">
        <v>144800.0</v>
      </c>
    </row>
    <row r="2036" ht="14.25" customHeight="1">
      <c r="A2036" s="2">
        <v>2035.0</v>
      </c>
      <c r="B2036" s="2" t="s">
        <v>2488</v>
      </c>
      <c r="C2036" s="2" t="s">
        <v>4535</v>
      </c>
      <c r="D2036" s="2">
        <v>333.0</v>
      </c>
      <c r="E2036" s="2">
        <v>1.0</v>
      </c>
      <c r="F2036" s="2">
        <v>50.0</v>
      </c>
      <c r="G2036" s="2">
        <v>144800.0</v>
      </c>
    </row>
    <row r="2037" ht="14.25" customHeight="1">
      <c r="A2037" s="2">
        <v>2036.0</v>
      </c>
      <c r="B2037" s="2" t="s">
        <v>2488</v>
      </c>
      <c r="C2037" s="2" t="s">
        <v>4536</v>
      </c>
      <c r="D2037" s="2">
        <v>333.0</v>
      </c>
      <c r="E2037" s="2">
        <v>1.0</v>
      </c>
      <c r="F2037" s="2">
        <v>50.0</v>
      </c>
      <c r="G2037" s="2">
        <v>144800.0</v>
      </c>
    </row>
    <row r="2038" ht="14.25" customHeight="1">
      <c r="A2038" s="2">
        <v>2037.0</v>
      </c>
      <c r="B2038" s="2" t="s">
        <v>2505</v>
      </c>
      <c r="C2038" s="2" t="s">
        <v>4537</v>
      </c>
      <c r="D2038" s="2">
        <v>429.0</v>
      </c>
      <c r="E2038" s="2">
        <v>1.0</v>
      </c>
      <c r="F2038" s="2">
        <v>86.0</v>
      </c>
      <c r="G2038" s="2">
        <v>144800.0</v>
      </c>
    </row>
    <row r="2039" ht="14.25" customHeight="1">
      <c r="A2039" s="2">
        <v>2038.0</v>
      </c>
      <c r="B2039" s="2" t="s">
        <v>2518</v>
      </c>
      <c r="C2039" s="2" t="s">
        <v>4538</v>
      </c>
      <c r="D2039" s="2">
        <v>161.0</v>
      </c>
      <c r="E2039" s="2">
        <v>1.0</v>
      </c>
      <c r="F2039" s="2">
        <v>75.0</v>
      </c>
      <c r="G2039" s="2">
        <v>144700.0</v>
      </c>
    </row>
    <row r="2040" ht="14.25" customHeight="1">
      <c r="A2040" s="2">
        <v>2039.0</v>
      </c>
      <c r="B2040" s="2" t="s">
        <v>2561</v>
      </c>
      <c r="C2040" s="2" t="s">
        <v>4539</v>
      </c>
      <c r="D2040" s="2">
        <v>162.0</v>
      </c>
      <c r="E2040" s="2">
        <v>1.0</v>
      </c>
      <c r="F2040" s="2">
        <v>100.0</v>
      </c>
      <c r="G2040" s="2">
        <v>144700.0</v>
      </c>
    </row>
    <row r="2041" ht="14.25" customHeight="1">
      <c r="A2041" s="2">
        <v>2040.0</v>
      </c>
      <c r="B2041" s="2" t="s">
        <v>2744</v>
      </c>
      <c r="C2041" s="2" t="s">
        <v>4540</v>
      </c>
      <c r="D2041" s="2">
        <v>169.0</v>
      </c>
      <c r="E2041" s="2">
        <v>1.0</v>
      </c>
      <c r="F2041" s="2">
        <v>90.0</v>
      </c>
      <c r="G2041" s="2">
        <v>144700.0</v>
      </c>
    </row>
    <row r="2042" ht="14.25" customHeight="1">
      <c r="A2042" s="2">
        <v>2041.0</v>
      </c>
      <c r="B2042" s="2" t="s">
        <v>2582</v>
      </c>
      <c r="C2042" s="2" t="s">
        <v>4541</v>
      </c>
      <c r="D2042" s="2">
        <v>183.0</v>
      </c>
      <c r="E2042" s="2">
        <v>1.0</v>
      </c>
      <c r="F2042" s="2">
        <v>90.0</v>
      </c>
      <c r="G2042" s="2">
        <v>144700.0</v>
      </c>
    </row>
    <row r="2043" ht="14.25" customHeight="1">
      <c r="A2043" s="2">
        <v>2042.0</v>
      </c>
      <c r="B2043" s="2" t="s">
        <v>2945</v>
      </c>
      <c r="C2043" s="2" t="s">
        <v>4542</v>
      </c>
      <c r="D2043" s="2">
        <v>619.0</v>
      </c>
      <c r="E2043" s="2">
        <v>1.0</v>
      </c>
      <c r="F2043" s="2">
        <v>60.0</v>
      </c>
      <c r="G2043" s="2">
        <v>144700.0</v>
      </c>
    </row>
    <row r="2044" ht="14.25" customHeight="1">
      <c r="A2044" s="2">
        <v>2043.0</v>
      </c>
      <c r="B2044" s="2" t="s">
        <v>2594</v>
      </c>
      <c r="C2044" s="2" t="s">
        <v>4543</v>
      </c>
      <c r="D2044" s="2">
        <v>184.0</v>
      </c>
      <c r="E2044" s="2">
        <v>1.0</v>
      </c>
      <c r="F2044" s="2">
        <v>55.0</v>
      </c>
      <c r="G2044" s="2">
        <v>144600.0</v>
      </c>
    </row>
    <row r="2045" ht="14.25" customHeight="1">
      <c r="A2045" s="2">
        <v>2044.0</v>
      </c>
      <c r="B2045" s="2" t="s">
        <v>2501</v>
      </c>
      <c r="C2045" s="2" t="s">
        <v>4544</v>
      </c>
      <c r="D2045" s="2">
        <v>199.0</v>
      </c>
      <c r="E2045" s="2">
        <v>1.0</v>
      </c>
      <c r="F2045" s="2">
        <v>50.0</v>
      </c>
      <c r="G2045" s="2">
        <v>144600.0</v>
      </c>
    </row>
    <row r="2046" ht="14.25" customHeight="1">
      <c r="A2046" s="2">
        <v>2045.0</v>
      </c>
      <c r="B2046" s="2" t="s">
        <v>2524</v>
      </c>
      <c r="C2046" s="2" t="s">
        <v>4545</v>
      </c>
      <c r="D2046" s="2">
        <v>331.0</v>
      </c>
      <c r="E2046" s="2">
        <v>1.0</v>
      </c>
      <c r="F2046" s="2">
        <v>60.0</v>
      </c>
      <c r="G2046" s="2">
        <v>144500.0</v>
      </c>
    </row>
    <row r="2047" ht="14.25" customHeight="1">
      <c r="A2047" s="2">
        <v>2046.0</v>
      </c>
      <c r="B2047" s="2" t="s">
        <v>2534</v>
      </c>
      <c r="C2047" s="2" t="s">
        <v>4546</v>
      </c>
      <c r="D2047" s="2">
        <v>188.0</v>
      </c>
      <c r="E2047" s="2">
        <v>1.0</v>
      </c>
      <c r="F2047" s="2">
        <v>50.0</v>
      </c>
      <c r="G2047" s="2">
        <v>144300.0</v>
      </c>
    </row>
    <row r="2048" ht="14.25" customHeight="1">
      <c r="A2048" s="2">
        <v>2047.0</v>
      </c>
      <c r="B2048" s="2" t="s">
        <v>2534</v>
      </c>
      <c r="C2048" s="2" t="s">
        <v>4547</v>
      </c>
      <c r="D2048" s="2">
        <v>188.0</v>
      </c>
      <c r="E2048" s="2">
        <v>1.0</v>
      </c>
      <c r="F2048" s="2">
        <v>100.0</v>
      </c>
      <c r="G2048" s="2">
        <v>144300.0</v>
      </c>
    </row>
    <row r="2049" ht="14.25" customHeight="1">
      <c r="A2049" s="2">
        <v>2048.0</v>
      </c>
      <c r="B2049" s="2" t="s">
        <v>2744</v>
      </c>
      <c r="C2049" s="2" t="s">
        <v>4548</v>
      </c>
      <c r="D2049" s="2">
        <v>169.0</v>
      </c>
      <c r="E2049" s="2">
        <v>1.0</v>
      </c>
      <c r="F2049" s="2">
        <v>120.0</v>
      </c>
      <c r="G2049" s="2">
        <v>144200.0</v>
      </c>
    </row>
    <row r="2050" ht="14.25" customHeight="1">
      <c r="A2050" s="2">
        <v>2049.0</v>
      </c>
      <c r="B2050" s="2" t="s">
        <v>2477</v>
      </c>
      <c r="C2050" s="2" t="s">
        <v>4549</v>
      </c>
      <c r="D2050" s="2">
        <v>152.0</v>
      </c>
      <c r="E2050" s="2">
        <v>1.0</v>
      </c>
      <c r="F2050" s="2">
        <v>65.0</v>
      </c>
      <c r="G2050" s="2">
        <v>144100.0</v>
      </c>
    </row>
    <row r="2051" ht="14.25" customHeight="1">
      <c r="A2051" s="2">
        <v>2050.0</v>
      </c>
      <c r="B2051" s="2" t="s">
        <v>2604</v>
      </c>
      <c r="C2051" s="2" t="s">
        <v>4550</v>
      </c>
      <c r="D2051" s="2">
        <v>200.0</v>
      </c>
      <c r="E2051" s="2">
        <v>1.0</v>
      </c>
      <c r="F2051" s="2">
        <v>75.0</v>
      </c>
      <c r="G2051" s="2">
        <v>144100.0</v>
      </c>
    </row>
    <row r="2052" ht="14.25" customHeight="1">
      <c r="A2052" s="2">
        <v>2051.0</v>
      </c>
      <c r="B2052" s="2" t="s">
        <v>2558</v>
      </c>
      <c r="C2052" s="2" t="s">
        <v>4551</v>
      </c>
      <c r="D2052" s="2">
        <v>357.0</v>
      </c>
      <c r="E2052" s="2">
        <v>1.0</v>
      </c>
      <c r="F2052" s="2">
        <v>50.0</v>
      </c>
      <c r="G2052" s="2">
        <v>144100.0</v>
      </c>
    </row>
    <row r="2053" ht="14.25" customHeight="1">
      <c r="A2053" s="2">
        <v>2052.0</v>
      </c>
      <c r="B2053" s="2" t="s">
        <v>2558</v>
      </c>
      <c r="C2053" s="2" t="s">
        <v>4552</v>
      </c>
      <c r="D2053" s="2">
        <v>357.0</v>
      </c>
      <c r="E2053" s="2">
        <v>1.0</v>
      </c>
      <c r="F2053" s="2">
        <v>90.0</v>
      </c>
      <c r="G2053" s="2">
        <v>144100.0</v>
      </c>
    </row>
    <row r="2054" ht="14.25" customHeight="1">
      <c r="A2054" s="2">
        <v>2053.0</v>
      </c>
      <c r="B2054" s="2" t="s">
        <v>2503</v>
      </c>
      <c r="C2054" s="2" t="s">
        <v>4553</v>
      </c>
      <c r="D2054" s="2">
        <v>105.0</v>
      </c>
      <c r="E2054" s="2">
        <v>1.0</v>
      </c>
      <c r="F2054" s="2">
        <v>272.7</v>
      </c>
      <c r="G2054" s="2">
        <v>144000.0</v>
      </c>
    </row>
    <row r="2055" ht="14.25" customHeight="1">
      <c r="A2055" s="2">
        <v>2054.0</v>
      </c>
      <c r="B2055" s="2" t="s">
        <v>2686</v>
      </c>
      <c r="C2055" s="2" t="s">
        <v>4554</v>
      </c>
      <c r="D2055" s="2">
        <v>127.0</v>
      </c>
      <c r="E2055" s="2">
        <v>1.0</v>
      </c>
      <c r="F2055" s="2">
        <v>150.0</v>
      </c>
      <c r="G2055" s="2">
        <v>144000.0</v>
      </c>
    </row>
    <row r="2056" ht="14.25" customHeight="1">
      <c r="A2056" s="2">
        <v>2055.0</v>
      </c>
      <c r="B2056" s="2" t="s">
        <v>2686</v>
      </c>
      <c r="C2056" s="2" t="s">
        <v>4555</v>
      </c>
      <c r="D2056" s="2">
        <v>127.0</v>
      </c>
      <c r="E2056" s="2">
        <v>1.0</v>
      </c>
      <c r="F2056" s="2">
        <v>75.0</v>
      </c>
      <c r="G2056" s="2">
        <v>144000.0</v>
      </c>
    </row>
    <row r="2057" ht="14.25" customHeight="1">
      <c r="A2057" s="2">
        <v>2056.0</v>
      </c>
      <c r="B2057" s="2" t="s">
        <v>2686</v>
      </c>
      <c r="C2057" s="2" t="s">
        <v>4556</v>
      </c>
      <c r="D2057" s="2">
        <v>127.0</v>
      </c>
      <c r="E2057" s="2">
        <v>1.0</v>
      </c>
      <c r="F2057" s="2">
        <v>120.0</v>
      </c>
      <c r="G2057" s="2">
        <v>144000.0</v>
      </c>
    </row>
    <row r="2058" ht="14.25" customHeight="1">
      <c r="A2058" s="2">
        <v>2057.0</v>
      </c>
      <c r="B2058" s="2" t="s">
        <v>2518</v>
      </c>
      <c r="C2058" s="2" t="s">
        <v>4557</v>
      </c>
      <c r="D2058" s="2">
        <v>161.0</v>
      </c>
      <c r="E2058" s="2">
        <v>1.0</v>
      </c>
      <c r="F2058" s="2">
        <v>75.0</v>
      </c>
      <c r="G2058" s="2">
        <v>144000.0</v>
      </c>
    </row>
    <row r="2059" ht="14.25" customHeight="1">
      <c r="A2059" s="2">
        <v>2058.0</v>
      </c>
      <c r="B2059" s="2" t="s">
        <v>2534</v>
      </c>
      <c r="C2059" s="2" t="s">
        <v>4558</v>
      </c>
      <c r="D2059" s="2">
        <v>188.0</v>
      </c>
      <c r="E2059" s="2">
        <v>1.0</v>
      </c>
      <c r="F2059" s="2">
        <v>125.0</v>
      </c>
      <c r="G2059" s="2">
        <v>144000.0</v>
      </c>
    </row>
    <row r="2060" ht="14.25" customHeight="1">
      <c r="A2060" s="2">
        <v>2059.0</v>
      </c>
      <c r="B2060" s="2" t="s">
        <v>2576</v>
      </c>
      <c r="C2060" s="2" t="s">
        <v>4559</v>
      </c>
      <c r="D2060" s="2">
        <v>197.0</v>
      </c>
      <c r="E2060" s="2">
        <v>1.0</v>
      </c>
      <c r="F2060" s="2">
        <v>175.0</v>
      </c>
      <c r="G2060" s="2">
        <v>144000.0</v>
      </c>
    </row>
    <row r="2061" ht="14.25" customHeight="1">
      <c r="A2061" s="2">
        <v>2060.0</v>
      </c>
      <c r="B2061" s="2" t="s">
        <v>2558</v>
      </c>
      <c r="C2061" s="2" t="s">
        <v>4560</v>
      </c>
      <c r="D2061" s="2">
        <v>357.0</v>
      </c>
      <c r="E2061" s="2">
        <v>1.0</v>
      </c>
      <c r="F2061" s="2">
        <v>66.0</v>
      </c>
      <c r="G2061" s="2">
        <v>143900.0</v>
      </c>
    </row>
    <row r="2062" ht="14.25" customHeight="1">
      <c r="A2062" s="2">
        <v>2061.0</v>
      </c>
      <c r="B2062" s="2" t="s">
        <v>2945</v>
      </c>
      <c r="C2062" s="2" t="s">
        <v>4561</v>
      </c>
      <c r="D2062" s="2">
        <v>619.0</v>
      </c>
      <c r="E2062" s="2">
        <v>1.0</v>
      </c>
      <c r="F2062" s="2">
        <v>60.0</v>
      </c>
      <c r="G2062" s="2">
        <v>143900.0</v>
      </c>
    </row>
    <row r="2063" ht="14.25" customHeight="1">
      <c r="A2063" s="2">
        <v>2062.0</v>
      </c>
      <c r="B2063" s="2" t="s">
        <v>2561</v>
      </c>
      <c r="C2063" s="2" t="s">
        <v>4562</v>
      </c>
      <c r="D2063" s="2">
        <v>162.0</v>
      </c>
      <c r="E2063" s="2">
        <v>1.0</v>
      </c>
      <c r="F2063" s="2">
        <v>100.0</v>
      </c>
      <c r="G2063" s="2">
        <v>143800.0</v>
      </c>
    </row>
    <row r="2064" ht="14.25" customHeight="1">
      <c r="A2064" s="2">
        <v>2063.0</v>
      </c>
      <c r="B2064" s="2" t="s">
        <v>2744</v>
      </c>
      <c r="C2064" s="2" t="s">
        <v>4563</v>
      </c>
      <c r="D2064" s="2">
        <v>169.0</v>
      </c>
      <c r="E2064" s="2">
        <v>1.0</v>
      </c>
      <c r="F2064" s="2">
        <v>160.0</v>
      </c>
      <c r="G2064" s="2">
        <v>143800.0</v>
      </c>
    </row>
    <row r="2065" ht="14.25" customHeight="1">
      <c r="A2065" s="2">
        <v>2064.0</v>
      </c>
      <c r="B2065" s="2" t="s">
        <v>2479</v>
      </c>
      <c r="C2065" s="2" t="s">
        <v>4564</v>
      </c>
      <c r="D2065" s="2">
        <v>182.0</v>
      </c>
      <c r="E2065" s="2">
        <v>1.0</v>
      </c>
      <c r="F2065" s="2">
        <v>100.0</v>
      </c>
      <c r="G2065" s="2">
        <v>143800.0</v>
      </c>
    </row>
    <row r="2066" ht="14.25" customHeight="1">
      <c r="A2066" s="2">
        <v>2065.0</v>
      </c>
      <c r="B2066" s="2" t="s">
        <v>2541</v>
      </c>
      <c r="C2066" s="2" t="s">
        <v>4565</v>
      </c>
      <c r="D2066" s="2">
        <v>195.0</v>
      </c>
      <c r="E2066" s="2">
        <v>1.0</v>
      </c>
      <c r="F2066" s="2">
        <v>85.0</v>
      </c>
      <c r="G2066" s="2">
        <v>143800.0</v>
      </c>
    </row>
    <row r="2067" ht="14.25" customHeight="1">
      <c r="A2067" s="2">
        <v>2066.0</v>
      </c>
      <c r="B2067" s="2" t="s">
        <v>2507</v>
      </c>
      <c r="C2067" s="2" t="s">
        <v>4566</v>
      </c>
      <c r="D2067" s="2">
        <v>205.0</v>
      </c>
      <c r="E2067" s="2">
        <v>1.0</v>
      </c>
      <c r="F2067" s="2">
        <v>100.0</v>
      </c>
      <c r="G2067" s="2">
        <v>143800.0</v>
      </c>
    </row>
    <row r="2068" ht="14.25" customHeight="1">
      <c r="A2068" s="2">
        <v>2067.0</v>
      </c>
      <c r="B2068" s="2" t="s">
        <v>2488</v>
      </c>
      <c r="C2068" s="2" t="s">
        <v>3410</v>
      </c>
      <c r="D2068" s="2">
        <v>333.0</v>
      </c>
      <c r="E2068" s="2">
        <v>1.0</v>
      </c>
      <c r="F2068" s="2">
        <v>80.0</v>
      </c>
      <c r="G2068" s="2">
        <v>143800.0</v>
      </c>
    </row>
    <row r="2069" ht="14.25" customHeight="1">
      <c r="A2069" s="2">
        <v>2068.0</v>
      </c>
      <c r="B2069" s="2" t="s">
        <v>2549</v>
      </c>
      <c r="C2069" s="2" t="s">
        <v>4567</v>
      </c>
      <c r="D2069" s="2">
        <v>115.0</v>
      </c>
      <c r="E2069" s="2">
        <v>1.0</v>
      </c>
      <c r="F2069" s="2">
        <v>50.0</v>
      </c>
      <c r="G2069" s="2">
        <v>143700.0</v>
      </c>
    </row>
    <row r="2070" ht="14.25" customHeight="1">
      <c r="A2070" s="2">
        <v>2069.0</v>
      </c>
      <c r="B2070" s="2" t="s">
        <v>2512</v>
      </c>
      <c r="C2070" s="2" t="s">
        <v>4568</v>
      </c>
      <c r="D2070" s="2">
        <v>153.0</v>
      </c>
      <c r="E2070" s="2">
        <v>1.0</v>
      </c>
      <c r="F2070" s="2">
        <v>85.0</v>
      </c>
      <c r="G2070" s="2">
        <v>143700.0</v>
      </c>
    </row>
    <row r="2071" ht="14.25" customHeight="1">
      <c r="A2071" s="2">
        <v>2070.0</v>
      </c>
      <c r="B2071" s="2" t="s">
        <v>2571</v>
      </c>
      <c r="C2071" s="2" t="s">
        <v>4569</v>
      </c>
      <c r="D2071" s="2">
        <v>185.0</v>
      </c>
      <c r="E2071" s="2">
        <v>1.0</v>
      </c>
      <c r="F2071" s="2">
        <v>100.0</v>
      </c>
      <c r="G2071" s="2">
        <v>143700.0</v>
      </c>
    </row>
    <row r="2072" ht="14.25" customHeight="1">
      <c r="A2072" s="2">
        <v>2071.0</v>
      </c>
      <c r="B2072" s="2" t="s">
        <v>2571</v>
      </c>
      <c r="C2072" s="2" t="s">
        <v>4570</v>
      </c>
      <c r="D2072" s="2">
        <v>185.0</v>
      </c>
      <c r="E2072" s="2">
        <v>1.0</v>
      </c>
      <c r="F2072" s="2">
        <v>132.0</v>
      </c>
      <c r="G2072" s="2">
        <v>143700.0</v>
      </c>
    </row>
    <row r="2073" ht="14.25" customHeight="1">
      <c r="A2073" s="2">
        <v>2072.0</v>
      </c>
      <c r="B2073" s="2" t="s">
        <v>2576</v>
      </c>
      <c r="C2073" s="2" t="s">
        <v>4571</v>
      </c>
      <c r="D2073" s="2">
        <v>197.0</v>
      </c>
      <c r="E2073" s="2">
        <v>1.0</v>
      </c>
      <c r="F2073" s="2">
        <v>100.0</v>
      </c>
      <c r="G2073" s="2">
        <v>143600.0</v>
      </c>
    </row>
    <row r="2074" ht="14.25" customHeight="1">
      <c r="A2074" s="2">
        <v>2073.0</v>
      </c>
      <c r="B2074" s="2" t="s">
        <v>2501</v>
      </c>
      <c r="C2074" s="2" t="s">
        <v>4572</v>
      </c>
      <c r="D2074" s="2">
        <v>199.0</v>
      </c>
      <c r="E2074" s="2">
        <v>1.0</v>
      </c>
      <c r="F2074" s="2">
        <v>150.0</v>
      </c>
      <c r="G2074" s="2">
        <v>143600.0</v>
      </c>
    </row>
    <row r="2075" ht="14.25" customHeight="1">
      <c r="A2075" s="2">
        <v>2074.0</v>
      </c>
      <c r="B2075" s="2" t="s">
        <v>2524</v>
      </c>
      <c r="C2075" s="2" t="s">
        <v>4573</v>
      </c>
      <c r="D2075" s="2">
        <v>331.0</v>
      </c>
      <c r="E2075" s="2">
        <v>1.0</v>
      </c>
      <c r="F2075" s="2">
        <v>100.0</v>
      </c>
      <c r="G2075" s="2">
        <v>143600.0</v>
      </c>
    </row>
    <row r="2076" ht="14.25" customHeight="1">
      <c r="A2076" s="2">
        <v>2075.0</v>
      </c>
      <c r="B2076" s="2" t="s">
        <v>2651</v>
      </c>
      <c r="C2076" s="2" t="s">
        <v>4574</v>
      </c>
      <c r="D2076" s="2">
        <v>347.0</v>
      </c>
      <c r="E2076" s="2">
        <v>1.0</v>
      </c>
      <c r="F2076" s="2">
        <v>55.0</v>
      </c>
      <c r="G2076" s="2">
        <v>143600.0</v>
      </c>
    </row>
    <row r="2077" ht="14.25" customHeight="1">
      <c r="A2077" s="2">
        <v>2076.0</v>
      </c>
      <c r="B2077" s="2" t="s">
        <v>2503</v>
      </c>
      <c r="C2077" s="2" t="s">
        <v>4575</v>
      </c>
      <c r="D2077" s="2">
        <v>105.0</v>
      </c>
      <c r="E2077" s="2">
        <v>1.0</v>
      </c>
      <c r="F2077" s="2">
        <v>100.0</v>
      </c>
      <c r="G2077" s="2">
        <v>143500.0</v>
      </c>
    </row>
    <row r="2078" ht="14.25" customHeight="1">
      <c r="A2078" s="2">
        <v>2077.0</v>
      </c>
      <c r="B2078" s="2" t="s">
        <v>2497</v>
      </c>
      <c r="C2078" s="2" t="s">
        <v>4576</v>
      </c>
      <c r="D2078" s="2">
        <v>151.0</v>
      </c>
      <c r="E2078" s="2">
        <v>1.0</v>
      </c>
      <c r="F2078" s="2">
        <v>60.0</v>
      </c>
      <c r="G2078" s="2">
        <v>143500.0</v>
      </c>
    </row>
    <row r="2079" ht="14.25" customHeight="1">
      <c r="A2079" s="2">
        <v>2078.0</v>
      </c>
      <c r="B2079" s="2" t="s">
        <v>2512</v>
      </c>
      <c r="C2079" s="2" t="s">
        <v>4577</v>
      </c>
      <c r="D2079" s="2">
        <v>153.0</v>
      </c>
      <c r="E2079" s="2">
        <v>1.0</v>
      </c>
      <c r="F2079" s="2">
        <v>75.0</v>
      </c>
      <c r="G2079" s="2">
        <v>143500.0</v>
      </c>
    </row>
    <row r="2080" ht="14.25" customHeight="1">
      <c r="A2080" s="2">
        <v>2079.0</v>
      </c>
      <c r="B2080" s="2" t="s">
        <v>2561</v>
      </c>
      <c r="C2080" s="2" t="s">
        <v>4578</v>
      </c>
      <c r="D2080" s="2">
        <v>162.0</v>
      </c>
      <c r="E2080" s="2">
        <v>1.0</v>
      </c>
      <c r="F2080" s="2">
        <v>100.0</v>
      </c>
      <c r="G2080" s="2">
        <v>143500.0</v>
      </c>
    </row>
    <row r="2081" ht="14.25" customHeight="1">
      <c r="A2081" s="2">
        <v>2080.0</v>
      </c>
      <c r="B2081" s="2" t="s">
        <v>2686</v>
      </c>
      <c r="C2081" s="2" t="s">
        <v>4579</v>
      </c>
      <c r="D2081" s="2">
        <v>127.0</v>
      </c>
      <c r="E2081" s="2">
        <v>1.0</v>
      </c>
      <c r="F2081" s="2">
        <v>90.0</v>
      </c>
      <c r="G2081" s="2">
        <v>143400.0</v>
      </c>
    </row>
    <row r="2082" ht="14.25" customHeight="1">
      <c r="A2082" s="2">
        <v>2081.0</v>
      </c>
      <c r="B2082" s="2" t="s">
        <v>2524</v>
      </c>
      <c r="C2082" s="2" t="s">
        <v>4580</v>
      </c>
      <c r="D2082" s="2">
        <v>331.0</v>
      </c>
      <c r="E2082" s="2">
        <v>1.0</v>
      </c>
      <c r="F2082" s="2">
        <v>100.0</v>
      </c>
      <c r="G2082" s="2">
        <v>143400.0</v>
      </c>
    </row>
    <row r="2083" ht="14.25" customHeight="1">
      <c r="A2083" s="2">
        <v>2082.0</v>
      </c>
      <c r="B2083" s="2" t="s">
        <v>2512</v>
      </c>
      <c r="C2083" s="2" t="s">
        <v>4581</v>
      </c>
      <c r="D2083" s="2">
        <v>153.0</v>
      </c>
      <c r="E2083" s="2">
        <v>1.0</v>
      </c>
      <c r="F2083" s="2">
        <v>100.0</v>
      </c>
      <c r="G2083" s="2">
        <v>143300.0</v>
      </c>
    </row>
    <row r="2084" ht="14.25" customHeight="1">
      <c r="A2084" s="2">
        <v>2083.0</v>
      </c>
      <c r="B2084" s="2" t="s">
        <v>2524</v>
      </c>
      <c r="C2084" s="2" t="s">
        <v>4582</v>
      </c>
      <c r="D2084" s="2">
        <v>331.0</v>
      </c>
      <c r="E2084" s="2">
        <v>1.0</v>
      </c>
      <c r="F2084" s="2">
        <v>50.0</v>
      </c>
      <c r="G2084" s="2">
        <v>143300.0</v>
      </c>
    </row>
    <row r="2085" ht="14.25" customHeight="1">
      <c r="A2085" s="2">
        <v>2084.0</v>
      </c>
      <c r="B2085" s="2" t="s">
        <v>2621</v>
      </c>
      <c r="C2085" s="2" t="s">
        <v>4583</v>
      </c>
      <c r="D2085" s="2">
        <v>403.0</v>
      </c>
      <c r="E2085" s="2">
        <v>1.0</v>
      </c>
      <c r="F2085" s="2">
        <v>50.0</v>
      </c>
      <c r="G2085" s="2">
        <v>143300.0</v>
      </c>
    </row>
    <row r="2086" ht="14.25" customHeight="1">
      <c r="A2086" s="2">
        <v>2085.0</v>
      </c>
      <c r="B2086" s="2" t="s">
        <v>2582</v>
      </c>
      <c r="C2086" s="2" t="s">
        <v>4584</v>
      </c>
      <c r="D2086" s="2">
        <v>183.0</v>
      </c>
      <c r="E2086" s="2">
        <v>1.0</v>
      </c>
      <c r="F2086" s="2">
        <v>150.0</v>
      </c>
      <c r="G2086" s="2">
        <v>143200.0</v>
      </c>
    </row>
    <row r="2087" ht="14.25" customHeight="1">
      <c r="A2087" s="2">
        <v>2086.0</v>
      </c>
      <c r="B2087" s="2" t="s">
        <v>2501</v>
      </c>
      <c r="C2087" s="2" t="s">
        <v>4585</v>
      </c>
      <c r="D2087" s="2">
        <v>199.0</v>
      </c>
      <c r="E2087" s="2">
        <v>1.0</v>
      </c>
      <c r="F2087" s="2">
        <v>125.0</v>
      </c>
      <c r="G2087" s="2">
        <v>143200.0</v>
      </c>
    </row>
    <row r="2088" ht="14.25" customHeight="1">
      <c r="A2088" s="2">
        <v>2087.0</v>
      </c>
      <c r="B2088" s="2" t="s">
        <v>2524</v>
      </c>
      <c r="C2088" s="2" t="s">
        <v>4586</v>
      </c>
      <c r="D2088" s="2">
        <v>331.0</v>
      </c>
      <c r="E2088" s="2">
        <v>1.0</v>
      </c>
      <c r="F2088" s="2">
        <v>75.0</v>
      </c>
      <c r="G2088" s="2">
        <v>143200.0</v>
      </c>
    </row>
    <row r="2089" ht="14.25" customHeight="1">
      <c r="A2089" s="2">
        <v>2088.0</v>
      </c>
      <c r="B2089" s="2" t="s">
        <v>2686</v>
      </c>
      <c r="C2089" s="2" t="s">
        <v>4587</v>
      </c>
      <c r="D2089" s="2">
        <v>127.0</v>
      </c>
      <c r="E2089" s="2">
        <v>1.0</v>
      </c>
      <c r="F2089" s="2">
        <v>120.0</v>
      </c>
      <c r="G2089" s="2">
        <v>143100.0</v>
      </c>
    </row>
    <row r="2090" ht="14.25" customHeight="1">
      <c r="A2090" s="2">
        <v>2089.0</v>
      </c>
      <c r="B2090" s="2" t="s">
        <v>2561</v>
      </c>
      <c r="C2090" s="2" t="s">
        <v>4588</v>
      </c>
      <c r="D2090" s="2">
        <v>162.0</v>
      </c>
      <c r="E2090" s="2">
        <v>1.0</v>
      </c>
      <c r="F2090" s="2">
        <v>100.0</v>
      </c>
      <c r="G2090" s="2">
        <v>143100.0</v>
      </c>
    </row>
    <row r="2091" ht="14.25" customHeight="1">
      <c r="A2091" s="2">
        <v>2090.0</v>
      </c>
      <c r="B2091" s="2" t="s">
        <v>2553</v>
      </c>
      <c r="C2091" s="2" t="s">
        <v>4589</v>
      </c>
      <c r="D2091" s="2">
        <v>187.0</v>
      </c>
      <c r="E2091" s="2">
        <v>1.0</v>
      </c>
      <c r="F2091" s="2">
        <v>100.0</v>
      </c>
      <c r="G2091" s="2">
        <v>143100.0</v>
      </c>
    </row>
    <row r="2092" ht="14.25" customHeight="1">
      <c r="A2092" s="2">
        <v>2091.0</v>
      </c>
      <c r="B2092" s="2" t="s">
        <v>2686</v>
      </c>
      <c r="C2092" s="2" t="s">
        <v>4590</v>
      </c>
      <c r="D2092" s="2">
        <v>127.0</v>
      </c>
      <c r="E2092" s="2">
        <v>1.0</v>
      </c>
      <c r="F2092" s="2">
        <v>130.0</v>
      </c>
      <c r="G2092" s="2">
        <v>143000.0</v>
      </c>
    </row>
    <row r="2093" ht="14.25" customHeight="1">
      <c r="A2093" s="2">
        <v>2092.0</v>
      </c>
      <c r="B2093" s="2" t="s">
        <v>2571</v>
      </c>
      <c r="C2093" s="2" t="s">
        <v>4591</v>
      </c>
      <c r="D2093" s="2">
        <v>185.0</v>
      </c>
      <c r="E2093" s="2">
        <v>1.0</v>
      </c>
      <c r="F2093" s="2">
        <v>200.0</v>
      </c>
      <c r="G2093" s="2">
        <v>143000.0</v>
      </c>
    </row>
    <row r="2094" ht="14.25" customHeight="1">
      <c r="A2094" s="2">
        <v>2093.0</v>
      </c>
      <c r="B2094" s="2" t="s">
        <v>2534</v>
      </c>
      <c r="C2094" s="2" t="s">
        <v>4592</v>
      </c>
      <c r="D2094" s="2">
        <v>188.0</v>
      </c>
      <c r="E2094" s="2">
        <v>1.0</v>
      </c>
      <c r="F2094" s="2">
        <v>150.0</v>
      </c>
      <c r="G2094" s="2">
        <v>142900.0</v>
      </c>
    </row>
    <row r="2095" ht="14.25" customHeight="1">
      <c r="A2095" s="2">
        <v>2094.0</v>
      </c>
      <c r="B2095" s="2" t="s">
        <v>2475</v>
      </c>
      <c r="C2095" s="2" t="s">
        <v>4593</v>
      </c>
      <c r="D2095" s="2">
        <v>143.0</v>
      </c>
      <c r="E2095" s="2">
        <v>1.0</v>
      </c>
      <c r="F2095" s="2">
        <v>60.0</v>
      </c>
      <c r="G2095" s="2">
        <v>142800.0</v>
      </c>
    </row>
    <row r="2096" ht="14.25" customHeight="1">
      <c r="A2096" s="2">
        <v>2095.0</v>
      </c>
      <c r="B2096" s="2" t="s">
        <v>2497</v>
      </c>
      <c r="C2096" s="2" t="s">
        <v>4594</v>
      </c>
      <c r="D2096" s="2">
        <v>151.0</v>
      </c>
      <c r="E2096" s="2">
        <v>1.0</v>
      </c>
      <c r="F2096" s="2">
        <v>75.0</v>
      </c>
      <c r="G2096" s="2">
        <v>142800.0</v>
      </c>
    </row>
    <row r="2097" ht="14.25" customHeight="1">
      <c r="A2097" s="2">
        <v>2096.0</v>
      </c>
      <c r="B2097" s="2" t="s">
        <v>2479</v>
      </c>
      <c r="C2097" s="2" t="s">
        <v>4595</v>
      </c>
      <c r="D2097" s="2">
        <v>182.0</v>
      </c>
      <c r="E2097" s="2">
        <v>1.0</v>
      </c>
      <c r="F2097" s="2">
        <v>75.0</v>
      </c>
      <c r="G2097" s="2">
        <v>142800.0</v>
      </c>
    </row>
    <row r="2098" ht="14.25" customHeight="1">
      <c r="A2098" s="2">
        <v>2097.0</v>
      </c>
      <c r="B2098" s="2" t="s">
        <v>2512</v>
      </c>
      <c r="C2098" s="2" t="s">
        <v>4596</v>
      </c>
      <c r="D2098" s="2">
        <v>153.0</v>
      </c>
      <c r="E2098" s="2">
        <v>1.0</v>
      </c>
      <c r="F2098" s="2">
        <v>75.0</v>
      </c>
      <c r="G2098" s="2">
        <v>142700.0</v>
      </c>
    </row>
    <row r="2099" ht="14.25" customHeight="1">
      <c r="A2099" s="2">
        <v>2098.0</v>
      </c>
      <c r="B2099" s="2" t="s">
        <v>2582</v>
      </c>
      <c r="C2099" s="2" t="s">
        <v>4597</v>
      </c>
      <c r="D2099" s="2">
        <v>183.0</v>
      </c>
      <c r="E2099" s="2">
        <v>1.0</v>
      </c>
      <c r="F2099" s="2">
        <v>60.0</v>
      </c>
      <c r="G2099" s="2">
        <v>142700.0</v>
      </c>
    </row>
    <row r="2100" ht="14.25" customHeight="1">
      <c r="A2100" s="2">
        <v>2099.0</v>
      </c>
      <c r="B2100" s="2" t="s">
        <v>2594</v>
      </c>
      <c r="C2100" s="2" t="s">
        <v>4598</v>
      </c>
      <c r="D2100" s="2">
        <v>184.0</v>
      </c>
      <c r="E2100" s="2">
        <v>1.0</v>
      </c>
      <c r="F2100" s="2">
        <v>66.0</v>
      </c>
      <c r="G2100" s="2">
        <v>142700.0</v>
      </c>
    </row>
    <row r="2101" ht="14.25" customHeight="1">
      <c r="A2101" s="2">
        <v>2100.0</v>
      </c>
      <c r="B2101" s="2" t="s">
        <v>2524</v>
      </c>
      <c r="C2101" s="2" t="s">
        <v>4599</v>
      </c>
      <c r="D2101" s="2">
        <v>331.0</v>
      </c>
      <c r="E2101" s="2">
        <v>1.0</v>
      </c>
      <c r="F2101" s="2">
        <v>50.0</v>
      </c>
      <c r="G2101" s="2">
        <v>142700.0</v>
      </c>
    </row>
    <row r="2102" ht="14.25" customHeight="1">
      <c r="A2102" s="2">
        <v>2101.0</v>
      </c>
      <c r="B2102" s="2" t="s">
        <v>2651</v>
      </c>
      <c r="C2102" s="2" t="s">
        <v>4600</v>
      </c>
      <c r="D2102" s="2">
        <v>347.0</v>
      </c>
      <c r="E2102" s="2">
        <v>1.0</v>
      </c>
      <c r="F2102" s="2">
        <v>60.0</v>
      </c>
      <c r="G2102" s="2">
        <v>142700.0</v>
      </c>
    </row>
    <row r="2103" ht="14.25" customHeight="1">
      <c r="A2103" s="2">
        <v>2102.0</v>
      </c>
      <c r="B2103" s="2" t="s">
        <v>2571</v>
      </c>
      <c r="C2103" s="2" t="s">
        <v>4601</v>
      </c>
      <c r="D2103" s="2">
        <v>185.0</v>
      </c>
      <c r="E2103" s="2">
        <v>1.0</v>
      </c>
      <c r="F2103" s="2">
        <v>90.0</v>
      </c>
      <c r="G2103" s="2">
        <v>142600.0</v>
      </c>
    </row>
    <row r="2104" ht="14.25" customHeight="1">
      <c r="A2104" s="2">
        <v>2103.0</v>
      </c>
      <c r="B2104" s="2" t="s">
        <v>2571</v>
      </c>
      <c r="C2104" s="2" t="s">
        <v>4602</v>
      </c>
      <c r="D2104" s="2">
        <v>185.0</v>
      </c>
      <c r="E2104" s="2">
        <v>1.0</v>
      </c>
      <c r="F2104" s="2">
        <v>96.0</v>
      </c>
      <c r="G2104" s="2">
        <v>142600.0</v>
      </c>
    </row>
    <row r="2105" ht="14.25" customHeight="1">
      <c r="A2105" s="2">
        <v>2104.0</v>
      </c>
      <c r="B2105" s="2" t="s">
        <v>2744</v>
      </c>
      <c r="C2105" s="2" t="s">
        <v>4603</v>
      </c>
      <c r="D2105" s="2">
        <v>169.0</v>
      </c>
      <c r="E2105" s="2">
        <v>1.0</v>
      </c>
      <c r="F2105" s="2">
        <v>50.0</v>
      </c>
      <c r="G2105" s="2">
        <v>142500.0</v>
      </c>
    </row>
    <row r="2106" ht="14.25" customHeight="1">
      <c r="A2106" s="2">
        <v>2105.0</v>
      </c>
      <c r="B2106" s="2" t="s">
        <v>2594</v>
      </c>
      <c r="C2106" s="2" t="s">
        <v>4604</v>
      </c>
      <c r="D2106" s="2">
        <v>184.0</v>
      </c>
      <c r="E2106" s="2">
        <v>1.0</v>
      </c>
      <c r="F2106" s="2">
        <v>100.0</v>
      </c>
      <c r="G2106" s="2">
        <v>142500.0</v>
      </c>
    </row>
    <row r="2107" ht="14.25" customHeight="1">
      <c r="A2107" s="2">
        <v>2106.0</v>
      </c>
      <c r="B2107" s="2" t="s">
        <v>2534</v>
      </c>
      <c r="C2107" s="2" t="s">
        <v>4605</v>
      </c>
      <c r="D2107" s="2">
        <v>188.0</v>
      </c>
      <c r="E2107" s="2">
        <v>1.0</v>
      </c>
      <c r="F2107" s="2">
        <v>75.0</v>
      </c>
      <c r="G2107" s="2">
        <v>142500.0</v>
      </c>
    </row>
    <row r="2108" ht="14.25" customHeight="1">
      <c r="A2108" s="2">
        <v>2107.0</v>
      </c>
      <c r="B2108" s="2" t="s">
        <v>2571</v>
      </c>
      <c r="C2108" s="2" t="s">
        <v>4606</v>
      </c>
      <c r="D2108" s="2">
        <v>185.0</v>
      </c>
      <c r="E2108" s="2">
        <v>1.0</v>
      </c>
      <c r="F2108" s="2">
        <v>120.0</v>
      </c>
      <c r="G2108" s="2">
        <v>142400.0</v>
      </c>
    </row>
    <row r="2109" ht="14.25" customHeight="1">
      <c r="A2109" s="2">
        <v>2108.0</v>
      </c>
      <c r="B2109" s="2" t="s">
        <v>2541</v>
      </c>
      <c r="C2109" s="2" t="s">
        <v>4607</v>
      </c>
      <c r="D2109" s="2">
        <v>195.0</v>
      </c>
      <c r="E2109" s="2">
        <v>1.0</v>
      </c>
      <c r="F2109" s="2">
        <v>100.0</v>
      </c>
      <c r="G2109" s="2">
        <v>142400.0</v>
      </c>
    </row>
    <row r="2110" ht="14.25" customHeight="1">
      <c r="A2110" s="2">
        <v>2109.0</v>
      </c>
      <c r="B2110" s="2" t="s">
        <v>2501</v>
      </c>
      <c r="C2110" s="2" t="s">
        <v>4608</v>
      </c>
      <c r="D2110" s="2">
        <v>199.0</v>
      </c>
      <c r="E2110" s="2">
        <v>1.0</v>
      </c>
      <c r="F2110" s="2">
        <v>100.0</v>
      </c>
      <c r="G2110" s="2">
        <v>142400.0</v>
      </c>
    </row>
    <row r="2111" ht="14.25" customHeight="1">
      <c r="A2111" s="2">
        <v>2110.0</v>
      </c>
      <c r="B2111" s="2" t="s">
        <v>2621</v>
      </c>
      <c r="C2111" s="2" t="s">
        <v>4609</v>
      </c>
      <c r="D2111" s="2">
        <v>403.0</v>
      </c>
      <c r="E2111" s="2">
        <v>1.0</v>
      </c>
      <c r="F2111" s="2">
        <v>100.0</v>
      </c>
      <c r="G2111" s="2">
        <v>142400.0</v>
      </c>
    </row>
    <row r="2112" ht="14.25" customHeight="1">
      <c r="A2112" s="2">
        <v>2111.0</v>
      </c>
      <c r="B2112" s="2" t="s">
        <v>2505</v>
      </c>
      <c r="C2112" s="2" t="s">
        <v>3449</v>
      </c>
      <c r="D2112" s="2">
        <v>429.0</v>
      </c>
      <c r="E2112" s="2">
        <v>1.0</v>
      </c>
      <c r="F2112" s="2">
        <v>100.0</v>
      </c>
      <c r="G2112" s="2">
        <v>142400.0</v>
      </c>
    </row>
    <row r="2113" ht="14.25" customHeight="1">
      <c r="A2113" s="2">
        <v>2112.0</v>
      </c>
      <c r="B2113" s="2" t="s">
        <v>2505</v>
      </c>
      <c r="C2113" s="2" t="s">
        <v>4610</v>
      </c>
      <c r="D2113" s="2">
        <v>429.0</v>
      </c>
      <c r="E2113" s="2">
        <v>1.0</v>
      </c>
      <c r="F2113" s="2">
        <v>100.0</v>
      </c>
      <c r="G2113" s="2">
        <v>142400.0</v>
      </c>
    </row>
    <row r="2114" ht="14.25" customHeight="1">
      <c r="A2114" s="2">
        <v>2113.0</v>
      </c>
      <c r="B2114" s="2" t="s">
        <v>2512</v>
      </c>
      <c r="C2114" s="2" t="s">
        <v>4611</v>
      </c>
      <c r="D2114" s="2">
        <v>153.0</v>
      </c>
      <c r="E2114" s="2">
        <v>1.0</v>
      </c>
      <c r="F2114" s="2">
        <v>50.0</v>
      </c>
      <c r="G2114" s="2">
        <v>142300.0</v>
      </c>
    </row>
    <row r="2115" ht="14.25" customHeight="1">
      <c r="A2115" s="2">
        <v>2114.0</v>
      </c>
      <c r="B2115" s="2" t="s">
        <v>2651</v>
      </c>
      <c r="C2115" s="2" t="s">
        <v>4612</v>
      </c>
      <c r="D2115" s="2">
        <v>347.0</v>
      </c>
      <c r="E2115" s="2">
        <v>1.0</v>
      </c>
      <c r="F2115" s="2">
        <v>75.0</v>
      </c>
      <c r="G2115" s="2">
        <v>142300.0</v>
      </c>
    </row>
    <row r="2116" ht="14.25" customHeight="1">
      <c r="A2116" s="2">
        <v>2115.0</v>
      </c>
      <c r="B2116" s="2" t="s">
        <v>2686</v>
      </c>
      <c r="C2116" s="2" t="s">
        <v>4613</v>
      </c>
      <c r="D2116" s="2">
        <v>127.0</v>
      </c>
      <c r="E2116" s="2">
        <v>1.0</v>
      </c>
      <c r="F2116" s="2">
        <v>132.0</v>
      </c>
      <c r="G2116" s="2">
        <v>142200.0</v>
      </c>
    </row>
    <row r="2117" ht="14.25" customHeight="1">
      <c r="A2117" s="2">
        <v>2116.0</v>
      </c>
      <c r="B2117" s="2" t="s">
        <v>2576</v>
      </c>
      <c r="C2117" s="2" t="s">
        <v>4614</v>
      </c>
      <c r="D2117" s="2">
        <v>197.0</v>
      </c>
      <c r="E2117" s="2">
        <v>1.0</v>
      </c>
      <c r="F2117" s="2">
        <v>132.0</v>
      </c>
      <c r="G2117" s="2">
        <v>142200.0</v>
      </c>
    </row>
    <row r="2118" ht="14.25" customHeight="1">
      <c r="A2118" s="2">
        <v>2117.0</v>
      </c>
      <c r="B2118" s="2" t="s">
        <v>2549</v>
      </c>
      <c r="C2118" s="2" t="s">
        <v>4615</v>
      </c>
      <c r="D2118" s="2">
        <v>115.0</v>
      </c>
      <c r="E2118" s="2">
        <v>1.0</v>
      </c>
      <c r="F2118" s="2">
        <v>50.0</v>
      </c>
      <c r="G2118" s="2">
        <v>142100.0</v>
      </c>
    </row>
    <row r="2119" ht="14.25" customHeight="1">
      <c r="A2119" s="2">
        <v>2118.0</v>
      </c>
      <c r="B2119" s="2" t="s">
        <v>2744</v>
      </c>
      <c r="C2119" s="2" t="s">
        <v>4616</v>
      </c>
      <c r="D2119" s="2">
        <v>169.0</v>
      </c>
      <c r="E2119" s="2">
        <v>1.0</v>
      </c>
      <c r="F2119" s="2">
        <v>150.0</v>
      </c>
      <c r="G2119" s="2">
        <v>142100.0</v>
      </c>
    </row>
    <row r="2120" ht="14.25" customHeight="1">
      <c r="A2120" s="2">
        <v>2119.0</v>
      </c>
      <c r="B2120" s="2" t="s">
        <v>2553</v>
      </c>
      <c r="C2120" s="2" t="s">
        <v>4617</v>
      </c>
      <c r="D2120" s="2">
        <v>187.0</v>
      </c>
      <c r="E2120" s="2">
        <v>1.0</v>
      </c>
      <c r="F2120" s="2">
        <v>50.0</v>
      </c>
      <c r="G2120" s="2">
        <v>142100.0</v>
      </c>
    </row>
    <row r="2121" ht="14.25" customHeight="1">
      <c r="A2121" s="2">
        <v>2120.0</v>
      </c>
      <c r="B2121" s="2" t="s">
        <v>2651</v>
      </c>
      <c r="C2121" s="2" t="s">
        <v>4618</v>
      </c>
      <c r="D2121" s="2">
        <v>347.0</v>
      </c>
      <c r="E2121" s="2">
        <v>1.0</v>
      </c>
      <c r="F2121" s="2">
        <v>107.0</v>
      </c>
      <c r="G2121" s="2">
        <v>142100.0</v>
      </c>
    </row>
    <row r="2122" ht="14.25" customHeight="1">
      <c r="A2122" s="2">
        <v>2121.0</v>
      </c>
      <c r="B2122" s="2" t="s">
        <v>2636</v>
      </c>
      <c r="C2122" s="2" t="s">
        <v>4619</v>
      </c>
      <c r="D2122" s="2">
        <v>145.0</v>
      </c>
      <c r="E2122" s="2">
        <v>1.0</v>
      </c>
      <c r="F2122" s="2">
        <v>100.0</v>
      </c>
      <c r="G2122" s="2">
        <v>142000.0</v>
      </c>
    </row>
    <row r="2123" ht="14.25" customHeight="1">
      <c r="A2123" s="2">
        <v>2122.0</v>
      </c>
      <c r="B2123" s="2" t="s">
        <v>2541</v>
      </c>
      <c r="C2123" s="2" t="s">
        <v>4620</v>
      </c>
      <c r="D2123" s="2">
        <v>195.0</v>
      </c>
      <c r="E2123" s="2">
        <v>1.0</v>
      </c>
      <c r="F2123" s="2">
        <v>50.0</v>
      </c>
      <c r="G2123" s="2">
        <v>142000.0</v>
      </c>
    </row>
    <row r="2124" ht="14.25" customHeight="1">
      <c r="A2124" s="2">
        <v>2123.0</v>
      </c>
      <c r="B2124" s="2" t="s">
        <v>2621</v>
      </c>
      <c r="C2124" s="2" t="s">
        <v>4621</v>
      </c>
      <c r="D2124" s="2">
        <v>403.0</v>
      </c>
      <c r="E2124" s="2">
        <v>1.0</v>
      </c>
      <c r="F2124" s="2">
        <v>100.0</v>
      </c>
      <c r="G2124" s="2">
        <v>142000.0</v>
      </c>
    </row>
    <row r="2125" ht="14.25" customHeight="1">
      <c r="A2125" s="2">
        <v>2124.0</v>
      </c>
      <c r="B2125" s="2" t="s">
        <v>2497</v>
      </c>
      <c r="C2125" s="2" t="s">
        <v>4622</v>
      </c>
      <c r="D2125" s="2">
        <v>151.0</v>
      </c>
      <c r="E2125" s="2">
        <v>1.0</v>
      </c>
      <c r="F2125" s="2">
        <v>55.0</v>
      </c>
      <c r="G2125" s="2">
        <v>141900.0</v>
      </c>
    </row>
    <row r="2126" ht="14.25" customHeight="1">
      <c r="A2126" s="2">
        <v>2125.0</v>
      </c>
      <c r="B2126" s="2" t="s">
        <v>2553</v>
      </c>
      <c r="C2126" s="2" t="s">
        <v>4623</v>
      </c>
      <c r="D2126" s="2">
        <v>187.0</v>
      </c>
      <c r="E2126" s="2">
        <v>1.0</v>
      </c>
      <c r="F2126" s="2">
        <v>100.0</v>
      </c>
      <c r="G2126" s="2">
        <v>141900.0</v>
      </c>
    </row>
    <row r="2127" ht="14.25" customHeight="1">
      <c r="A2127" s="2">
        <v>2126.0</v>
      </c>
      <c r="B2127" s="2" t="s">
        <v>2621</v>
      </c>
      <c r="C2127" s="2" t="s">
        <v>4624</v>
      </c>
      <c r="D2127" s="2">
        <v>403.0</v>
      </c>
      <c r="E2127" s="2">
        <v>1.0</v>
      </c>
      <c r="F2127" s="2">
        <v>150.0</v>
      </c>
      <c r="G2127" s="2">
        <v>141900.0</v>
      </c>
    </row>
    <row r="2128" ht="14.25" customHeight="1">
      <c r="A2128" s="2">
        <v>2127.0</v>
      </c>
      <c r="B2128" s="2" t="s">
        <v>2945</v>
      </c>
      <c r="C2128" s="2" t="s">
        <v>4625</v>
      </c>
      <c r="D2128" s="2">
        <v>619.0</v>
      </c>
      <c r="E2128" s="2">
        <v>1.0</v>
      </c>
      <c r="F2128" s="2">
        <v>60.0</v>
      </c>
      <c r="G2128" s="2">
        <v>141900.0</v>
      </c>
    </row>
    <row r="2129" ht="14.25" customHeight="1">
      <c r="A2129" s="2">
        <v>2128.0</v>
      </c>
      <c r="B2129" s="2" t="s">
        <v>2945</v>
      </c>
      <c r="C2129" s="2" t="s">
        <v>4626</v>
      </c>
      <c r="D2129" s="2">
        <v>619.0</v>
      </c>
      <c r="E2129" s="2">
        <v>1.0</v>
      </c>
      <c r="F2129" s="2">
        <v>55.0</v>
      </c>
      <c r="G2129" s="2">
        <v>141900.0</v>
      </c>
    </row>
    <row r="2130" ht="14.25" customHeight="1">
      <c r="A2130" s="2">
        <v>2129.0</v>
      </c>
      <c r="B2130" s="2" t="s">
        <v>2945</v>
      </c>
      <c r="C2130" s="2" t="s">
        <v>4627</v>
      </c>
      <c r="D2130" s="2">
        <v>619.0</v>
      </c>
      <c r="E2130" s="2">
        <v>1.0</v>
      </c>
      <c r="F2130" s="2">
        <v>55.0</v>
      </c>
      <c r="G2130" s="2">
        <v>141900.0</v>
      </c>
    </row>
    <row r="2131" ht="14.25" customHeight="1">
      <c r="A2131" s="2">
        <v>2130.0</v>
      </c>
      <c r="B2131" s="2" t="s">
        <v>2945</v>
      </c>
      <c r="C2131" s="2" t="s">
        <v>4628</v>
      </c>
      <c r="D2131" s="2">
        <v>619.0</v>
      </c>
      <c r="E2131" s="2">
        <v>1.0</v>
      </c>
      <c r="F2131" s="2">
        <v>55.0</v>
      </c>
      <c r="G2131" s="2">
        <v>141900.0</v>
      </c>
    </row>
    <row r="2132" ht="14.25" customHeight="1">
      <c r="A2132" s="2">
        <v>2131.0</v>
      </c>
      <c r="B2132" s="2" t="s">
        <v>2549</v>
      </c>
      <c r="C2132" s="2" t="s">
        <v>4629</v>
      </c>
      <c r="D2132" s="2">
        <v>115.0</v>
      </c>
      <c r="E2132" s="2">
        <v>1.0</v>
      </c>
      <c r="F2132" s="2">
        <v>50.0</v>
      </c>
      <c r="G2132" s="2">
        <v>141800.0</v>
      </c>
    </row>
    <row r="2133" ht="14.25" customHeight="1">
      <c r="A2133" s="2">
        <v>2132.0</v>
      </c>
      <c r="B2133" s="2" t="s">
        <v>2744</v>
      </c>
      <c r="C2133" s="2" t="s">
        <v>4630</v>
      </c>
      <c r="D2133" s="2">
        <v>169.0</v>
      </c>
      <c r="E2133" s="2">
        <v>1.0</v>
      </c>
      <c r="F2133" s="2">
        <v>100.0</v>
      </c>
      <c r="G2133" s="2">
        <v>141800.0</v>
      </c>
    </row>
    <row r="2134" ht="14.25" customHeight="1">
      <c r="A2134" s="2">
        <v>2133.0</v>
      </c>
      <c r="B2134" s="2" t="s">
        <v>2571</v>
      </c>
      <c r="C2134" s="2" t="s">
        <v>4631</v>
      </c>
      <c r="D2134" s="2">
        <v>185.0</v>
      </c>
      <c r="E2134" s="2">
        <v>1.0</v>
      </c>
      <c r="F2134" s="2">
        <v>100.0</v>
      </c>
      <c r="G2134" s="2">
        <v>141800.0</v>
      </c>
    </row>
    <row r="2135" ht="14.25" customHeight="1">
      <c r="A2135" s="2">
        <v>2134.0</v>
      </c>
      <c r="B2135" s="2" t="s">
        <v>2479</v>
      </c>
      <c r="C2135" s="2" t="s">
        <v>4632</v>
      </c>
      <c r="D2135" s="2">
        <v>182.0</v>
      </c>
      <c r="E2135" s="2">
        <v>1.0</v>
      </c>
      <c r="F2135" s="2">
        <v>75.0</v>
      </c>
      <c r="G2135" s="2">
        <v>141700.0</v>
      </c>
    </row>
    <row r="2136" ht="14.25" customHeight="1">
      <c r="A2136" s="2">
        <v>2135.0</v>
      </c>
      <c r="B2136" s="2" t="s">
        <v>2553</v>
      </c>
      <c r="C2136" s="2" t="s">
        <v>4633</v>
      </c>
      <c r="D2136" s="2">
        <v>187.0</v>
      </c>
      <c r="E2136" s="2">
        <v>1.0</v>
      </c>
      <c r="F2136" s="2">
        <v>130.0</v>
      </c>
      <c r="G2136" s="2">
        <v>141700.0</v>
      </c>
    </row>
    <row r="2137" ht="14.25" customHeight="1">
      <c r="A2137" s="2">
        <v>2136.0</v>
      </c>
      <c r="B2137" s="2" t="s">
        <v>2744</v>
      </c>
      <c r="C2137" s="2" t="s">
        <v>4634</v>
      </c>
      <c r="D2137" s="2">
        <v>169.0</v>
      </c>
      <c r="E2137" s="2">
        <v>1.0</v>
      </c>
      <c r="F2137" s="2">
        <v>75.0</v>
      </c>
      <c r="G2137" s="2">
        <v>141600.0</v>
      </c>
    </row>
    <row r="2138" ht="14.25" customHeight="1">
      <c r="A2138" s="2">
        <v>2137.0</v>
      </c>
      <c r="B2138" s="2" t="s">
        <v>2604</v>
      </c>
      <c r="C2138" s="2" t="s">
        <v>4635</v>
      </c>
      <c r="D2138" s="2">
        <v>200.0</v>
      </c>
      <c r="E2138" s="2">
        <v>1.0</v>
      </c>
      <c r="F2138" s="2">
        <v>120.0</v>
      </c>
      <c r="G2138" s="2">
        <v>141600.0</v>
      </c>
    </row>
    <row r="2139" ht="14.25" customHeight="1">
      <c r="A2139" s="2">
        <v>2138.0</v>
      </c>
      <c r="B2139" s="2" t="s">
        <v>2604</v>
      </c>
      <c r="C2139" s="2" t="s">
        <v>4636</v>
      </c>
      <c r="D2139" s="2">
        <v>200.0</v>
      </c>
      <c r="E2139" s="2">
        <v>1.0</v>
      </c>
      <c r="F2139" s="2">
        <v>75.0</v>
      </c>
      <c r="G2139" s="2">
        <v>141600.0</v>
      </c>
    </row>
    <row r="2140" ht="14.25" customHeight="1">
      <c r="A2140" s="2">
        <v>2139.0</v>
      </c>
      <c r="B2140" s="2" t="s">
        <v>2497</v>
      </c>
      <c r="C2140" s="2" t="s">
        <v>4637</v>
      </c>
      <c r="D2140" s="2">
        <v>151.0</v>
      </c>
      <c r="E2140" s="2">
        <v>1.0</v>
      </c>
      <c r="F2140" s="2">
        <v>150.0</v>
      </c>
      <c r="G2140" s="2">
        <v>141500.0</v>
      </c>
    </row>
    <row r="2141" ht="14.25" customHeight="1">
      <c r="A2141" s="2">
        <v>2140.0</v>
      </c>
      <c r="B2141" s="2" t="s">
        <v>2621</v>
      </c>
      <c r="C2141" s="2" t="s">
        <v>4638</v>
      </c>
      <c r="D2141" s="2">
        <v>403.0</v>
      </c>
      <c r="E2141" s="2">
        <v>1.0</v>
      </c>
      <c r="F2141" s="2">
        <v>100.0</v>
      </c>
      <c r="G2141" s="2">
        <v>141400.0</v>
      </c>
    </row>
    <row r="2142" ht="14.25" customHeight="1">
      <c r="A2142" s="2">
        <v>2141.0</v>
      </c>
      <c r="B2142" s="2" t="s">
        <v>2475</v>
      </c>
      <c r="C2142" s="2" t="s">
        <v>4639</v>
      </c>
      <c r="D2142" s="2">
        <v>143.0</v>
      </c>
      <c r="E2142" s="2">
        <v>1.0</v>
      </c>
      <c r="F2142" s="2">
        <v>60.0</v>
      </c>
      <c r="G2142" s="2">
        <v>141300.0</v>
      </c>
    </row>
    <row r="2143" ht="14.25" customHeight="1">
      <c r="A2143" s="2">
        <v>2142.0</v>
      </c>
      <c r="B2143" s="2" t="s">
        <v>2561</v>
      </c>
      <c r="C2143" s="2" t="s">
        <v>4640</v>
      </c>
      <c r="D2143" s="2">
        <v>162.0</v>
      </c>
      <c r="E2143" s="2">
        <v>1.0</v>
      </c>
      <c r="F2143" s="2">
        <v>165.0</v>
      </c>
      <c r="G2143" s="2">
        <v>141300.0</v>
      </c>
    </row>
    <row r="2144" ht="14.25" customHeight="1">
      <c r="A2144" s="2">
        <v>2143.0</v>
      </c>
      <c r="B2144" s="2" t="s">
        <v>2534</v>
      </c>
      <c r="C2144" s="2" t="s">
        <v>4641</v>
      </c>
      <c r="D2144" s="2">
        <v>188.0</v>
      </c>
      <c r="E2144" s="2">
        <v>1.0</v>
      </c>
      <c r="F2144" s="2">
        <v>110.0</v>
      </c>
      <c r="G2144" s="2">
        <v>141300.0</v>
      </c>
    </row>
    <row r="2145" ht="14.25" customHeight="1">
      <c r="A2145" s="2">
        <v>2144.0</v>
      </c>
      <c r="B2145" s="2" t="s">
        <v>2524</v>
      </c>
      <c r="C2145" s="2" t="s">
        <v>4642</v>
      </c>
      <c r="D2145" s="2">
        <v>331.0</v>
      </c>
      <c r="E2145" s="2">
        <v>1.0</v>
      </c>
      <c r="F2145" s="2">
        <v>70.0</v>
      </c>
      <c r="G2145" s="2">
        <v>141300.0</v>
      </c>
    </row>
    <row r="2146" ht="14.25" customHeight="1">
      <c r="A2146" s="2">
        <v>2145.0</v>
      </c>
      <c r="B2146" s="2" t="s">
        <v>2518</v>
      </c>
      <c r="C2146" s="2" t="s">
        <v>4643</v>
      </c>
      <c r="D2146" s="2">
        <v>161.0</v>
      </c>
      <c r="E2146" s="2">
        <v>1.0</v>
      </c>
      <c r="F2146" s="2">
        <v>150.0</v>
      </c>
      <c r="G2146" s="2">
        <v>141200.0</v>
      </c>
    </row>
    <row r="2147" ht="14.25" customHeight="1">
      <c r="A2147" s="2">
        <v>2146.0</v>
      </c>
      <c r="B2147" s="2" t="s">
        <v>2501</v>
      </c>
      <c r="C2147" s="2" t="s">
        <v>4644</v>
      </c>
      <c r="D2147" s="2">
        <v>199.0</v>
      </c>
      <c r="E2147" s="2">
        <v>1.0</v>
      </c>
      <c r="F2147" s="2">
        <v>100.0</v>
      </c>
      <c r="G2147" s="2">
        <v>141200.0</v>
      </c>
    </row>
    <row r="2148" ht="14.25" customHeight="1">
      <c r="A2148" s="2">
        <v>2147.0</v>
      </c>
      <c r="B2148" s="2" t="s">
        <v>2571</v>
      </c>
      <c r="C2148" s="2" t="s">
        <v>4645</v>
      </c>
      <c r="D2148" s="2">
        <v>185.0</v>
      </c>
      <c r="E2148" s="2">
        <v>1.0</v>
      </c>
      <c r="F2148" s="2">
        <v>100.0</v>
      </c>
      <c r="G2148" s="2">
        <v>141100.0</v>
      </c>
    </row>
    <row r="2149" ht="14.25" customHeight="1">
      <c r="A2149" s="2">
        <v>2148.0</v>
      </c>
      <c r="B2149" s="2" t="s">
        <v>2501</v>
      </c>
      <c r="C2149" s="2" t="s">
        <v>4646</v>
      </c>
      <c r="D2149" s="2">
        <v>199.0</v>
      </c>
      <c r="E2149" s="2">
        <v>1.0</v>
      </c>
      <c r="F2149" s="2">
        <v>60.0</v>
      </c>
      <c r="G2149" s="2">
        <v>141100.0</v>
      </c>
    </row>
    <row r="2150" ht="14.25" customHeight="1">
      <c r="A2150" s="2">
        <v>2149.0</v>
      </c>
      <c r="B2150" s="2" t="s">
        <v>2945</v>
      </c>
      <c r="C2150" s="2" t="s">
        <v>4647</v>
      </c>
      <c r="D2150" s="2">
        <v>619.0</v>
      </c>
      <c r="E2150" s="2">
        <v>1.0</v>
      </c>
      <c r="F2150" s="2">
        <v>55.0</v>
      </c>
      <c r="G2150" s="2">
        <v>141100.0</v>
      </c>
    </row>
    <row r="2151" ht="14.25" customHeight="1">
      <c r="A2151" s="2">
        <v>2150.0</v>
      </c>
      <c r="B2151" s="2" t="s">
        <v>2503</v>
      </c>
      <c r="C2151" s="2" t="s">
        <v>4648</v>
      </c>
      <c r="D2151" s="2">
        <v>105.0</v>
      </c>
      <c r="E2151" s="2">
        <v>1.0</v>
      </c>
      <c r="F2151" s="2">
        <v>66.0</v>
      </c>
      <c r="G2151" s="2">
        <v>141000.0</v>
      </c>
    </row>
    <row r="2152" ht="14.25" customHeight="1">
      <c r="A2152" s="2">
        <v>2151.0</v>
      </c>
      <c r="B2152" s="2" t="s">
        <v>2582</v>
      </c>
      <c r="C2152" s="2" t="s">
        <v>4649</v>
      </c>
      <c r="D2152" s="2">
        <v>183.0</v>
      </c>
      <c r="E2152" s="2">
        <v>1.0</v>
      </c>
      <c r="F2152" s="2">
        <v>100.0</v>
      </c>
      <c r="G2152" s="2">
        <v>141000.0</v>
      </c>
    </row>
    <row r="2153" ht="14.25" customHeight="1">
      <c r="A2153" s="2">
        <v>2152.0</v>
      </c>
      <c r="B2153" s="2" t="s">
        <v>2604</v>
      </c>
      <c r="C2153" s="2" t="s">
        <v>4650</v>
      </c>
      <c r="D2153" s="2">
        <v>200.0</v>
      </c>
      <c r="E2153" s="2">
        <v>1.0</v>
      </c>
      <c r="F2153" s="2">
        <v>75.0</v>
      </c>
      <c r="G2153" s="2">
        <v>141000.0</v>
      </c>
    </row>
    <row r="2154" ht="14.25" customHeight="1">
      <c r="A2154" s="2">
        <v>2153.0</v>
      </c>
      <c r="B2154" s="2" t="s">
        <v>2524</v>
      </c>
      <c r="C2154" s="2" t="s">
        <v>4651</v>
      </c>
      <c r="D2154" s="2">
        <v>331.0</v>
      </c>
      <c r="E2154" s="2">
        <v>1.0</v>
      </c>
      <c r="F2154" s="2">
        <v>100.0</v>
      </c>
      <c r="G2154" s="2">
        <v>141000.0</v>
      </c>
    </row>
    <row r="2155" ht="14.25" customHeight="1">
      <c r="A2155" s="2">
        <v>2154.0</v>
      </c>
      <c r="B2155" s="2" t="s">
        <v>2636</v>
      </c>
      <c r="C2155" s="2" t="s">
        <v>4652</v>
      </c>
      <c r="D2155" s="2">
        <v>145.0</v>
      </c>
      <c r="E2155" s="2">
        <v>1.0</v>
      </c>
      <c r="F2155" s="2">
        <v>100.0</v>
      </c>
      <c r="G2155" s="2">
        <v>140900.0</v>
      </c>
    </row>
    <row r="2156" ht="14.25" customHeight="1">
      <c r="A2156" s="2">
        <v>2155.0</v>
      </c>
      <c r="B2156" s="2" t="s">
        <v>2512</v>
      </c>
      <c r="C2156" s="2" t="s">
        <v>4653</v>
      </c>
      <c r="D2156" s="2">
        <v>153.0</v>
      </c>
      <c r="E2156" s="2">
        <v>1.0</v>
      </c>
      <c r="F2156" s="2">
        <v>75.0</v>
      </c>
      <c r="G2156" s="2">
        <v>140900.0</v>
      </c>
    </row>
    <row r="2157" ht="14.25" customHeight="1">
      <c r="A2157" s="2">
        <v>2156.0</v>
      </c>
      <c r="B2157" s="2" t="s">
        <v>2518</v>
      </c>
      <c r="C2157" s="2" t="s">
        <v>4654</v>
      </c>
      <c r="D2157" s="2">
        <v>161.0</v>
      </c>
      <c r="E2157" s="2">
        <v>1.0</v>
      </c>
      <c r="F2157" s="2">
        <v>100.0</v>
      </c>
      <c r="G2157" s="2">
        <v>140900.0</v>
      </c>
    </row>
    <row r="2158" ht="14.25" customHeight="1">
      <c r="A2158" s="2">
        <v>2157.0</v>
      </c>
      <c r="B2158" s="2" t="s">
        <v>2571</v>
      </c>
      <c r="C2158" s="2" t="s">
        <v>4655</v>
      </c>
      <c r="D2158" s="2">
        <v>185.0</v>
      </c>
      <c r="E2158" s="2">
        <v>1.0</v>
      </c>
      <c r="F2158" s="2">
        <v>75.0</v>
      </c>
      <c r="G2158" s="2">
        <v>140900.0</v>
      </c>
    </row>
    <row r="2159" ht="14.25" customHeight="1">
      <c r="A2159" s="2">
        <v>2158.0</v>
      </c>
      <c r="B2159" s="2" t="s">
        <v>2576</v>
      </c>
      <c r="C2159" s="2" t="s">
        <v>4656</v>
      </c>
      <c r="D2159" s="2">
        <v>197.0</v>
      </c>
      <c r="E2159" s="2">
        <v>1.0</v>
      </c>
      <c r="F2159" s="2">
        <v>200.0</v>
      </c>
      <c r="G2159" s="2">
        <v>140900.0</v>
      </c>
    </row>
    <row r="2160" ht="14.25" customHeight="1">
      <c r="A2160" s="2">
        <v>2159.0</v>
      </c>
      <c r="B2160" s="2" t="s">
        <v>2651</v>
      </c>
      <c r="C2160" s="2" t="s">
        <v>4657</v>
      </c>
      <c r="D2160" s="2">
        <v>347.0</v>
      </c>
      <c r="E2160" s="2">
        <v>1.0</v>
      </c>
      <c r="F2160" s="2">
        <v>60.0</v>
      </c>
      <c r="G2160" s="2">
        <v>140900.0</v>
      </c>
    </row>
    <row r="2161" ht="14.25" customHeight="1">
      <c r="A2161" s="2">
        <v>2160.0</v>
      </c>
      <c r="B2161" s="2" t="s">
        <v>2497</v>
      </c>
      <c r="C2161" s="2" t="s">
        <v>4658</v>
      </c>
      <c r="D2161" s="2">
        <v>151.0</v>
      </c>
      <c r="E2161" s="2">
        <v>1.0</v>
      </c>
      <c r="F2161" s="2">
        <v>100.0</v>
      </c>
      <c r="G2161" s="2">
        <v>140800.0</v>
      </c>
    </row>
    <row r="2162" ht="14.25" customHeight="1">
      <c r="A2162" s="2">
        <v>2161.0</v>
      </c>
      <c r="B2162" s="2" t="s">
        <v>2512</v>
      </c>
      <c r="C2162" s="2" t="s">
        <v>4659</v>
      </c>
      <c r="D2162" s="2">
        <v>153.0</v>
      </c>
      <c r="E2162" s="2">
        <v>1.0</v>
      </c>
      <c r="F2162" s="2">
        <v>75.0</v>
      </c>
      <c r="G2162" s="2">
        <v>140800.0</v>
      </c>
    </row>
    <row r="2163" ht="14.25" customHeight="1">
      <c r="A2163" s="2">
        <v>2162.0</v>
      </c>
      <c r="B2163" s="2" t="s">
        <v>2744</v>
      </c>
      <c r="C2163" s="2" t="s">
        <v>4660</v>
      </c>
      <c r="D2163" s="2">
        <v>169.0</v>
      </c>
      <c r="E2163" s="2">
        <v>1.0</v>
      </c>
      <c r="F2163" s="2">
        <v>100.0</v>
      </c>
      <c r="G2163" s="2">
        <v>140800.0</v>
      </c>
    </row>
    <row r="2164" ht="14.25" customHeight="1">
      <c r="A2164" s="2">
        <v>2163.0</v>
      </c>
      <c r="B2164" s="2" t="s">
        <v>2571</v>
      </c>
      <c r="C2164" s="2" t="s">
        <v>4661</v>
      </c>
      <c r="D2164" s="2">
        <v>185.0</v>
      </c>
      <c r="E2164" s="2">
        <v>1.0</v>
      </c>
      <c r="F2164" s="2">
        <v>100.0</v>
      </c>
      <c r="G2164" s="2">
        <v>140800.0</v>
      </c>
    </row>
    <row r="2165" ht="14.25" customHeight="1">
      <c r="A2165" s="2">
        <v>2164.0</v>
      </c>
      <c r="B2165" s="2" t="s">
        <v>2534</v>
      </c>
      <c r="C2165" s="2" t="s">
        <v>4662</v>
      </c>
      <c r="D2165" s="2">
        <v>188.0</v>
      </c>
      <c r="E2165" s="2">
        <v>1.0</v>
      </c>
      <c r="F2165" s="2">
        <v>75.0</v>
      </c>
      <c r="G2165" s="2">
        <v>140800.0</v>
      </c>
    </row>
    <row r="2166" ht="14.25" customHeight="1">
      <c r="A2166" s="2">
        <v>2165.0</v>
      </c>
      <c r="B2166" s="2" t="s">
        <v>2488</v>
      </c>
      <c r="C2166" s="2" t="s">
        <v>4663</v>
      </c>
      <c r="D2166" s="2">
        <v>333.0</v>
      </c>
      <c r="E2166" s="2">
        <v>1.0</v>
      </c>
      <c r="F2166" s="2">
        <v>70.0</v>
      </c>
      <c r="G2166" s="2">
        <v>140800.0</v>
      </c>
    </row>
    <row r="2167" ht="14.25" customHeight="1">
      <c r="A2167" s="2">
        <v>2166.0</v>
      </c>
      <c r="B2167" s="2" t="s">
        <v>2945</v>
      </c>
      <c r="C2167" s="2" t="s">
        <v>4664</v>
      </c>
      <c r="D2167" s="2">
        <v>619.0</v>
      </c>
      <c r="E2167" s="2">
        <v>1.0</v>
      </c>
      <c r="F2167" s="2">
        <v>60.0</v>
      </c>
      <c r="G2167" s="2">
        <v>140800.0</v>
      </c>
    </row>
    <row r="2168" ht="14.25" customHeight="1">
      <c r="A2168" s="2">
        <v>2167.0</v>
      </c>
      <c r="B2168" s="2" t="s">
        <v>2503</v>
      </c>
      <c r="C2168" s="2" t="s">
        <v>4665</v>
      </c>
      <c r="D2168" s="2">
        <v>105.0</v>
      </c>
      <c r="E2168" s="2">
        <v>1.0</v>
      </c>
      <c r="F2168" s="2">
        <v>100.0</v>
      </c>
      <c r="G2168" s="2">
        <v>140700.0</v>
      </c>
    </row>
    <row r="2169" ht="14.25" customHeight="1">
      <c r="A2169" s="2">
        <v>2168.0</v>
      </c>
      <c r="B2169" s="2" t="s">
        <v>2477</v>
      </c>
      <c r="C2169" s="2" t="s">
        <v>4666</v>
      </c>
      <c r="D2169" s="2">
        <v>152.0</v>
      </c>
      <c r="E2169" s="2">
        <v>1.0</v>
      </c>
      <c r="F2169" s="2">
        <v>90.0</v>
      </c>
      <c r="G2169" s="2">
        <v>140700.0</v>
      </c>
    </row>
    <row r="2170" ht="14.25" customHeight="1">
      <c r="A2170" s="2">
        <v>2169.0</v>
      </c>
      <c r="B2170" s="2" t="s">
        <v>2561</v>
      </c>
      <c r="C2170" s="2" t="s">
        <v>4667</v>
      </c>
      <c r="D2170" s="2">
        <v>162.0</v>
      </c>
      <c r="E2170" s="2">
        <v>1.0</v>
      </c>
      <c r="F2170" s="2">
        <v>100.0</v>
      </c>
      <c r="G2170" s="2">
        <v>140700.0</v>
      </c>
    </row>
    <row r="2171" ht="14.25" customHeight="1">
      <c r="A2171" s="2">
        <v>2170.0</v>
      </c>
      <c r="B2171" s="2" t="s">
        <v>2582</v>
      </c>
      <c r="C2171" s="2" t="s">
        <v>4668</v>
      </c>
      <c r="D2171" s="2">
        <v>183.0</v>
      </c>
      <c r="E2171" s="2">
        <v>1.0</v>
      </c>
      <c r="F2171" s="2">
        <v>55.0</v>
      </c>
      <c r="G2171" s="2">
        <v>140700.0</v>
      </c>
    </row>
    <row r="2172" ht="14.25" customHeight="1">
      <c r="A2172" s="2">
        <v>2171.0</v>
      </c>
      <c r="B2172" s="2" t="s">
        <v>2651</v>
      </c>
      <c r="C2172" s="2" t="s">
        <v>4669</v>
      </c>
      <c r="D2172" s="2">
        <v>347.0</v>
      </c>
      <c r="E2172" s="2">
        <v>1.0</v>
      </c>
      <c r="F2172" s="2">
        <v>90.0</v>
      </c>
      <c r="G2172" s="2">
        <v>140700.0</v>
      </c>
    </row>
    <row r="2173" ht="14.25" customHeight="1">
      <c r="A2173" s="2">
        <v>2172.0</v>
      </c>
      <c r="B2173" s="2" t="s">
        <v>2558</v>
      </c>
      <c r="C2173" s="2" t="s">
        <v>4670</v>
      </c>
      <c r="D2173" s="2">
        <v>357.0</v>
      </c>
      <c r="E2173" s="2">
        <v>1.0</v>
      </c>
      <c r="F2173" s="2">
        <v>45.0</v>
      </c>
      <c r="G2173" s="2">
        <v>140700.0</v>
      </c>
    </row>
    <row r="2174" ht="14.25" customHeight="1">
      <c r="A2174" s="2">
        <v>2173.0</v>
      </c>
      <c r="B2174" s="2" t="s">
        <v>2501</v>
      </c>
      <c r="C2174" s="2" t="s">
        <v>4671</v>
      </c>
      <c r="D2174" s="2">
        <v>199.0</v>
      </c>
      <c r="E2174" s="2">
        <v>1.0</v>
      </c>
      <c r="F2174" s="2">
        <v>100.0</v>
      </c>
      <c r="G2174" s="2">
        <v>140600.0</v>
      </c>
    </row>
    <row r="2175" ht="14.25" customHeight="1">
      <c r="A2175" s="2">
        <v>2174.0</v>
      </c>
      <c r="B2175" s="2" t="s">
        <v>2524</v>
      </c>
      <c r="C2175" s="2" t="s">
        <v>4672</v>
      </c>
      <c r="D2175" s="2">
        <v>331.0</v>
      </c>
      <c r="E2175" s="2">
        <v>1.0</v>
      </c>
      <c r="F2175" s="2">
        <v>50.0</v>
      </c>
      <c r="G2175" s="2">
        <v>140600.0</v>
      </c>
    </row>
    <row r="2176" ht="14.25" customHeight="1">
      <c r="A2176" s="2">
        <v>2175.0</v>
      </c>
      <c r="B2176" s="2" t="s">
        <v>2686</v>
      </c>
      <c r="C2176" s="2" t="s">
        <v>4673</v>
      </c>
      <c r="D2176" s="2">
        <v>127.0</v>
      </c>
      <c r="E2176" s="2">
        <v>1.0</v>
      </c>
      <c r="F2176" s="2">
        <v>90.0</v>
      </c>
      <c r="G2176" s="2">
        <v>140500.0</v>
      </c>
    </row>
    <row r="2177" ht="14.25" customHeight="1">
      <c r="A2177" s="2">
        <v>2176.0</v>
      </c>
      <c r="B2177" s="2" t="s">
        <v>2621</v>
      </c>
      <c r="C2177" s="2" t="s">
        <v>4674</v>
      </c>
      <c r="D2177" s="2">
        <v>403.0</v>
      </c>
      <c r="E2177" s="2">
        <v>1.0</v>
      </c>
      <c r="F2177" s="2">
        <v>99.0</v>
      </c>
      <c r="G2177" s="2">
        <v>140500.0</v>
      </c>
    </row>
    <row r="2178" ht="14.25" customHeight="1">
      <c r="A2178" s="2">
        <v>2177.0</v>
      </c>
      <c r="B2178" s="2" t="s">
        <v>2518</v>
      </c>
      <c r="C2178" s="2" t="s">
        <v>4675</v>
      </c>
      <c r="D2178" s="2">
        <v>161.0</v>
      </c>
      <c r="E2178" s="2">
        <v>1.0</v>
      </c>
      <c r="F2178" s="2">
        <v>75.0</v>
      </c>
      <c r="G2178" s="2">
        <v>140400.0</v>
      </c>
    </row>
    <row r="2179" ht="14.25" customHeight="1">
      <c r="A2179" s="2">
        <v>2178.0</v>
      </c>
      <c r="B2179" s="2" t="s">
        <v>2479</v>
      </c>
      <c r="C2179" s="2" t="s">
        <v>4676</v>
      </c>
      <c r="D2179" s="2">
        <v>182.0</v>
      </c>
      <c r="E2179" s="2">
        <v>1.0</v>
      </c>
      <c r="F2179" s="2">
        <v>75.0</v>
      </c>
      <c r="G2179" s="2">
        <v>140400.0</v>
      </c>
    </row>
    <row r="2180" ht="14.25" customHeight="1">
      <c r="A2180" s="2">
        <v>2179.0</v>
      </c>
      <c r="B2180" s="2" t="s">
        <v>2582</v>
      </c>
      <c r="C2180" s="2" t="s">
        <v>4677</v>
      </c>
      <c r="D2180" s="2">
        <v>183.0</v>
      </c>
      <c r="E2180" s="2">
        <v>1.0</v>
      </c>
      <c r="F2180" s="2">
        <v>70.0</v>
      </c>
      <c r="G2180" s="2">
        <v>140400.0</v>
      </c>
    </row>
    <row r="2181" ht="14.25" customHeight="1">
      <c r="A2181" s="2">
        <v>2180.0</v>
      </c>
      <c r="B2181" s="2" t="s">
        <v>2582</v>
      </c>
      <c r="C2181" s="2" t="s">
        <v>4678</v>
      </c>
      <c r="D2181" s="2">
        <v>183.0</v>
      </c>
      <c r="E2181" s="2">
        <v>1.0</v>
      </c>
      <c r="F2181" s="2">
        <v>60.0</v>
      </c>
      <c r="G2181" s="2">
        <v>140400.0</v>
      </c>
    </row>
    <row r="2182" ht="14.25" customHeight="1">
      <c r="A2182" s="2">
        <v>2181.0</v>
      </c>
      <c r="B2182" s="2" t="s">
        <v>2488</v>
      </c>
      <c r="C2182" s="2" t="s">
        <v>4679</v>
      </c>
      <c r="D2182" s="2">
        <v>333.0</v>
      </c>
      <c r="E2182" s="2">
        <v>1.0</v>
      </c>
      <c r="F2182" s="2">
        <v>50.0</v>
      </c>
      <c r="G2182" s="2">
        <v>140400.0</v>
      </c>
    </row>
    <row r="2183" ht="14.25" customHeight="1">
      <c r="A2183" s="2">
        <v>2182.0</v>
      </c>
      <c r="B2183" s="2" t="s">
        <v>2505</v>
      </c>
      <c r="C2183" s="2" t="s">
        <v>4680</v>
      </c>
      <c r="D2183" s="2">
        <v>429.0</v>
      </c>
      <c r="E2183" s="2">
        <v>1.0</v>
      </c>
      <c r="F2183" s="2">
        <v>70.0</v>
      </c>
      <c r="G2183" s="2">
        <v>140400.0</v>
      </c>
    </row>
    <row r="2184" ht="14.25" customHeight="1">
      <c r="A2184" s="2">
        <v>2183.0</v>
      </c>
      <c r="B2184" s="2" t="s">
        <v>2636</v>
      </c>
      <c r="C2184" s="2" t="s">
        <v>4681</v>
      </c>
      <c r="D2184" s="2">
        <v>145.0</v>
      </c>
      <c r="E2184" s="2">
        <v>1.0</v>
      </c>
      <c r="F2184" s="2">
        <v>100.0</v>
      </c>
      <c r="G2184" s="2">
        <v>140300.0</v>
      </c>
    </row>
    <row r="2185" ht="14.25" customHeight="1">
      <c r="A2185" s="2">
        <v>2184.0</v>
      </c>
      <c r="B2185" s="2" t="s">
        <v>2512</v>
      </c>
      <c r="C2185" s="2" t="s">
        <v>4682</v>
      </c>
      <c r="D2185" s="2">
        <v>153.0</v>
      </c>
      <c r="E2185" s="2">
        <v>1.0</v>
      </c>
      <c r="F2185" s="2">
        <v>80.0</v>
      </c>
      <c r="G2185" s="2">
        <v>140300.0</v>
      </c>
    </row>
    <row r="2186" ht="14.25" customHeight="1">
      <c r="A2186" s="2">
        <v>2185.0</v>
      </c>
      <c r="B2186" s="2" t="s">
        <v>2534</v>
      </c>
      <c r="C2186" s="2" t="s">
        <v>4683</v>
      </c>
      <c r="D2186" s="2">
        <v>188.0</v>
      </c>
      <c r="E2186" s="2">
        <v>1.0</v>
      </c>
      <c r="F2186" s="2">
        <v>52.0</v>
      </c>
      <c r="G2186" s="2">
        <v>140300.0</v>
      </c>
    </row>
    <row r="2187" ht="14.25" customHeight="1">
      <c r="A2187" s="2">
        <v>2186.0</v>
      </c>
      <c r="B2187" s="2" t="s">
        <v>2576</v>
      </c>
      <c r="C2187" s="2" t="s">
        <v>4684</v>
      </c>
      <c r="D2187" s="2">
        <v>197.0</v>
      </c>
      <c r="E2187" s="2">
        <v>1.0</v>
      </c>
      <c r="F2187" s="2">
        <v>80.0</v>
      </c>
      <c r="G2187" s="2">
        <v>140300.0</v>
      </c>
    </row>
    <row r="2188" ht="14.25" customHeight="1">
      <c r="A2188" s="2">
        <v>2187.0</v>
      </c>
      <c r="B2188" s="2" t="s">
        <v>2576</v>
      </c>
      <c r="C2188" s="2" t="s">
        <v>4685</v>
      </c>
      <c r="D2188" s="2">
        <v>197.0</v>
      </c>
      <c r="E2188" s="2">
        <v>1.0</v>
      </c>
      <c r="F2188" s="2">
        <v>100.0</v>
      </c>
      <c r="G2188" s="2">
        <v>140300.0</v>
      </c>
    </row>
    <row r="2189" ht="14.25" customHeight="1">
      <c r="A2189" s="2">
        <v>2188.0</v>
      </c>
      <c r="B2189" s="2" t="s">
        <v>2512</v>
      </c>
      <c r="C2189" s="2" t="s">
        <v>4686</v>
      </c>
      <c r="D2189" s="2">
        <v>153.0</v>
      </c>
      <c r="E2189" s="2">
        <v>1.0</v>
      </c>
      <c r="F2189" s="2">
        <v>75.0</v>
      </c>
      <c r="G2189" s="2">
        <v>140200.0</v>
      </c>
    </row>
    <row r="2190" ht="14.25" customHeight="1">
      <c r="A2190" s="2">
        <v>2189.0</v>
      </c>
      <c r="B2190" s="2" t="s">
        <v>2571</v>
      </c>
      <c r="C2190" s="2" t="s">
        <v>4687</v>
      </c>
      <c r="D2190" s="2">
        <v>185.0</v>
      </c>
      <c r="E2190" s="2">
        <v>1.0</v>
      </c>
      <c r="F2190" s="2">
        <v>120.0</v>
      </c>
      <c r="G2190" s="2">
        <v>140200.0</v>
      </c>
    </row>
    <row r="2191" ht="14.25" customHeight="1">
      <c r="A2191" s="2">
        <v>2190.0</v>
      </c>
      <c r="B2191" s="2" t="s">
        <v>2576</v>
      </c>
      <c r="C2191" s="2" t="s">
        <v>4688</v>
      </c>
      <c r="D2191" s="2">
        <v>197.0</v>
      </c>
      <c r="E2191" s="2">
        <v>1.0</v>
      </c>
      <c r="F2191" s="2">
        <v>125.0</v>
      </c>
      <c r="G2191" s="2">
        <v>140200.0</v>
      </c>
    </row>
    <row r="2192" ht="14.25" customHeight="1">
      <c r="A2192" s="2">
        <v>2191.0</v>
      </c>
      <c r="B2192" s="2" t="s">
        <v>2475</v>
      </c>
      <c r="C2192" s="2" t="s">
        <v>4689</v>
      </c>
      <c r="D2192" s="2">
        <v>143.0</v>
      </c>
      <c r="E2192" s="2">
        <v>1.0</v>
      </c>
      <c r="F2192" s="2">
        <v>150.0</v>
      </c>
      <c r="G2192" s="2">
        <v>140100.0</v>
      </c>
    </row>
    <row r="2193" ht="14.25" customHeight="1">
      <c r="A2193" s="2">
        <v>2192.0</v>
      </c>
      <c r="B2193" s="2" t="s">
        <v>2744</v>
      </c>
      <c r="C2193" s="2" t="s">
        <v>4690</v>
      </c>
      <c r="D2193" s="2">
        <v>169.0</v>
      </c>
      <c r="E2193" s="2">
        <v>1.0</v>
      </c>
      <c r="F2193" s="2">
        <v>75.0</v>
      </c>
      <c r="G2193" s="2">
        <v>140100.0</v>
      </c>
    </row>
    <row r="2194" ht="14.25" customHeight="1">
      <c r="A2194" s="2">
        <v>2193.0</v>
      </c>
      <c r="B2194" s="2" t="s">
        <v>2507</v>
      </c>
      <c r="C2194" s="2" t="s">
        <v>4691</v>
      </c>
      <c r="D2194" s="2">
        <v>205.0</v>
      </c>
      <c r="E2194" s="2">
        <v>1.0</v>
      </c>
      <c r="F2194" s="2">
        <v>125.0</v>
      </c>
      <c r="G2194" s="2">
        <v>140100.0</v>
      </c>
    </row>
    <row r="2195" ht="14.25" customHeight="1">
      <c r="A2195" s="2">
        <v>2194.0</v>
      </c>
      <c r="B2195" s="2" t="s">
        <v>2524</v>
      </c>
      <c r="C2195" s="2" t="s">
        <v>4692</v>
      </c>
      <c r="D2195" s="2">
        <v>331.0</v>
      </c>
      <c r="E2195" s="2">
        <v>1.0</v>
      </c>
      <c r="F2195" s="2">
        <v>75.0</v>
      </c>
      <c r="G2195" s="2">
        <v>140100.0</v>
      </c>
    </row>
    <row r="2196" ht="14.25" customHeight="1">
      <c r="A2196" s="2">
        <v>2195.0</v>
      </c>
      <c r="B2196" s="2" t="s">
        <v>2686</v>
      </c>
      <c r="C2196" s="2" t="s">
        <v>4693</v>
      </c>
      <c r="D2196" s="2">
        <v>127.0</v>
      </c>
      <c r="E2196" s="2">
        <v>1.0</v>
      </c>
      <c r="F2196" s="2">
        <v>120.0</v>
      </c>
      <c r="G2196" s="2">
        <v>140000.0</v>
      </c>
    </row>
    <row r="2197" ht="14.25" customHeight="1">
      <c r="A2197" s="2">
        <v>2196.0</v>
      </c>
      <c r="B2197" s="2" t="s">
        <v>2594</v>
      </c>
      <c r="C2197" s="2" t="s">
        <v>4694</v>
      </c>
      <c r="D2197" s="2">
        <v>184.0</v>
      </c>
      <c r="E2197" s="2">
        <v>1.0</v>
      </c>
      <c r="F2197" s="2">
        <v>66.0</v>
      </c>
      <c r="G2197" s="2">
        <v>140000.0</v>
      </c>
    </row>
    <row r="2198" ht="14.25" customHeight="1">
      <c r="A2198" s="2">
        <v>2197.0</v>
      </c>
      <c r="B2198" s="2" t="s">
        <v>2576</v>
      </c>
      <c r="C2198" s="2" t="s">
        <v>4695</v>
      </c>
      <c r="D2198" s="2">
        <v>197.0</v>
      </c>
      <c r="E2198" s="2">
        <v>1.0</v>
      </c>
      <c r="F2198" s="2">
        <v>132.0</v>
      </c>
      <c r="G2198" s="2">
        <v>140000.0</v>
      </c>
    </row>
    <row r="2199" ht="14.25" customHeight="1">
      <c r="A2199" s="2">
        <v>2198.0</v>
      </c>
      <c r="B2199" s="2" t="s">
        <v>2488</v>
      </c>
      <c r="C2199" s="2" t="s">
        <v>4696</v>
      </c>
      <c r="D2199" s="2">
        <v>333.0</v>
      </c>
      <c r="E2199" s="2">
        <v>1.0</v>
      </c>
      <c r="F2199" s="2">
        <v>75.0</v>
      </c>
      <c r="G2199" s="2">
        <v>140000.0</v>
      </c>
    </row>
    <row r="2200" ht="14.25" customHeight="1">
      <c r="A2200" s="2">
        <v>2199.0</v>
      </c>
      <c r="B2200" s="2" t="s">
        <v>2621</v>
      </c>
      <c r="C2200" s="2" t="s">
        <v>4697</v>
      </c>
      <c r="D2200" s="2">
        <v>403.0</v>
      </c>
      <c r="E2200" s="2">
        <v>1.0</v>
      </c>
      <c r="F2200" s="2">
        <v>99.0</v>
      </c>
      <c r="G2200" s="2">
        <v>140000.0</v>
      </c>
    </row>
    <row r="2201" ht="14.25" customHeight="1">
      <c r="A2201" s="2">
        <v>2200.0</v>
      </c>
      <c r="B2201" s="2" t="s">
        <v>2541</v>
      </c>
      <c r="C2201" s="2" t="s">
        <v>4698</v>
      </c>
      <c r="D2201" s="2">
        <v>195.0</v>
      </c>
      <c r="E2201" s="2">
        <v>1.0</v>
      </c>
      <c r="F2201" s="2">
        <v>75.0</v>
      </c>
      <c r="G2201" s="2">
        <v>139900.0</v>
      </c>
    </row>
    <row r="2202" ht="14.25" customHeight="1">
      <c r="A2202" s="2">
        <v>2201.0</v>
      </c>
      <c r="B2202" s="2" t="s">
        <v>2651</v>
      </c>
      <c r="C2202" s="2" t="s">
        <v>4699</v>
      </c>
      <c r="D2202" s="2">
        <v>347.0</v>
      </c>
      <c r="E2202" s="2">
        <v>1.0</v>
      </c>
      <c r="F2202" s="2">
        <v>55.0</v>
      </c>
      <c r="G2202" s="2">
        <v>139900.0</v>
      </c>
    </row>
    <row r="2203" ht="14.25" customHeight="1">
      <c r="A2203" s="2">
        <v>2202.0</v>
      </c>
      <c r="B2203" s="2" t="s">
        <v>2571</v>
      </c>
      <c r="C2203" s="2" t="s">
        <v>4700</v>
      </c>
      <c r="D2203" s="2">
        <v>185.0</v>
      </c>
      <c r="E2203" s="2">
        <v>1.0</v>
      </c>
      <c r="F2203" s="2">
        <v>120.0</v>
      </c>
      <c r="G2203" s="2">
        <v>139800.0</v>
      </c>
    </row>
    <row r="2204" ht="14.25" customHeight="1">
      <c r="A2204" s="2">
        <v>2203.0</v>
      </c>
      <c r="B2204" s="2" t="s">
        <v>2501</v>
      </c>
      <c r="C2204" s="2" t="s">
        <v>4701</v>
      </c>
      <c r="D2204" s="2">
        <v>199.0</v>
      </c>
      <c r="E2204" s="2">
        <v>1.0</v>
      </c>
      <c r="F2204" s="2">
        <v>100.0</v>
      </c>
      <c r="G2204" s="2">
        <v>139800.0</v>
      </c>
    </row>
    <row r="2205" ht="14.25" customHeight="1">
      <c r="A2205" s="2">
        <v>2204.0</v>
      </c>
      <c r="B2205" s="2" t="s">
        <v>2594</v>
      </c>
      <c r="C2205" s="2" t="s">
        <v>4702</v>
      </c>
      <c r="D2205" s="2">
        <v>184.0</v>
      </c>
      <c r="E2205" s="2">
        <v>1.0</v>
      </c>
      <c r="F2205" s="2">
        <v>66.0</v>
      </c>
      <c r="G2205" s="2">
        <v>139700.0</v>
      </c>
    </row>
    <row r="2206" ht="14.25" customHeight="1">
      <c r="A2206" s="2">
        <v>2205.0</v>
      </c>
      <c r="B2206" s="2" t="s">
        <v>2553</v>
      </c>
      <c r="C2206" s="2" t="s">
        <v>4703</v>
      </c>
      <c r="D2206" s="2">
        <v>187.0</v>
      </c>
      <c r="E2206" s="2">
        <v>1.0</v>
      </c>
      <c r="F2206" s="2">
        <v>80.0</v>
      </c>
      <c r="G2206" s="2">
        <v>139700.0</v>
      </c>
    </row>
    <row r="2207" ht="14.25" customHeight="1">
      <c r="A2207" s="2">
        <v>2206.0</v>
      </c>
      <c r="B2207" s="2" t="s">
        <v>2497</v>
      </c>
      <c r="C2207" s="2" t="s">
        <v>4704</v>
      </c>
      <c r="D2207" s="2">
        <v>151.0</v>
      </c>
      <c r="E2207" s="2">
        <v>1.0</v>
      </c>
      <c r="F2207" s="2">
        <v>100.0</v>
      </c>
      <c r="G2207" s="2">
        <v>139600.0</v>
      </c>
    </row>
    <row r="2208" ht="14.25" customHeight="1">
      <c r="A2208" s="2">
        <v>2207.0</v>
      </c>
      <c r="B2208" s="2" t="s">
        <v>2479</v>
      </c>
      <c r="C2208" s="2" t="s">
        <v>4705</v>
      </c>
      <c r="D2208" s="2">
        <v>182.0</v>
      </c>
      <c r="E2208" s="2">
        <v>1.0</v>
      </c>
      <c r="F2208" s="2">
        <v>50.0</v>
      </c>
      <c r="G2208" s="2">
        <v>139600.0</v>
      </c>
    </row>
    <row r="2209" ht="14.25" customHeight="1">
      <c r="A2209" s="2">
        <v>2208.0</v>
      </c>
      <c r="B2209" s="2" t="s">
        <v>2558</v>
      </c>
      <c r="C2209" s="2" t="s">
        <v>4706</v>
      </c>
      <c r="D2209" s="2">
        <v>357.0</v>
      </c>
      <c r="E2209" s="2">
        <v>1.0</v>
      </c>
      <c r="F2209" s="2">
        <v>50.0</v>
      </c>
      <c r="G2209" s="2">
        <v>139600.0</v>
      </c>
    </row>
    <row r="2210" ht="14.25" customHeight="1">
      <c r="A2210" s="2">
        <v>2209.0</v>
      </c>
      <c r="B2210" s="2" t="s">
        <v>2503</v>
      </c>
      <c r="C2210" s="2" t="s">
        <v>4707</v>
      </c>
      <c r="D2210" s="2">
        <v>105.0</v>
      </c>
      <c r="E2210" s="2">
        <v>1.0</v>
      </c>
      <c r="F2210" s="2">
        <v>150.0</v>
      </c>
      <c r="G2210" s="2">
        <v>139500.0</v>
      </c>
    </row>
    <row r="2211" ht="14.25" customHeight="1">
      <c r="A2211" s="2">
        <v>2210.0</v>
      </c>
      <c r="B2211" s="2" t="s">
        <v>2477</v>
      </c>
      <c r="C2211" s="2" t="s">
        <v>4708</v>
      </c>
      <c r="D2211" s="2">
        <v>152.0</v>
      </c>
      <c r="E2211" s="2">
        <v>1.0</v>
      </c>
      <c r="F2211" s="2">
        <v>55.0</v>
      </c>
      <c r="G2211" s="2">
        <v>139500.0</v>
      </c>
    </row>
    <row r="2212" ht="14.25" customHeight="1">
      <c r="A2212" s="2">
        <v>2211.0</v>
      </c>
      <c r="B2212" s="2" t="s">
        <v>2744</v>
      </c>
      <c r="C2212" s="2" t="s">
        <v>4709</v>
      </c>
      <c r="D2212" s="2">
        <v>169.0</v>
      </c>
      <c r="E2212" s="2">
        <v>1.0</v>
      </c>
      <c r="F2212" s="2">
        <v>75.0</v>
      </c>
      <c r="G2212" s="2">
        <v>139500.0</v>
      </c>
    </row>
    <row r="2213" ht="14.25" customHeight="1">
      <c r="A2213" s="2">
        <v>2212.0</v>
      </c>
      <c r="B2213" s="2" t="s">
        <v>2945</v>
      </c>
      <c r="C2213" s="2" t="s">
        <v>4710</v>
      </c>
      <c r="D2213" s="2">
        <v>619.0</v>
      </c>
      <c r="E2213" s="2">
        <v>1.0</v>
      </c>
      <c r="F2213" s="2">
        <v>60.0</v>
      </c>
      <c r="G2213" s="2">
        <v>139500.0</v>
      </c>
    </row>
    <row r="2214" ht="14.25" customHeight="1">
      <c r="A2214" s="2">
        <v>2213.0</v>
      </c>
      <c r="B2214" s="2" t="s">
        <v>2518</v>
      </c>
      <c r="C2214" s="2" t="s">
        <v>4711</v>
      </c>
      <c r="D2214" s="2">
        <v>161.0</v>
      </c>
      <c r="E2214" s="2">
        <v>1.0</v>
      </c>
      <c r="F2214" s="2">
        <v>50.0</v>
      </c>
      <c r="G2214" s="2">
        <v>139400.0</v>
      </c>
    </row>
    <row r="2215" ht="14.25" customHeight="1">
      <c r="A2215" s="2">
        <v>2214.0</v>
      </c>
      <c r="B2215" s="2" t="s">
        <v>2503</v>
      </c>
      <c r="C2215" s="2" t="s">
        <v>4712</v>
      </c>
      <c r="D2215" s="2">
        <v>105.0</v>
      </c>
      <c r="E2215" s="2">
        <v>1.0</v>
      </c>
      <c r="F2215" s="2">
        <v>120.0</v>
      </c>
      <c r="G2215" s="2">
        <v>139300.0</v>
      </c>
    </row>
    <row r="2216" ht="14.25" customHeight="1">
      <c r="A2216" s="2">
        <v>2215.0</v>
      </c>
      <c r="B2216" s="2" t="s">
        <v>2553</v>
      </c>
      <c r="C2216" s="2" t="s">
        <v>4713</v>
      </c>
      <c r="D2216" s="2">
        <v>187.0</v>
      </c>
      <c r="E2216" s="2">
        <v>1.0</v>
      </c>
      <c r="F2216" s="2">
        <v>50.0</v>
      </c>
      <c r="G2216" s="2">
        <v>139300.0</v>
      </c>
    </row>
    <row r="2217" ht="14.25" customHeight="1">
      <c r="A2217" s="2">
        <v>2216.0</v>
      </c>
      <c r="B2217" s="2" t="s">
        <v>2501</v>
      </c>
      <c r="C2217" s="2" t="s">
        <v>4714</v>
      </c>
      <c r="D2217" s="2">
        <v>199.0</v>
      </c>
      <c r="E2217" s="2">
        <v>1.0</v>
      </c>
      <c r="F2217" s="2">
        <v>100.0</v>
      </c>
      <c r="G2217" s="2">
        <v>139300.0</v>
      </c>
    </row>
    <row r="2218" ht="14.25" customHeight="1">
      <c r="A2218" s="2">
        <v>2217.0</v>
      </c>
      <c r="B2218" s="2" t="s">
        <v>2503</v>
      </c>
      <c r="C2218" s="2" t="s">
        <v>4715</v>
      </c>
      <c r="D2218" s="2">
        <v>105.0</v>
      </c>
      <c r="E2218" s="2">
        <v>1.0</v>
      </c>
      <c r="F2218" s="2">
        <v>120.0</v>
      </c>
      <c r="G2218" s="2">
        <v>139200.0</v>
      </c>
    </row>
    <row r="2219" ht="14.25" customHeight="1">
      <c r="A2219" s="2">
        <v>2218.0</v>
      </c>
      <c r="B2219" s="2" t="s">
        <v>2549</v>
      </c>
      <c r="C2219" s="2" t="s">
        <v>4716</v>
      </c>
      <c r="D2219" s="2">
        <v>115.0</v>
      </c>
      <c r="E2219" s="2">
        <v>1.0</v>
      </c>
      <c r="F2219" s="2">
        <v>100.0</v>
      </c>
      <c r="G2219" s="2">
        <v>139200.0</v>
      </c>
    </row>
    <row r="2220" ht="14.25" customHeight="1">
      <c r="A2220" s="2">
        <v>2219.0</v>
      </c>
      <c r="B2220" s="2" t="s">
        <v>2512</v>
      </c>
      <c r="C2220" s="2" t="s">
        <v>4717</v>
      </c>
      <c r="D2220" s="2">
        <v>153.0</v>
      </c>
      <c r="E2220" s="2">
        <v>1.0</v>
      </c>
      <c r="F2220" s="2">
        <v>50.0</v>
      </c>
      <c r="G2220" s="2">
        <v>139200.0</v>
      </c>
    </row>
    <row r="2221" ht="14.25" customHeight="1">
      <c r="A2221" s="2">
        <v>2220.0</v>
      </c>
      <c r="B2221" s="2" t="s">
        <v>2582</v>
      </c>
      <c r="C2221" s="2" t="s">
        <v>4718</v>
      </c>
      <c r="D2221" s="2">
        <v>183.0</v>
      </c>
      <c r="E2221" s="2">
        <v>1.0</v>
      </c>
      <c r="F2221" s="2">
        <v>50.0</v>
      </c>
      <c r="G2221" s="2">
        <v>139200.0</v>
      </c>
    </row>
    <row r="2222" ht="14.25" customHeight="1">
      <c r="A2222" s="2">
        <v>2221.0</v>
      </c>
      <c r="B2222" s="2" t="s">
        <v>2553</v>
      </c>
      <c r="C2222" s="2" t="s">
        <v>4719</v>
      </c>
      <c r="D2222" s="2">
        <v>187.0</v>
      </c>
      <c r="E2222" s="2">
        <v>1.0</v>
      </c>
      <c r="F2222" s="2">
        <v>105.0</v>
      </c>
      <c r="G2222" s="2">
        <v>139200.0</v>
      </c>
    </row>
    <row r="2223" ht="14.25" customHeight="1">
      <c r="A2223" s="2">
        <v>2222.0</v>
      </c>
      <c r="B2223" s="2" t="s">
        <v>2507</v>
      </c>
      <c r="C2223" s="2" t="s">
        <v>4720</v>
      </c>
      <c r="D2223" s="2">
        <v>205.0</v>
      </c>
      <c r="E2223" s="2">
        <v>1.0</v>
      </c>
      <c r="F2223" s="2">
        <v>100.0</v>
      </c>
      <c r="G2223" s="2">
        <v>139200.0</v>
      </c>
    </row>
    <row r="2224" ht="14.25" customHeight="1">
      <c r="A2224" s="2">
        <v>2223.0</v>
      </c>
      <c r="B2224" s="2" t="s">
        <v>2686</v>
      </c>
      <c r="C2224" s="2" t="s">
        <v>4721</v>
      </c>
      <c r="D2224" s="2">
        <v>127.0</v>
      </c>
      <c r="E2224" s="2">
        <v>1.0</v>
      </c>
      <c r="F2224" s="2">
        <v>90.0</v>
      </c>
      <c r="G2224" s="2">
        <v>139100.0</v>
      </c>
    </row>
    <row r="2225" ht="14.25" customHeight="1">
      <c r="A2225" s="2">
        <v>2224.0</v>
      </c>
      <c r="B2225" s="2" t="s">
        <v>2686</v>
      </c>
      <c r="C2225" s="2" t="s">
        <v>4722</v>
      </c>
      <c r="D2225" s="2">
        <v>127.0</v>
      </c>
      <c r="E2225" s="2">
        <v>1.0</v>
      </c>
      <c r="F2225" s="2">
        <v>90.0</v>
      </c>
      <c r="G2225" s="2">
        <v>139100.0</v>
      </c>
    </row>
    <row r="2226" ht="14.25" customHeight="1">
      <c r="A2226" s="2">
        <v>2225.0</v>
      </c>
      <c r="B2226" s="2" t="s">
        <v>2571</v>
      </c>
      <c r="C2226" s="2" t="s">
        <v>4723</v>
      </c>
      <c r="D2226" s="2">
        <v>185.0</v>
      </c>
      <c r="E2226" s="2">
        <v>1.0</v>
      </c>
      <c r="F2226" s="2">
        <v>100.0</v>
      </c>
      <c r="G2226" s="2">
        <v>139100.0</v>
      </c>
    </row>
    <row r="2227" ht="14.25" customHeight="1">
      <c r="A2227" s="2">
        <v>2226.0</v>
      </c>
      <c r="B2227" s="2" t="s">
        <v>2541</v>
      </c>
      <c r="C2227" s="2" t="s">
        <v>4724</v>
      </c>
      <c r="D2227" s="2">
        <v>195.0</v>
      </c>
      <c r="E2227" s="2">
        <v>1.0</v>
      </c>
      <c r="F2227" s="2">
        <v>150.0</v>
      </c>
      <c r="G2227" s="2">
        <v>139100.0</v>
      </c>
    </row>
    <row r="2228" ht="14.25" customHeight="1">
      <c r="A2228" s="2">
        <v>2227.0</v>
      </c>
      <c r="B2228" s="2" t="s">
        <v>2636</v>
      </c>
      <c r="C2228" s="2" t="s">
        <v>4725</v>
      </c>
      <c r="D2228" s="2">
        <v>145.0</v>
      </c>
      <c r="E2228" s="2">
        <v>1.0</v>
      </c>
      <c r="F2228" s="2">
        <v>75.0</v>
      </c>
      <c r="G2228" s="2">
        <v>139000.0</v>
      </c>
    </row>
    <row r="2229" ht="14.25" customHeight="1">
      <c r="A2229" s="2">
        <v>2228.0</v>
      </c>
      <c r="B2229" s="2" t="s">
        <v>2945</v>
      </c>
      <c r="C2229" s="2" t="s">
        <v>4726</v>
      </c>
      <c r="D2229" s="2">
        <v>619.0</v>
      </c>
      <c r="E2229" s="2">
        <v>1.0</v>
      </c>
      <c r="F2229" s="2">
        <v>50.0</v>
      </c>
      <c r="G2229" s="2">
        <v>139000.0</v>
      </c>
    </row>
    <row r="2230" ht="14.25" customHeight="1">
      <c r="A2230" s="2">
        <v>2229.0</v>
      </c>
      <c r="B2230" s="2" t="s">
        <v>2636</v>
      </c>
      <c r="C2230" s="2" t="s">
        <v>4727</v>
      </c>
      <c r="D2230" s="2">
        <v>145.0</v>
      </c>
      <c r="E2230" s="2">
        <v>1.0</v>
      </c>
      <c r="F2230" s="2">
        <v>200.0</v>
      </c>
      <c r="G2230" s="2">
        <v>138900.0</v>
      </c>
    </row>
    <row r="2231" ht="14.25" customHeight="1">
      <c r="A2231" s="2">
        <v>2230.0</v>
      </c>
      <c r="B2231" s="2" t="s">
        <v>2636</v>
      </c>
      <c r="C2231" s="2" t="s">
        <v>4728</v>
      </c>
      <c r="D2231" s="2">
        <v>145.0</v>
      </c>
      <c r="E2231" s="2">
        <v>1.0</v>
      </c>
      <c r="F2231" s="2">
        <v>75.0</v>
      </c>
      <c r="G2231" s="2">
        <v>138900.0</v>
      </c>
    </row>
    <row r="2232" ht="14.25" customHeight="1">
      <c r="A2232" s="2">
        <v>2231.0</v>
      </c>
      <c r="B2232" s="2" t="s">
        <v>2553</v>
      </c>
      <c r="C2232" s="2" t="s">
        <v>4729</v>
      </c>
      <c r="D2232" s="2">
        <v>187.0</v>
      </c>
      <c r="E2232" s="2">
        <v>1.0</v>
      </c>
      <c r="F2232" s="2">
        <v>100.0</v>
      </c>
      <c r="G2232" s="2">
        <v>138900.0</v>
      </c>
    </row>
    <row r="2233" ht="14.25" customHeight="1">
      <c r="A2233" s="2">
        <v>2232.0</v>
      </c>
      <c r="B2233" s="2" t="s">
        <v>2534</v>
      </c>
      <c r="C2233" s="2" t="s">
        <v>4730</v>
      </c>
      <c r="D2233" s="2">
        <v>188.0</v>
      </c>
      <c r="E2233" s="2">
        <v>1.0</v>
      </c>
      <c r="F2233" s="2">
        <v>100.0</v>
      </c>
      <c r="G2233" s="2">
        <v>138900.0</v>
      </c>
    </row>
    <row r="2234" ht="14.25" customHeight="1">
      <c r="A2234" s="2">
        <v>2233.0</v>
      </c>
      <c r="B2234" s="2" t="s">
        <v>2686</v>
      </c>
      <c r="C2234" s="2" t="s">
        <v>4731</v>
      </c>
      <c r="D2234" s="2">
        <v>127.0</v>
      </c>
      <c r="E2234" s="2">
        <v>1.0</v>
      </c>
      <c r="F2234" s="2">
        <v>100.0</v>
      </c>
      <c r="G2234" s="2">
        <v>138800.0</v>
      </c>
    </row>
    <row r="2235" ht="14.25" customHeight="1">
      <c r="A2235" s="2">
        <v>2234.0</v>
      </c>
      <c r="B2235" s="2" t="s">
        <v>2534</v>
      </c>
      <c r="C2235" s="2" t="s">
        <v>4732</v>
      </c>
      <c r="D2235" s="2">
        <v>188.0</v>
      </c>
      <c r="E2235" s="2">
        <v>1.0</v>
      </c>
      <c r="F2235" s="2">
        <v>100.0</v>
      </c>
      <c r="G2235" s="2">
        <v>138800.0</v>
      </c>
    </row>
    <row r="2236" ht="14.25" customHeight="1">
      <c r="A2236" s="2">
        <v>2235.0</v>
      </c>
      <c r="B2236" s="2" t="s">
        <v>2507</v>
      </c>
      <c r="C2236" s="2" t="s">
        <v>4733</v>
      </c>
      <c r="D2236" s="2">
        <v>205.0</v>
      </c>
      <c r="E2236" s="2">
        <v>1.0</v>
      </c>
      <c r="F2236" s="2">
        <v>75.0</v>
      </c>
      <c r="G2236" s="2">
        <v>138800.0</v>
      </c>
    </row>
    <row r="2237" ht="14.25" customHeight="1">
      <c r="A2237" s="2">
        <v>2236.0</v>
      </c>
      <c r="B2237" s="2" t="s">
        <v>2651</v>
      </c>
      <c r="C2237" s="2" t="s">
        <v>4734</v>
      </c>
      <c r="D2237" s="2">
        <v>347.0</v>
      </c>
      <c r="E2237" s="2">
        <v>1.0</v>
      </c>
      <c r="F2237" s="2">
        <v>54.0</v>
      </c>
      <c r="G2237" s="2">
        <v>138800.0</v>
      </c>
    </row>
    <row r="2238" ht="14.25" customHeight="1">
      <c r="A2238" s="2">
        <v>2237.0</v>
      </c>
      <c r="B2238" s="2" t="s">
        <v>2686</v>
      </c>
      <c r="C2238" s="2" t="s">
        <v>4735</v>
      </c>
      <c r="D2238" s="2">
        <v>127.0</v>
      </c>
      <c r="E2238" s="2">
        <v>1.0</v>
      </c>
      <c r="F2238" s="2">
        <v>132.0</v>
      </c>
      <c r="G2238" s="2">
        <v>138700.0</v>
      </c>
    </row>
    <row r="2239" ht="14.25" customHeight="1">
      <c r="A2239" s="2">
        <v>2238.0</v>
      </c>
      <c r="B2239" s="2" t="s">
        <v>2744</v>
      </c>
      <c r="C2239" s="2" t="s">
        <v>4736</v>
      </c>
      <c r="D2239" s="2">
        <v>169.0</v>
      </c>
      <c r="E2239" s="2">
        <v>1.0</v>
      </c>
      <c r="F2239" s="2">
        <v>125.0</v>
      </c>
      <c r="G2239" s="2">
        <v>138700.0</v>
      </c>
    </row>
    <row r="2240" ht="14.25" customHeight="1">
      <c r="A2240" s="2">
        <v>2239.0</v>
      </c>
      <c r="B2240" s="2" t="s">
        <v>2553</v>
      </c>
      <c r="C2240" s="2" t="s">
        <v>4737</v>
      </c>
      <c r="D2240" s="2">
        <v>187.0</v>
      </c>
      <c r="E2240" s="2">
        <v>1.0</v>
      </c>
      <c r="F2240" s="2">
        <v>88.0</v>
      </c>
      <c r="G2240" s="2">
        <v>138700.0</v>
      </c>
    </row>
    <row r="2241" ht="14.25" customHeight="1">
      <c r="A2241" s="2">
        <v>2240.0</v>
      </c>
      <c r="B2241" s="2" t="s">
        <v>2541</v>
      </c>
      <c r="C2241" s="2" t="s">
        <v>4738</v>
      </c>
      <c r="D2241" s="2">
        <v>195.0</v>
      </c>
      <c r="E2241" s="2">
        <v>1.0</v>
      </c>
      <c r="F2241" s="2">
        <v>70.0</v>
      </c>
      <c r="G2241" s="2">
        <v>138700.0</v>
      </c>
    </row>
    <row r="2242" ht="14.25" customHeight="1">
      <c r="A2242" s="2">
        <v>2241.0</v>
      </c>
      <c r="B2242" s="2" t="s">
        <v>2621</v>
      </c>
      <c r="C2242" s="2" t="s">
        <v>4739</v>
      </c>
      <c r="D2242" s="2">
        <v>403.0</v>
      </c>
      <c r="E2242" s="2">
        <v>1.0</v>
      </c>
      <c r="F2242" s="2">
        <v>70.0</v>
      </c>
      <c r="G2242" s="2">
        <v>138700.0</v>
      </c>
    </row>
    <row r="2243" ht="14.25" customHeight="1">
      <c r="A2243" s="2">
        <v>2242.0</v>
      </c>
      <c r="B2243" s="2" t="s">
        <v>2505</v>
      </c>
      <c r="C2243" s="2" t="s">
        <v>4740</v>
      </c>
      <c r="D2243" s="2">
        <v>429.0</v>
      </c>
      <c r="E2243" s="2">
        <v>1.0</v>
      </c>
      <c r="F2243" s="2">
        <v>75.0</v>
      </c>
      <c r="G2243" s="2">
        <v>138700.0</v>
      </c>
    </row>
    <row r="2244" ht="14.25" customHeight="1">
      <c r="A2244" s="2">
        <v>2243.0</v>
      </c>
      <c r="B2244" s="2" t="s">
        <v>2686</v>
      </c>
      <c r="C2244" s="2" t="s">
        <v>4741</v>
      </c>
      <c r="D2244" s="2">
        <v>127.0</v>
      </c>
      <c r="E2244" s="2">
        <v>1.0</v>
      </c>
      <c r="F2244" s="2">
        <v>60.0</v>
      </c>
      <c r="G2244" s="2">
        <v>138600.0</v>
      </c>
    </row>
    <row r="2245" ht="14.25" customHeight="1">
      <c r="A2245" s="2">
        <v>2244.0</v>
      </c>
      <c r="B2245" s="2" t="s">
        <v>2477</v>
      </c>
      <c r="C2245" s="2" t="s">
        <v>4742</v>
      </c>
      <c r="D2245" s="2">
        <v>152.0</v>
      </c>
      <c r="E2245" s="2">
        <v>1.0</v>
      </c>
      <c r="F2245" s="2">
        <v>110.0</v>
      </c>
      <c r="G2245" s="2">
        <v>138600.0</v>
      </c>
    </row>
    <row r="2246" ht="14.25" customHeight="1">
      <c r="A2246" s="2">
        <v>2245.0</v>
      </c>
      <c r="B2246" s="2" t="s">
        <v>2512</v>
      </c>
      <c r="C2246" s="2" t="s">
        <v>4743</v>
      </c>
      <c r="D2246" s="2">
        <v>153.0</v>
      </c>
      <c r="E2246" s="2">
        <v>1.0</v>
      </c>
      <c r="F2246" s="2">
        <v>50.0</v>
      </c>
      <c r="G2246" s="2">
        <v>138600.0</v>
      </c>
    </row>
    <row r="2247" ht="14.25" customHeight="1">
      <c r="A2247" s="2">
        <v>2246.0</v>
      </c>
      <c r="B2247" s="2" t="s">
        <v>2582</v>
      </c>
      <c r="C2247" s="2" t="s">
        <v>4744</v>
      </c>
      <c r="D2247" s="2">
        <v>183.0</v>
      </c>
      <c r="E2247" s="2">
        <v>1.0</v>
      </c>
      <c r="F2247" s="2">
        <v>75.0</v>
      </c>
      <c r="G2247" s="2">
        <v>138600.0</v>
      </c>
    </row>
    <row r="2248" ht="14.25" customHeight="1">
      <c r="A2248" s="2">
        <v>2247.0</v>
      </c>
      <c r="B2248" s="2" t="s">
        <v>2594</v>
      </c>
      <c r="C2248" s="2" t="s">
        <v>4745</v>
      </c>
      <c r="D2248" s="2">
        <v>184.0</v>
      </c>
      <c r="E2248" s="2">
        <v>1.0</v>
      </c>
      <c r="F2248" s="2">
        <v>150.0</v>
      </c>
      <c r="G2248" s="2">
        <v>138600.0</v>
      </c>
    </row>
    <row r="2249" ht="14.25" customHeight="1">
      <c r="A2249" s="2">
        <v>2248.0</v>
      </c>
      <c r="B2249" s="2" t="s">
        <v>2488</v>
      </c>
      <c r="C2249" s="2" t="s">
        <v>4746</v>
      </c>
      <c r="D2249" s="2">
        <v>333.0</v>
      </c>
      <c r="E2249" s="2">
        <v>1.0</v>
      </c>
      <c r="F2249" s="2">
        <v>60.0</v>
      </c>
      <c r="G2249" s="2">
        <v>138600.0</v>
      </c>
    </row>
    <row r="2250" ht="14.25" customHeight="1">
      <c r="A2250" s="2">
        <v>2249.0</v>
      </c>
      <c r="B2250" s="2" t="s">
        <v>2686</v>
      </c>
      <c r="C2250" s="2" t="s">
        <v>4747</v>
      </c>
      <c r="D2250" s="2">
        <v>127.0</v>
      </c>
      <c r="E2250" s="2">
        <v>1.0</v>
      </c>
      <c r="F2250" s="2">
        <v>120.0</v>
      </c>
      <c r="G2250" s="2">
        <v>138500.0</v>
      </c>
    </row>
    <row r="2251" ht="14.25" customHeight="1">
      <c r="A2251" s="2">
        <v>2250.0</v>
      </c>
      <c r="B2251" s="2" t="s">
        <v>2518</v>
      </c>
      <c r="C2251" s="2" t="s">
        <v>4748</v>
      </c>
      <c r="D2251" s="2">
        <v>161.0</v>
      </c>
      <c r="E2251" s="2">
        <v>1.0</v>
      </c>
      <c r="F2251" s="2">
        <v>50.0</v>
      </c>
      <c r="G2251" s="2">
        <v>138500.0</v>
      </c>
    </row>
    <row r="2252" ht="14.25" customHeight="1">
      <c r="A2252" s="2">
        <v>2251.0</v>
      </c>
      <c r="B2252" s="2" t="s">
        <v>2621</v>
      </c>
      <c r="C2252" s="2" t="s">
        <v>4749</v>
      </c>
      <c r="D2252" s="2">
        <v>403.0</v>
      </c>
      <c r="E2252" s="2">
        <v>1.0</v>
      </c>
      <c r="F2252" s="2">
        <v>66.0</v>
      </c>
      <c r="G2252" s="2">
        <v>138500.0</v>
      </c>
    </row>
    <row r="2253" ht="14.25" customHeight="1">
      <c r="A2253" s="2">
        <v>2252.0</v>
      </c>
      <c r="B2253" s="2" t="s">
        <v>2686</v>
      </c>
      <c r="C2253" s="2" t="s">
        <v>4750</v>
      </c>
      <c r="D2253" s="2">
        <v>127.0</v>
      </c>
      <c r="E2253" s="2">
        <v>1.0</v>
      </c>
      <c r="F2253" s="2">
        <v>90.0</v>
      </c>
      <c r="G2253" s="2">
        <v>138400.0</v>
      </c>
    </row>
    <row r="2254" ht="14.25" customHeight="1">
      <c r="A2254" s="2">
        <v>2253.0</v>
      </c>
      <c r="B2254" s="2" t="s">
        <v>2604</v>
      </c>
      <c r="C2254" s="2" t="s">
        <v>4751</v>
      </c>
      <c r="D2254" s="2">
        <v>200.0</v>
      </c>
      <c r="E2254" s="2">
        <v>1.0</v>
      </c>
      <c r="F2254" s="2">
        <v>100.0</v>
      </c>
      <c r="G2254" s="2">
        <v>138400.0</v>
      </c>
    </row>
    <row r="2255" ht="14.25" customHeight="1">
      <c r="A2255" s="2">
        <v>2254.0</v>
      </c>
      <c r="B2255" s="2" t="s">
        <v>2582</v>
      </c>
      <c r="C2255" s="2" t="s">
        <v>4752</v>
      </c>
      <c r="D2255" s="2">
        <v>183.0</v>
      </c>
      <c r="E2255" s="2">
        <v>1.0</v>
      </c>
      <c r="F2255" s="2">
        <v>65.0</v>
      </c>
      <c r="G2255" s="2">
        <v>138300.0</v>
      </c>
    </row>
    <row r="2256" ht="14.25" customHeight="1">
      <c r="A2256" s="2">
        <v>2255.0</v>
      </c>
      <c r="B2256" s="2" t="s">
        <v>2541</v>
      </c>
      <c r="C2256" s="2" t="s">
        <v>4753</v>
      </c>
      <c r="D2256" s="2">
        <v>195.0</v>
      </c>
      <c r="E2256" s="2">
        <v>1.0</v>
      </c>
      <c r="F2256" s="2">
        <v>66.0</v>
      </c>
      <c r="G2256" s="2">
        <v>138300.0</v>
      </c>
    </row>
    <row r="2257" ht="14.25" customHeight="1">
      <c r="A2257" s="2">
        <v>2256.0</v>
      </c>
      <c r="B2257" s="2" t="s">
        <v>2534</v>
      </c>
      <c r="C2257" s="2" t="s">
        <v>4754</v>
      </c>
      <c r="D2257" s="2">
        <v>188.0</v>
      </c>
      <c r="E2257" s="2">
        <v>1.0</v>
      </c>
      <c r="F2257" s="2">
        <v>70.0</v>
      </c>
      <c r="G2257" s="2">
        <v>138200.0</v>
      </c>
    </row>
    <row r="2258" ht="14.25" customHeight="1">
      <c r="A2258" s="2">
        <v>2257.0</v>
      </c>
      <c r="B2258" s="2" t="s">
        <v>2501</v>
      </c>
      <c r="C2258" s="2" t="s">
        <v>4755</v>
      </c>
      <c r="D2258" s="2">
        <v>199.0</v>
      </c>
      <c r="E2258" s="2">
        <v>1.0</v>
      </c>
      <c r="F2258" s="2">
        <v>50.0</v>
      </c>
      <c r="G2258" s="2">
        <v>138200.0</v>
      </c>
    </row>
    <row r="2259" ht="14.25" customHeight="1">
      <c r="A2259" s="2">
        <v>2258.0</v>
      </c>
      <c r="B2259" s="2" t="s">
        <v>2503</v>
      </c>
      <c r="C2259" s="2" t="s">
        <v>4756</v>
      </c>
      <c r="D2259" s="2">
        <v>105.0</v>
      </c>
      <c r="E2259" s="2">
        <v>1.0</v>
      </c>
      <c r="F2259" s="2">
        <v>75.0</v>
      </c>
      <c r="G2259" s="2">
        <v>138100.0</v>
      </c>
    </row>
    <row r="2260" ht="14.25" customHeight="1">
      <c r="A2260" s="2">
        <v>2259.0</v>
      </c>
      <c r="B2260" s="2" t="s">
        <v>2594</v>
      </c>
      <c r="C2260" s="2" t="s">
        <v>4757</v>
      </c>
      <c r="D2260" s="2">
        <v>184.0</v>
      </c>
      <c r="E2260" s="2">
        <v>1.0</v>
      </c>
      <c r="F2260" s="2">
        <v>50.0</v>
      </c>
      <c r="G2260" s="2">
        <v>138100.0</v>
      </c>
    </row>
    <row r="2261" ht="14.25" customHeight="1">
      <c r="A2261" s="2">
        <v>2260.0</v>
      </c>
      <c r="B2261" s="2" t="s">
        <v>2686</v>
      </c>
      <c r="C2261" s="2" t="s">
        <v>4758</v>
      </c>
      <c r="D2261" s="2">
        <v>127.0</v>
      </c>
      <c r="E2261" s="2">
        <v>1.0</v>
      </c>
      <c r="F2261" s="2">
        <v>66.0</v>
      </c>
      <c r="G2261" s="2">
        <v>138000.0</v>
      </c>
    </row>
    <row r="2262" ht="14.25" customHeight="1">
      <c r="A2262" s="2">
        <v>2261.0</v>
      </c>
      <c r="B2262" s="2" t="s">
        <v>2744</v>
      </c>
      <c r="C2262" s="2" t="s">
        <v>4759</v>
      </c>
      <c r="D2262" s="2">
        <v>169.0</v>
      </c>
      <c r="E2262" s="2">
        <v>1.0</v>
      </c>
      <c r="F2262" s="2">
        <v>50.0</v>
      </c>
      <c r="G2262" s="2">
        <v>138000.0</v>
      </c>
    </row>
    <row r="2263" ht="14.25" customHeight="1">
      <c r="A2263" s="2">
        <v>2262.0</v>
      </c>
      <c r="B2263" s="2" t="s">
        <v>2582</v>
      </c>
      <c r="C2263" s="2" t="s">
        <v>4760</v>
      </c>
      <c r="D2263" s="2">
        <v>183.0</v>
      </c>
      <c r="E2263" s="2">
        <v>1.0</v>
      </c>
      <c r="F2263" s="2">
        <v>100.0</v>
      </c>
      <c r="G2263" s="2">
        <v>138000.0</v>
      </c>
    </row>
    <row r="2264" ht="14.25" customHeight="1">
      <c r="A2264" s="2">
        <v>2263.0</v>
      </c>
      <c r="B2264" s="2" t="s">
        <v>2604</v>
      </c>
      <c r="C2264" s="2" t="s">
        <v>4761</v>
      </c>
      <c r="D2264" s="2">
        <v>200.0</v>
      </c>
      <c r="E2264" s="2">
        <v>1.0</v>
      </c>
      <c r="F2264" s="2">
        <v>75.0</v>
      </c>
      <c r="G2264" s="2">
        <v>138000.0</v>
      </c>
    </row>
    <row r="2265" ht="14.25" customHeight="1">
      <c r="A2265" s="2">
        <v>2264.0</v>
      </c>
      <c r="B2265" s="2" t="s">
        <v>2479</v>
      </c>
      <c r="C2265" s="2" t="s">
        <v>4762</v>
      </c>
      <c r="D2265" s="2">
        <v>182.0</v>
      </c>
      <c r="E2265" s="2">
        <v>1.0</v>
      </c>
      <c r="F2265" s="2">
        <v>100.0</v>
      </c>
      <c r="G2265" s="2">
        <v>137900.0</v>
      </c>
    </row>
    <row r="2266" ht="14.25" customHeight="1">
      <c r="A2266" s="2">
        <v>2265.0</v>
      </c>
      <c r="B2266" s="2" t="s">
        <v>2582</v>
      </c>
      <c r="C2266" s="2" t="s">
        <v>4763</v>
      </c>
      <c r="D2266" s="2">
        <v>183.0</v>
      </c>
      <c r="E2266" s="2">
        <v>1.0</v>
      </c>
      <c r="F2266" s="2">
        <v>100.1</v>
      </c>
      <c r="G2266" s="2">
        <v>137900.0</v>
      </c>
    </row>
    <row r="2267" ht="14.25" customHeight="1">
      <c r="A2267" s="2">
        <v>2266.0</v>
      </c>
      <c r="B2267" s="2" t="s">
        <v>2594</v>
      </c>
      <c r="C2267" s="2" t="s">
        <v>4764</v>
      </c>
      <c r="D2267" s="2">
        <v>184.0</v>
      </c>
      <c r="E2267" s="2">
        <v>1.0</v>
      </c>
      <c r="F2267" s="2">
        <v>66.0</v>
      </c>
      <c r="G2267" s="2">
        <v>137900.0</v>
      </c>
    </row>
    <row r="2268" ht="14.25" customHeight="1">
      <c r="A2268" s="2">
        <v>2267.0</v>
      </c>
      <c r="B2268" s="2" t="s">
        <v>2604</v>
      </c>
      <c r="C2268" s="2" t="s">
        <v>4765</v>
      </c>
      <c r="D2268" s="2">
        <v>200.0</v>
      </c>
      <c r="E2268" s="2">
        <v>1.0</v>
      </c>
      <c r="F2268" s="2">
        <v>50.0</v>
      </c>
      <c r="G2268" s="2">
        <v>137900.0</v>
      </c>
    </row>
    <row r="2269" ht="14.25" customHeight="1">
      <c r="A2269" s="2">
        <v>2268.0</v>
      </c>
      <c r="B2269" s="2" t="s">
        <v>2549</v>
      </c>
      <c r="C2269" s="2" t="s">
        <v>4766</v>
      </c>
      <c r="D2269" s="2">
        <v>115.0</v>
      </c>
      <c r="E2269" s="2">
        <v>1.0</v>
      </c>
      <c r="F2269" s="2">
        <v>100.0</v>
      </c>
      <c r="G2269" s="2">
        <v>137800.0</v>
      </c>
    </row>
    <row r="2270" ht="14.25" customHeight="1">
      <c r="A2270" s="2">
        <v>2269.0</v>
      </c>
      <c r="B2270" s="2" t="s">
        <v>2497</v>
      </c>
      <c r="C2270" s="2" t="s">
        <v>4767</v>
      </c>
      <c r="D2270" s="2">
        <v>151.0</v>
      </c>
      <c r="E2270" s="2">
        <v>1.0</v>
      </c>
      <c r="F2270" s="2">
        <v>60.0</v>
      </c>
      <c r="G2270" s="2">
        <v>137800.0</v>
      </c>
    </row>
    <row r="2271" ht="14.25" customHeight="1">
      <c r="A2271" s="2">
        <v>2270.0</v>
      </c>
      <c r="B2271" s="2" t="s">
        <v>2479</v>
      </c>
      <c r="C2271" s="2" t="s">
        <v>4768</v>
      </c>
      <c r="D2271" s="2">
        <v>182.0</v>
      </c>
      <c r="E2271" s="2">
        <v>1.0</v>
      </c>
      <c r="F2271" s="2">
        <v>100.0</v>
      </c>
      <c r="G2271" s="2">
        <v>137800.0</v>
      </c>
    </row>
    <row r="2272" ht="14.25" customHeight="1">
      <c r="A2272" s="2">
        <v>2271.0</v>
      </c>
      <c r="B2272" s="2" t="s">
        <v>2571</v>
      </c>
      <c r="C2272" s="2" t="s">
        <v>4769</v>
      </c>
      <c r="D2272" s="2">
        <v>185.0</v>
      </c>
      <c r="E2272" s="2">
        <v>1.0</v>
      </c>
      <c r="F2272" s="2">
        <v>70.0</v>
      </c>
      <c r="G2272" s="2">
        <v>137800.0</v>
      </c>
    </row>
    <row r="2273" ht="14.25" customHeight="1">
      <c r="A2273" s="2">
        <v>2272.0</v>
      </c>
      <c r="B2273" s="2" t="s">
        <v>2558</v>
      </c>
      <c r="C2273" s="2" t="s">
        <v>4770</v>
      </c>
      <c r="D2273" s="2">
        <v>357.0</v>
      </c>
      <c r="E2273" s="2">
        <v>1.0</v>
      </c>
      <c r="F2273" s="2">
        <v>60.0</v>
      </c>
      <c r="G2273" s="2">
        <v>137800.0</v>
      </c>
    </row>
    <row r="2274" ht="14.25" customHeight="1">
      <c r="A2274" s="2">
        <v>2273.0</v>
      </c>
      <c r="B2274" s="2" t="s">
        <v>2549</v>
      </c>
      <c r="C2274" s="2" t="s">
        <v>4771</v>
      </c>
      <c r="D2274" s="2">
        <v>115.0</v>
      </c>
      <c r="E2274" s="2">
        <v>1.0</v>
      </c>
      <c r="F2274" s="2">
        <v>50.0</v>
      </c>
      <c r="G2274" s="2">
        <v>137700.0</v>
      </c>
    </row>
    <row r="2275" ht="14.25" customHeight="1">
      <c r="A2275" s="2">
        <v>2274.0</v>
      </c>
      <c r="B2275" s="2" t="s">
        <v>2686</v>
      </c>
      <c r="C2275" s="2" t="s">
        <v>4772</v>
      </c>
      <c r="D2275" s="2">
        <v>127.0</v>
      </c>
      <c r="E2275" s="2">
        <v>1.0</v>
      </c>
      <c r="F2275" s="2">
        <v>100.0</v>
      </c>
      <c r="G2275" s="2">
        <v>137700.0</v>
      </c>
    </row>
    <row r="2276" ht="14.25" customHeight="1">
      <c r="A2276" s="2">
        <v>2275.0</v>
      </c>
      <c r="B2276" s="2" t="s">
        <v>2518</v>
      </c>
      <c r="C2276" s="2" t="s">
        <v>4773</v>
      </c>
      <c r="D2276" s="2">
        <v>161.0</v>
      </c>
      <c r="E2276" s="2">
        <v>1.0</v>
      </c>
      <c r="F2276" s="2">
        <v>70.0</v>
      </c>
      <c r="G2276" s="2">
        <v>137700.0</v>
      </c>
    </row>
    <row r="2277" ht="14.25" customHeight="1">
      <c r="A2277" s="2">
        <v>2276.0</v>
      </c>
      <c r="B2277" s="2" t="s">
        <v>2475</v>
      </c>
      <c r="C2277" s="2" t="s">
        <v>4774</v>
      </c>
      <c r="D2277" s="2">
        <v>143.0</v>
      </c>
      <c r="E2277" s="2">
        <v>1.0</v>
      </c>
      <c r="F2277" s="2">
        <v>100.0</v>
      </c>
      <c r="G2277" s="2">
        <v>137600.0</v>
      </c>
    </row>
    <row r="2278" ht="14.25" customHeight="1">
      <c r="A2278" s="2">
        <v>2277.0</v>
      </c>
      <c r="B2278" s="2" t="s">
        <v>2636</v>
      </c>
      <c r="C2278" s="2" t="s">
        <v>4775</v>
      </c>
      <c r="D2278" s="2">
        <v>145.0</v>
      </c>
      <c r="E2278" s="2">
        <v>1.0</v>
      </c>
      <c r="F2278" s="2">
        <v>85.0</v>
      </c>
      <c r="G2278" s="2">
        <v>137600.0</v>
      </c>
    </row>
    <row r="2279" ht="14.25" customHeight="1">
      <c r="A2279" s="2">
        <v>2278.0</v>
      </c>
      <c r="B2279" s="2" t="s">
        <v>2561</v>
      </c>
      <c r="C2279" s="2" t="s">
        <v>4776</v>
      </c>
      <c r="D2279" s="2">
        <v>162.0</v>
      </c>
      <c r="E2279" s="2">
        <v>1.0</v>
      </c>
      <c r="F2279" s="2">
        <v>145.0</v>
      </c>
      <c r="G2279" s="2">
        <v>137500.0</v>
      </c>
    </row>
    <row r="2280" ht="14.25" customHeight="1">
      <c r="A2280" s="2">
        <v>2279.0</v>
      </c>
      <c r="B2280" s="2" t="s">
        <v>2744</v>
      </c>
      <c r="C2280" s="2" t="s">
        <v>4777</v>
      </c>
      <c r="D2280" s="2">
        <v>169.0</v>
      </c>
      <c r="E2280" s="2">
        <v>1.0</v>
      </c>
      <c r="F2280" s="2">
        <v>75.0</v>
      </c>
      <c r="G2280" s="2">
        <v>137500.0</v>
      </c>
    </row>
    <row r="2281" ht="14.25" customHeight="1">
      <c r="A2281" s="2">
        <v>2280.0</v>
      </c>
      <c r="B2281" s="2" t="s">
        <v>2576</v>
      </c>
      <c r="C2281" s="2" t="s">
        <v>4778</v>
      </c>
      <c r="D2281" s="2">
        <v>197.0</v>
      </c>
      <c r="E2281" s="2">
        <v>1.0</v>
      </c>
      <c r="F2281" s="2">
        <v>100.0</v>
      </c>
      <c r="G2281" s="2">
        <v>137500.0</v>
      </c>
    </row>
    <row r="2282" ht="14.25" customHeight="1">
      <c r="A2282" s="2">
        <v>2281.0</v>
      </c>
      <c r="B2282" s="2" t="s">
        <v>2621</v>
      </c>
      <c r="C2282" s="2" t="s">
        <v>4779</v>
      </c>
      <c r="D2282" s="2">
        <v>403.0</v>
      </c>
      <c r="E2282" s="2">
        <v>1.0</v>
      </c>
      <c r="F2282" s="2">
        <v>105.0</v>
      </c>
      <c r="G2282" s="2">
        <v>137500.0</v>
      </c>
    </row>
    <row r="2283" ht="14.25" customHeight="1">
      <c r="A2283" s="2">
        <v>2282.0</v>
      </c>
      <c r="B2283" s="2" t="s">
        <v>2636</v>
      </c>
      <c r="C2283" s="2" t="s">
        <v>4780</v>
      </c>
      <c r="D2283" s="2">
        <v>145.0</v>
      </c>
      <c r="E2283" s="2">
        <v>1.0</v>
      </c>
      <c r="F2283" s="2">
        <v>100.0</v>
      </c>
      <c r="G2283" s="2">
        <v>137400.0</v>
      </c>
    </row>
    <row r="2284" ht="14.25" customHeight="1">
      <c r="A2284" s="2">
        <v>2283.0</v>
      </c>
      <c r="B2284" s="2" t="s">
        <v>2541</v>
      </c>
      <c r="C2284" s="2" t="s">
        <v>4781</v>
      </c>
      <c r="D2284" s="2">
        <v>195.0</v>
      </c>
      <c r="E2284" s="2">
        <v>1.0</v>
      </c>
      <c r="F2284" s="2">
        <v>75.0</v>
      </c>
      <c r="G2284" s="2">
        <v>137400.0</v>
      </c>
    </row>
    <row r="2285" ht="14.25" customHeight="1">
      <c r="A2285" s="2">
        <v>2284.0</v>
      </c>
      <c r="B2285" s="2" t="s">
        <v>2501</v>
      </c>
      <c r="C2285" s="2" t="s">
        <v>4782</v>
      </c>
      <c r="D2285" s="2">
        <v>199.0</v>
      </c>
      <c r="E2285" s="2">
        <v>1.0</v>
      </c>
      <c r="F2285" s="2">
        <v>100.0</v>
      </c>
      <c r="G2285" s="2">
        <v>137400.0</v>
      </c>
    </row>
    <row r="2286" ht="14.25" customHeight="1">
      <c r="A2286" s="2">
        <v>2285.0</v>
      </c>
      <c r="B2286" s="2" t="s">
        <v>2507</v>
      </c>
      <c r="C2286" s="2" t="s">
        <v>4783</v>
      </c>
      <c r="D2286" s="2">
        <v>205.0</v>
      </c>
      <c r="E2286" s="2">
        <v>1.0</v>
      </c>
      <c r="F2286" s="2">
        <v>100.0</v>
      </c>
      <c r="G2286" s="2">
        <v>137300.0</v>
      </c>
    </row>
    <row r="2287" ht="14.25" customHeight="1">
      <c r="A2287" s="2">
        <v>2286.0</v>
      </c>
      <c r="B2287" s="2" t="s">
        <v>2651</v>
      </c>
      <c r="C2287" s="2" t="s">
        <v>4784</v>
      </c>
      <c r="D2287" s="2">
        <v>347.0</v>
      </c>
      <c r="E2287" s="2">
        <v>1.0</v>
      </c>
      <c r="F2287" s="2">
        <v>54.0</v>
      </c>
      <c r="G2287" s="2">
        <v>137300.0</v>
      </c>
    </row>
    <row r="2288" ht="14.25" customHeight="1">
      <c r="A2288" s="2">
        <v>2287.0</v>
      </c>
      <c r="B2288" s="2" t="s">
        <v>2505</v>
      </c>
      <c r="C2288" s="2" t="s">
        <v>4785</v>
      </c>
      <c r="D2288" s="2">
        <v>429.0</v>
      </c>
      <c r="E2288" s="2">
        <v>1.0</v>
      </c>
      <c r="F2288" s="2">
        <v>85.0</v>
      </c>
      <c r="G2288" s="2">
        <v>137300.0</v>
      </c>
    </row>
    <row r="2289" ht="14.25" customHeight="1">
      <c r="A2289" s="2">
        <v>2288.0</v>
      </c>
      <c r="B2289" s="2" t="s">
        <v>2524</v>
      </c>
      <c r="C2289" s="2" t="s">
        <v>4786</v>
      </c>
      <c r="D2289" s="2">
        <v>331.0</v>
      </c>
      <c r="E2289" s="2">
        <v>1.0</v>
      </c>
      <c r="F2289" s="2">
        <v>125.0</v>
      </c>
      <c r="G2289" s="2">
        <v>137200.0</v>
      </c>
    </row>
    <row r="2290" ht="14.25" customHeight="1">
      <c r="A2290" s="2">
        <v>2289.0</v>
      </c>
      <c r="B2290" s="2" t="s">
        <v>2503</v>
      </c>
      <c r="C2290" s="2" t="s">
        <v>4787</v>
      </c>
      <c r="D2290" s="2">
        <v>105.0</v>
      </c>
      <c r="E2290" s="2">
        <v>1.0</v>
      </c>
      <c r="F2290" s="2">
        <v>130.0</v>
      </c>
      <c r="G2290" s="2">
        <v>137100.0</v>
      </c>
    </row>
    <row r="2291" ht="14.25" customHeight="1">
      <c r="A2291" s="2">
        <v>2290.0</v>
      </c>
      <c r="B2291" s="2" t="s">
        <v>2636</v>
      </c>
      <c r="C2291" s="2" t="s">
        <v>4788</v>
      </c>
      <c r="D2291" s="2">
        <v>145.0</v>
      </c>
      <c r="E2291" s="2">
        <v>1.0</v>
      </c>
      <c r="F2291" s="2">
        <v>100.0</v>
      </c>
      <c r="G2291" s="2">
        <v>137100.0</v>
      </c>
    </row>
    <row r="2292" ht="14.25" customHeight="1">
      <c r="A2292" s="2">
        <v>2291.0</v>
      </c>
      <c r="B2292" s="2" t="s">
        <v>2497</v>
      </c>
      <c r="C2292" s="2" t="s">
        <v>4789</v>
      </c>
      <c r="D2292" s="2">
        <v>151.0</v>
      </c>
      <c r="E2292" s="2">
        <v>1.0</v>
      </c>
      <c r="F2292" s="2">
        <v>60.0</v>
      </c>
      <c r="G2292" s="2">
        <v>137100.0</v>
      </c>
    </row>
    <row r="2293" ht="14.25" customHeight="1">
      <c r="A2293" s="2">
        <v>2292.0</v>
      </c>
      <c r="B2293" s="2" t="s">
        <v>2744</v>
      </c>
      <c r="C2293" s="2" t="s">
        <v>4790</v>
      </c>
      <c r="D2293" s="2">
        <v>169.0</v>
      </c>
      <c r="E2293" s="2">
        <v>1.0</v>
      </c>
      <c r="F2293" s="2">
        <v>70.0</v>
      </c>
      <c r="G2293" s="2">
        <v>137100.0</v>
      </c>
    </row>
    <row r="2294" ht="14.25" customHeight="1">
      <c r="A2294" s="2">
        <v>2293.0</v>
      </c>
      <c r="B2294" s="2" t="s">
        <v>2582</v>
      </c>
      <c r="C2294" s="2" t="s">
        <v>4791</v>
      </c>
      <c r="D2294" s="2">
        <v>183.0</v>
      </c>
      <c r="E2294" s="2">
        <v>1.0</v>
      </c>
      <c r="F2294" s="2">
        <v>75.0</v>
      </c>
      <c r="G2294" s="2">
        <v>137100.0</v>
      </c>
    </row>
    <row r="2295" ht="14.25" customHeight="1">
      <c r="A2295" s="2">
        <v>2294.0</v>
      </c>
      <c r="B2295" s="2" t="s">
        <v>2594</v>
      </c>
      <c r="C2295" s="2" t="s">
        <v>4792</v>
      </c>
      <c r="D2295" s="2">
        <v>184.0</v>
      </c>
      <c r="E2295" s="2">
        <v>1.0</v>
      </c>
      <c r="F2295" s="2">
        <v>75.0</v>
      </c>
      <c r="G2295" s="2">
        <v>137100.0</v>
      </c>
    </row>
    <row r="2296" ht="14.25" customHeight="1">
      <c r="A2296" s="2">
        <v>2295.0</v>
      </c>
      <c r="B2296" s="2" t="s">
        <v>2686</v>
      </c>
      <c r="C2296" s="2" t="s">
        <v>4793</v>
      </c>
      <c r="D2296" s="2">
        <v>127.0</v>
      </c>
      <c r="E2296" s="2">
        <v>1.0</v>
      </c>
      <c r="F2296" s="2">
        <v>90.0</v>
      </c>
      <c r="G2296" s="2">
        <v>137000.0</v>
      </c>
    </row>
    <row r="2297" ht="14.25" customHeight="1">
      <c r="A2297" s="2">
        <v>2296.0</v>
      </c>
      <c r="B2297" s="2" t="s">
        <v>2686</v>
      </c>
      <c r="C2297" s="2" t="s">
        <v>4794</v>
      </c>
      <c r="D2297" s="2">
        <v>127.0</v>
      </c>
      <c r="E2297" s="2">
        <v>1.0</v>
      </c>
      <c r="F2297" s="2">
        <v>60.0</v>
      </c>
      <c r="G2297" s="2">
        <v>137000.0</v>
      </c>
    </row>
    <row r="2298" ht="14.25" customHeight="1">
      <c r="A2298" s="2">
        <v>2297.0</v>
      </c>
      <c r="B2298" s="2" t="s">
        <v>2686</v>
      </c>
      <c r="C2298" s="2" t="s">
        <v>3987</v>
      </c>
      <c r="D2298" s="2">
        <v>127.0</v>
      </c>
      <c r="E2298" s="2">
        <v>1.0</v>
      </c>
      <c r="F2298" s="2">
        <v>90.0</v>
      </c>
      <c r="G2298" s="2">
        <v>137000.0</v>
      </c>
    </row>
    <row r="2299" ht="14.25" customHeight="1">
      <c r="A2299" s="2">
        <v>2298.0</v>
      </c>
      <c r="B2299" s="2" t="s">
        <v>2477</v>
      </c>
      <c r="C2299" s="2" t="s">
        <v>4795</v>
      </c>
      <c r="D2299" s="2">
        <v>152.0</v>
      </c>
      <c r="E2299" s="2">
        <v>1.0</v>
      </c>
      <c r="F2299" s="2">
        <v>65.0</v>
      </c>
      <c r="G2299" s="2">
        <v>137000.0</v>
      </c>
    </row>
    <row r="2300" ht="14.25" customHeight="1">
      <c r="A2300" s="2">
        <v>2299.0</v>
      </c>
      <c r="B2300" s="2" t="s">
        <v>2744</v>
      </c>
      <c r="C2300" s="2" t="s">
        <v>4796</v>
      </c>
      <c r="D2300" s="2">
        <v>169.0</v>
      </c>
      <c r="E2300" s="2">
        <v>1.0</v>
      </c>
      <c r="F2300" s="2">
        <v>50.0</v>
      </c>
      <c r="G2300" s="2">
        <v>137000.0</v>
      </c>
    </row>
    <row r="2301" ht="14.25" customHeight="1">
      <c r="A2301" s="2">
        <v>2300.0</v>
      </c>
      <c r="B2301" s="2" t="s">
        <v>2744</v>
      </c>
      <c r="C2301" s="2" t="s">
        <v>3311</v>
      </c>
      <c r="D2301" s="2">
        <v>169.0</v>
      </c>
      <c r="E2301" s="2">
        <v>1.0</v>
      </c>
      <c r="F2301" s="2">
        <v>100.0</v>
      </c>
      <c r="G2301" s="2">
        <v>137000.0</v>
      </c>
    </row>
    <row r="2302" ht="14.25" customHeight="1">
      <c r="A2302" s="2">
        <v>2301.0</v>
      </c>
      <c r="B2302" s="2" t="s">
        <v>2488</v>
      </c>
      <c r="C2302" s="2" t="s">
        <v>4797</v>
      </c>
      <c r="D2302" s="2">
        <v>333.0</v>
      </c>
      <c r="E2302" s="2">
        <v>1.0</v>
      </c>
      <c r="F2302" s="2">
        <v>70.0</v>
      </c>
      <c r="G2302" s="2">
        <v>137000.0</v>
      </c>
    </row>
    <row r="2303" ht="14.25" customHeight="1">
      <c r="A2303" s="2">
        <v>2302.0</v>
      </c>
      <c r="B2303" s="2" t="s">
        <v>2503</v>
      </c>
      <c r="C2303" s="2" t="s">
        <v>4798</v>
      </c>
      <c r="D2303" s="2">
        <v>105.0</v>
      </c>
      <c r="E2303" s="2">
        <v>1.0</v>
      </c>
      <c r="F2303" s="2">
        <v>272.7</v>
      </c>
      <c r="G2303" s="2">
        <v>136900.0</v>
      </c>
    </row>
    <row r="2304" ht="14.25" customHeight="1">
      <c r="A2304" s="2">
        <v>2303.0</v>
      </c>
      <c r="B2304" s="2" t="s">
        <v>2497</v>
      </c>
      <c r="C2304" s="2" t="s">
        <v>4799</v>
      </c>
      <c r="D2304" s="2">
        <v>151.0</v>
      </c>
      <c r="E2304" s="2">
        <v>1.0</v>
      </c>
      <c r="F2304" s="2">
        <v>70.0</v>
      </c>
      <c r="G2304" s="2">
        <v>136900.0</v>
      </c>
    </row>
    <row r="2305" ht="14.25" customHeight="1">
      <c r="A2305" s="2">
        <v>2304.0</v>
      </c>
      <c r="B2305" s="2" t="s">
        <v>2512</v>
      </c>
      <c r="C2305" s="2" t="s">
        <v>4800</v>
      </c>
      <c r="D2305" s="2">
        <v>153.0</v>
      </c>
      <c r="E2305" s="2">
        <v>1.0</v>
      </c>
      <c r="F2305" s="2">
        <v>50.0</v>
      </c>
      <c r="G2305" s="2">
        <v>136900.0</v>
      </c>
    </row>
    <row r="2306" ht="14.25" customHeight="1">
      <c r="A2306" s="2">
        <v>2305.0</v>
      </c>
      <c r="B2306" s="2" t="s">
        <v>2553</v>
      </c>
      <c r="C2306" s="2" t="s">
        <v>4801</v>
      </c>
      <c r="D2306" s="2">
        <v>187.0</v>
      </c>
      <c r="E2306" s="2">
        <v>1.0</v>
      </c>
      <c r="F2306" s="2">
        <v>125.0</v>
      </c>
      <c r="G2306" s="2">
        <v>136900.0</v>
      </c>
    </row>
    <row r="2307" ht="14.25" customHeight="1">
      <c r="A2307" s="2">
        <v>2306.0</v>
      </c>
      <c r="B2307" s="2" t="s">
        <v>2553</v>
      </c>
      <c r="C2307" s="2" t="s">
        <v>4802</v>
      </c>
      <c r="D2307" s="2">
        <v>187.0</v>
      </c>
      <c r="E2307" s="2">
        <v>1.0</v>
      </c>
      <c r="F2307" s="2">
        <v>70.0</v>
      </c>
      <c r="G2307" s="2">
        <v>136900.0</v>
      </c>
    </row>
    <row r="2308" ht="14.25" customHeight="1">
      <c r="A2308" s="2">
        <v>2307.0</v>
      </c>
      <c r="B2308" s="2" t="s">
        <v>2651</v>
      </c>
      <c r="C2308" s="2" t="s">
        <v>4803</v>
      </c>
      <c r="D2308" s="2">
        <v>347.0</v>
      </c>
      <c r="E2308" s="2">
        <v>1.0</v>
      </c>
      <c r="F2308" s="2">
        <v>60.0</v>
      </c>
      <c r="G2308" s="2">
        <v>136900.0</v>
      </c>
    </row>
    <row r="2309" ht="14.25" customHeight="1">
      <c r="A2309" s="2">
        <v>2308.0</v>
      </c>
      <c r="B2309" s="2" t="s">
        <v>2686</v>
      </c>
      <c r="C2309" s="2" t="s">
        <v>4804</v>
      </c>
      <c r="D2309" s="2">
        <v>127.0</v>
      </c>
      <c r="E2309" s="2">
        <v>1.0</v>
      </c>
      <c r="F2309" s="2">
        <v>100.0</v>
      </c>
      <c r="G2309" s="2">
        <v>136800.0</v>
      </c>
    </row>
    <row r="2310" ht="14.25" customHeight="1">
      <c r="A2310" s="2">
        <v>2309.0</v>
      </c>
      <c r="B2310" s="2" t="s">
        <v>2686</v>
      </c>
      <c r="C2310" s="2" t="s">
        <v>4805</v>
      </c>
      <c r="D2310" s="2">
        <v>127.0</v>
      </c>
      <c r="E2310" s="2">
        <v>1.0</v>
      </c>
      <c r="F2310" s="2">
        <v>60.0</v>
      </c>
      <c r="G2310" s="2">
        <v>136800.0</v>
      </c>
    </row>
    <row r="2311" ht="14.25" customHeight="1">
      <c r="A2311" s="2">
        <v>2310.0</v>
      </c>
      <c r="B2311" s="2" t="s">
        <v>2475</v>
      </c>
      <c r="C2311" s="2" t="s">
        <v>4806</v>
      </c>
      <c r="D2311" s="2">
        <v>143.0</v>
      </c>
      <c r="E2311" s="2">
        <v>1.0</v>
      </c>
      <c r="F2311" s="2">
        <v>60.0</v>
      </c>
      <c r="G2311" s="2">
        <v>136800.0</v>
      </c>
    </row>
    <row r="2312" ht="14.25" customHeight="1">
      <c r="A2312" s="2">
        <v>2311.0</v>
      </c>
      <c r="B2312" s="2" t="s">
        <v>2518</v>
      </c>
      <c r="C2312" s="2" t="s">
        <v>4807</v>
      </c>
      <c r="D2312" s="2">
        <v>161.0</v>
      </c>
      <c r="E2312" s="2">
        <v>1.0</v>
      </c>
      <c r="F2312" s="2">
        <v>100.0</v>
      </c>
      <c r="G2312" s="2">
        <v>136800.0</v>
      </c>
    </row>
    <row r="2313" ht="14.25" customHeight="1">
      <c r="A2313" s="2">
        <v>2312.0</v>
      </c>
      <c r="B2313" s="2" t="s">
        <v>2501</v>
      </c>
      <c r="C2313" s="2" t="s">
        <v>4808</v>
      </c>
      <c r="D2313" s="2">
        <v>199.0</v>
      </c>
      <c r="E2313" s="2">
        <v>1.0</v>
      </c>
      <c r="F2313" s="2">
        <v>50.0</v>
      </c>
      <c r="G2313" s="2">
        <v>136800.0</v>
      </c>
    </row>
    <row r="2314" ht="14.25" customHeight="1">
      <c r="A2314" s="2">
        <v>2313.0</v>
      </c>
      <c r="B2314" s="2" t="s">
        <v>2507</v>
      </c>
      <c r="C2314" s="2" t="s">
        <v>4809</v>
      </c>
      <c r="D2314" s="2">
        <v>205.0</v>
      </c>
      <c r="E2314" s="2">
        <v>1.0</v>
      </c>
      <c r="F2314" s="2">
        <v>50.0</v>
      </c>
      <c r="G2314" s="2">
        <v>136800.0</v>
      </c>
    </row>
    <row r="2315" ht="14.25" customHeight="1">
      <c r="A2315" s="2">
        <v>2314.0</v>
      </c>
      <c r="B2315" s="2" t="s">
        <v>2491</v>
      </c>
      <c r="C2315" s="2" t="s">
        <v>4810</v>
      </c>
      <c r="D2315" s="2">
        <v>116.0</v>
      </c>
      <c r="E2315" s="2">
        <v>1.0</v>
      </c>
      <c r="F2315" s="2">
        <v>100.0</v>
      </c>
      <c r="G2315" s="2">
        <v>136700.0</v>
      </c>
    </row>
    <row r="2316" ht="14.25" customHeight="1">
      <c r="A2316" s="2">
        <v>2315.0</v>
      </c>
      <c r="B2316" s="2" t="s">
        <v>2479</v>
      </c>
      <c r="C2316" s="2" t="s">
        <v>4811</v>
      </c>
      <c r="D2316" s="2">
        <v>182.0</v>
      </c>
      <c r="E2316" s="2">
        <v>1.0</v>
      </c>
      <c r="F2316" s="2">
        <v>75.0</v>
      </c>
      <c r="G2316" s="2">
        <v>136700.0</v>
      </c>
    </row>
    <row r="2317" ht="14.25" customHeight="1">
      <c r="A2317" s="2">
        <v>2316.0</v>
      </c>
      <c r="B2317" s="2" t="s">
        <v>2541</v>
      </c>
      <c r="C2317" s="2" t="s">
        <v>4812</v>
      </c>
      <c r="D2317" s="2">
        <v>195.0</v>
      </c>
      <c r="E2317" s="2">
        <v>1.0</v>
      </c>
      <c r="F2317" s="2">
        <v>70.0</v>
      </c>
      <c r="G2317" s="2">
        <v>136700.0</v>
      </c>
    </row>
    <row r="2318" ht="14.25" customHeight="1">
      <c r="A2318" s="2">
        <v>2317.0</v>
      </c>
      <c r="B2318" s="2" t="s">
        <v>2507</v>
      </c>
      <c r="C2318" s="2" t="s">
        <v>4813</v>
      </c>
      <c r="D2318" s="2">
        <v>205.0</v>
      </c>
      <c r="E2318" s="2">
        <v>1.0</v>
      </c>
      <c r="F2318" s="2">
        <v>130.0</v>
      </c>
      <c r="G2318" s="2">
        <v>136700.0</v>
      </c>
    </row>
    <row r="2319" ht="14.25" customHeight="1">
      <c r="A2319" s="2">
        <v>2318.0</v>
      </c>
      <c r="B2319" s="2" t="s">
        <v>2621</v>
      </c>
      <c r="C2319" s="2" t="s">
        <v>4814</v>
      </c>
      <c r="D2319" s="2">
        <v>403.0</v>
      </c>
      <c r="E2319" s="2">
        <v>1.0</v>
      </c>
      <c r="F2319" s="2">
        <v>50.0</v>
      </c>
      <c r="G2319" s="2">
        <v>136700.0</v>
      </c>
    </row>
    <row r="2320" ht="14.25" customHeight="1">
      <c r="A2320" s="2">
        <v>2319.0</v>
      </c>
      <c r="B2320" s="2" t="s">
        <v>2488</v>
      </c>
      <c r="C2320" s="2" t="s">
        <v>4815</v>
      </c>
      <c r="D2320" s="2">
        <v>333.0</v>
      </c>
      <c r="E2320" s="2">
        <v>1.0</v>
      </c>
      <c r="F2320" s="2">
        <v>50.0</v>
      </c>
      <c r="G2320" s="2">
        <v>136600.0</v>
      </c>
    </row>
    <row r="2321" ht="14.25" customHeight="1">
      <c r="A2321" s="2">
        <v>2320.0</v>
      </c>
      <c r="B2321" s="2" t="s">
        <v>2488</v>
      </c>
      <c r="C2321" s="2" t="s">
        <v>4816</v>
      </c>
      <c r="D2321" s="2">
        <v>333.0</v>
      </c>
      <c r="E2321" s="2">
        <v>1.0</v>
      </c>
      <c r="F2321" s="2">
        <v>55.0</v>
      </c>
      <c r="G2321" s="2">
        <v>136600.0</v>
      </c>
    </row>
    <row r="2322" ht="14.25" customHeight="1">
      <c r="A2322" s="2">
        <v>2321.0</v>
      </c>
      <c r="B2322" s="2" t="s">
        <v>2491</v>
      </c>
      <c r="C2322" s="2" t="s">
        <v>4817</v>
      </c>
      <c r="D2322" s="2">
        <v>116.0</v>
      </c>
      <c r="E2322" s="2">
        <v>1.0</v>
      </c>
      <c r="F2322" s="2">
        <v>200.0</v>
      </c>
      <c r="G2322" s="2">
        <v>136500.0</v>
      </c>
    </row>
    <row r="2323" ht="14.25" customHeight="1">
      <c r="A2323" s="2">
        <v>2322.0</v>
      </c>
      <c r="B2323" s="2" t="s">
        <v>2518</v>
      </c>
      <c r="C2323" s="2" t="s">
        <v>4818</v>
      </c>
      <c r="D2323" s="2">
        <v>161.0</v>
      </c>
      <c r="E2323" s="2">
        <v>1.0</v>
      </c>
      <c r="F2323" s="2">
        <v>75.0</v>
      </c>
      <c r="G2323" s="2">
        <v>136500.0</v>
      </c>
    </row>
    <row r="2324" ht="14.25" customHeight="1">
      <c r="A2324" s="2">
        <v>2323.0</v>
      </c>
      <c r="B2324" s="2" t="s">
        <v>2561</v>
      </c>
      <c r="C2324" s="2" t="s">
        <v>4819</v>
      </c>
      <c r="D2324" s="2">
        <v>162.0</v>
      </c>
      <c r="E2324" s="2">
        <v>1.0</v>
      </c>
      <c r="F2324" s="2">
        <v>52.0</v>
      </c>
      <c r="G2324" s="2">
        <v>136500.0</v>
      </c>
    </row>
    <row r="2325" ht="14.25" customHeight="1">
      <c r="A2325" s="2">
        <v>2324.0</v>
      </c>
      <c r="B2325" s="2" t="s">
        <v>2507</v>
      </c>
      <c r="C2325" s="2" t="s">
        <v>4820</v>
      </c>
      <c r="D2325" s="2">
        <v>205.0</v>
      </c>
      <c r="E2325" s="2">
        <v>1.0</v>
      </c>
      <c r="F2325" s="2">
        <v>100.0</v>
      </c>
      <c r="G2325" s="2">
        <v>136500.0</v>
      </c>
    </row>
    <row r="2326" ht="14.25" customHeight="1">
      <c r="A2326" s="2">
        <v>2325.0</v>
      </c>
      <c r="B2326" s="2" t="s">
        <v>2621</v>
      </c>
      <c r="C2326" s="2" t="s">
        <v>4821</v>
      </c>
      <c r="D2326" s="2">
        <v>403.0</v>
      </c>
      <c r="E2326" s="2">
        <v>1.0</v>
      </c>
      <c r="F2326" s="2">
        <v>100.0</v>
      </c>
      <c r="G2326" s="2">
        <v>136500.0</v>
      </c>
    </row>
    <row r="2327" ht="14.25" customHeight="1">
      <c r="A2327" s="2">
        <v>2326.0</v>
      </c>
      <c r="B2327" s="2" t="s">
        <v>2497</v>
      </c>
      <c r="C2327" s="2" t="s">
        <v>4822</v>
      </c>
      <c r="D2327" s="2">
        <v>151.0</v>
      </c>
      <c r="E2327" s="2">
        <v>1.0</v>
      </c>
      <c r="F2327" s="2">
        <v>75.0</v>
      </c>
      <c r="G2327" s="2">
        <v>136400.0</v>
      </c>
    </row>
    <row r="2328" ht="14.25" customHeight="1">
      <c r="A2328" s="2">
        <v>2327.0</v>
      </c>
      <c r="B2328" s="2" t="s">
        <v>2518</v>
      </c>
      <c r="C2328" s="2" t="s">
        <v>4823</v>
      </c>
      <c r="D2328" s="2">
        <v>161.0</v>
      </c>
      <c r="E2328" s="2">
        <v>1.0</v>
      </c>
      <c r="F2328" s="2">
        <v>100.0</v>
      </c>
      <c r="G2328" s="2">
        <v>136400.0</v>
      </c>
    </row>
    <row r="2329" ht="14.25" customHeight="1">
      <c r="A2329" s="2">
        <v>2328.0</v>
      </c>
      <c r="B2329" s="2" t="s">
        <v>2582</v>
      </c>
      <c r="C2329" s="2" t="s">
        <v>4824</v>
      </c>
      <c r="D2329" s="2">
        <v>183.0</v>
      </c>
      <c r="E2329" s="2">
        <v>1.0</v>
      </c>
      <c r="F2329" s="2">
        <v>60.0</v>
      </c>
      <c r="G2329" s="2">
        <v>136400.0</v>
      </c>
    </row>
    <row r="2330" ht="14.25" customHeight="1">
      <c r="A2330" s="2">
        <v>2329.0</v>
      </c>
      <c r="B2330" s="2" t="s">
        <v>2582</v>
      </c>
      <c r="C2330" s="2" t="s">
        <v>4825</v>
      </c>
      <c r="D2330" s="2">
        <v>183.0</v>
      </c>
      <c r="E2330" s="2">
        <v>1.0</v>
      </c>
      <c r="F2330" s="2">
        <v>100.0</v>
      </c>
      <c r="G2330" s="2">
        <v>136400.0</v>
      </c>
    </row>
    <row r="2331" ht="14.25" customHeight="1">
      <c r="A2331" s="2">
        <v>2330.0</v>
      </c>
      <c r="B2331" s="2" t="s">
        <v>2576</v>
      </c>
      <c r="C2331" s="2" t="s">
        <v>4826</v>
      </c>
      <c r="D2331" s="2">
        <v>197.0</v>
      </c>
      <c r="E2331" s="2">
        <v>1.0</v>
      </c>
      <c r="F2331" s="2">
        <v>100.0</v>
      </c>
      <c r="G2331" s="2">
        <v>136400.0</v>
      </c>
    </row>
    <row r="2332" ht="14.25" customHeight="1">
      <c r="A2332" s="2">
        <v>2331.0</v>
      </c>
      <c r="B2332" s="2" t="s">
        <v>2488</v>
      </c>
      <c r="C2332" s="2" t="s">
        <v>4827</v>
      </c>
      <c r="D2332" s="2">
        <v>333.0</v>
      </c>
      <c r="E2332" s="2">
        <v>1.0</v>
      </c>
      <c r="F2332" s="2">
        <v>60.0</v>
      </c>
      <c r="G2332" s="2">
        <v>136400.0</v>
      </c>
    </row>
    <row r="2333" ht="14.25" customHeight="1">
      <c r="A2333" s="2">
        <v>2332.0</v>
      </c>
      <c r="B2333" s="2" t="s">
        <v>2636</v>
      </c>
      <c r="C2333" s="2" t="s">
        <v>4828</v>
      </c>
      <c r="D2333" s="2">
        <v>145.0</v>
      </c>
      <c r="E2333" s="2">
        <v>1.0</v>
      </c>
      <c r="F2333" s="2">
        <v>75.0</v>
      </c>
      <c r="G2333" s="2">
        <v>136300.0</v>
      </c>
    </row>
    <row r="2334" ht="14.25" customHeight="1">
      <c r="A2334" s="2">
        <v>2333.0</v>
      </c>
      <c r="B2334" s="2" t="s">
        <v>2561</v>
      </c>
      <c r="C2334" s="2" t="s">
        <v>4829</v>
      </c>
      <c r="D2334" s="2">
        <v>162.0</v>
      </c>
      <c r="E2334" s="2">
        <v>1.0</v>
      </c>
      <c r="F2334" s="2">
        <v>100.0</v>
      </c>
      <c r="G2334" s="2">
        <v>136300.0</v>
      </c>
    </row>
    <row r="2335" ht="14.25" customHeight="1">
      <c r="A2335" s="2">
        <v>2334.0</v>
      </c>
      <c r="B2335" s="2" t="s">
        <v>2744</v>
      </c>
      <c r="C2335" s="2" t="s">
        <v>4830</v>
      </c>
      <c r="D2335" s="2">
        <v>169.0</v>
      </c>
      <c r="E2335" s="2">
        <v>1.0</v>
      </c>
      <c r="F2335" s="2">
        <v>50.0</v>
      </c>
      <c r="G2335" s="2">
        <v>136300.0</v>
      </c>
    </row>
    <row r="2336" ht="14.25" customHeight="1">
      <c r="A2336" s="2">
        <v>2335.0</v>
      </c>
      <c r="B2336" s="2" t="s">
        <v>2479</v>
      </c>
      <c r="C2336" s="2" t="s">
        <v>4831</v>
      </c>
      <c r="D2336" s="2">
        <v>182.0</v>
      </c>
      <c r="E2336" s="2">
        <v>1.0</v>
      </c>
      <c r="F2336" s="2">
        <v>50.0</v>
      </c>
      <c r="G2336" s="2">
        <v>136300.0</v>
      </c>
    </row>
    <row r="2337" ht="14.25" customHeight="1">
      <c r="A2337" s="2">
        <v>2336.0</v>
      </c>
      <c r="B2337" s="2" t="s">
        <v>2512</v>
      </c>
      <c r="C2337" s="2" t="s">
        <v>4832</v>
      </c>
      <c r="D2337" s="2">
        <v>153.0</v>
      </c>
      <c r="E2337" s="2">
        <v>1.0</v>
      </c>
      <c r="F2337" s="2">
        <v>75.0</v>
      </c>
      <c r="G2337" s="2">
        <v>136200.0</v>
      </c>
    </row>
    <row r="2338" ht="14.25" customHeight="1">
      <c r="A2338" s="2">
        <v>2337.0</v>
      </c>
      <c r="B2338" s="2" t="s">
        <v>2518</v>
      </c>
      <c r="C2338" s="2" t="s">
        <v>4833</v>
      </c>
      <c r="D2338" s="2">
        <v>161.0</v>
      </c>
      <c r="E2338" s="2">
        <v>1.0</v>
      </c>
      <c r="F2338" s="2">
        <v>50.0</v>
      </c>
      <c r="G2338" s="2">
        <v>136200.0</v>
      </c>
    </row>
    <row r="2339" ht="14.25" customHeight="1">
      <c r="A2339" s="2">
        <v>2338.0</v>
      </c>
      <c r="B2339" s="2" t="s">
        <v>2582</v>
      </c>
      <c r="C2339" s="2" t="s">
        <v>4834</v>
      </c>
      <c r="D2339" s="2">
        <v>183.0</v>
      </c>
      <c r="E2339" s="2">
        <v>1.0</v>
      </c>
      <c r="F2339" s="2">
        <v>80.0</v>
      </c>
      <c r="G2339" s="2">
        <v>136200.0</v>
      </c>
    </row>
    <row r="2340" ht="14.25" customHeight="1">
      <c r="A2340" s="2">
        <v>2339.0</v>
      </c>
      <c r="B2340" s="2" t="s">
        <v>2501</v>
      </c>
      <c r="C2340" s="2" t="s">
        <v>4835</v>
      </c>
      <c r="D2340" s="2">
        <v>199.0</v>
      </c>
      <c r="E2340" s="2">
        <v>1.0</v>
      </c>
      <c r="F2340" s="2">
        <v>66.0</v>
      </c>
      <c r="G2340" s="2">
        <v>136200.0</v>
      </c>
    </row>
    <row r="2341" ht="14.25" customHeight="1">
      <c r="A2341" s="2">
        <v>2340.0</v>
      </c>
      <c r="B2341" s="2" t="s">
        <v>2558</v>
      </c>
      <c r="C2341" s="2" t="s">
        <v>4836</v>
      </c>
      <c r="D2341" s="2">
        <v>357.0</v>
      </c>
      <c r="E2341" s="2">
        <v>1.0</v>
      </c>
      <c r="F2341" s="2">
        <v>45.0</v>
      </c>
      <c r="G2341" s="2">
        <v>136200.0</v>
      </c>
    </row>
    <row r="2342" ht="14.25" customHeight="1">
      <c r="A2342" s="2">
        <v>2341.0</v>
      </c>
      <c r="B2342" s="2" t="s">
        <v>2488</v>
      </c>
      <c r="C2342" s="2" t="s">
        <v>4837</v>
      </c>
      <c r="D2342" s="2">
        <v>333.0</v>
      </c>
      <c r="E2342" s="2">
        <v>1.0</v>
      </c>
      <c r="F2342" s="2">
        <v>85.0</v>
      </c>
      <c r="G2342" s="2">
        <v>136000.0</v>
      </c>
    </row>
    <row r="2343" ht="14.25" customHeight="1">
      <c r="A2343" s="2">
        <v>2342.0</v>
      </c>
      <c r="B2343" s="2" t="s">
        <v>2505</v>
      </c>
      <c r="C2343" s="2" t="s">
        <v>4838</v>
      </c>
      <c r="D2343" s="2">
        <v>429.0</v>
      </c>
      <c r="E2343" s="2">
        <v>1.0</v>
      </c>
      <c r="F2343" s="2">
        <v>125.0</v>
      </c>
      <c r="G2343" s="2">
        <v>136000.0</v>
      </c>
    </row>
    <row r="2344" ht="14.25" customHeight="1">
      <c r="A2344" s="2">
        <v>2343.0</v>
      </c>
      <c r="B2344" s="2" t="s">
        <v>2503</v>
      </c>
      <c r="C2344" s="2" t="s">
        <v>4839</v>
      </c>
      <c r="D2344" s="2">
        <v>105.0</v>
      </c>
      <c r="E2344" s="2">
        <v>1.0</v>
      </c>
      <c r="F2344" s="2">
        <v>100.0</v>
      </c>
      <c r="G2344" s="2">
        <v>135900.0</v>
      </c>
    </row>
    <row r="2345" ht="14.25" customHeight="1">
      <c r="A2345" s="2">
        <v>2344.0</v>
      </c>
      <c r="B2345" s="2" t="s">
        <v>2636</v>
      </c>
      <c r="C2345" s="2" t="s">
        <v>4840</v>
      </c>
      <c r="D2345" s="2">
        <v>145.0</v>
      </c>
      <c r="E2345" s="2">
        <v>1.0</v>
      </c>
      <c r="F2345" s="2">
        <v>150.0</v>
      </c>
      <c r="G2345" s="2">
        <v>135900.0</v>
      </c>
    </row>
    <row r="2346" ht="14.25" customHeight="1">
      <c r="A2346" s="2">
        <v>2345.0</v>
      </c>
      <c r="B2346" s="2" t="s">
        <v>2512</v>
      </c>
      <c r="C2346" s="2" t="s">
        <v>4841</v>
      </c>
      <c r="D2346" s="2">
        <v>153.0</v>
      </c>
      <c r="E2346" s="2">
        <v>1.0</v>
      </c>
      <c r="F2346" s="2">
        <v>100.0</v>
      </c>
      <c r="G2346" s="2">
        <v>135900.0</v>
      </c>
    </row>
    <row r="2347" ht="14.25" customHeight="1">
      <c r="A2347" s="2">
        <v>2346.0</v>
      </c>
      <c r="B2347" s="2" t="s">
        <v>2518</v>
      </c>
      <c r="C2347" s="2" t="s">
        <v>4842</v>
      </c>
      <c r="D2347" s="2">
        <v>161.0</v>
      </c>
      <c r="E2347" s="2">
        <v>1.0</v>
      </c>
      <c r="F2347" s="2">
        <v>50.0</v>
      </c>
      <c r="G2347" s="2">
        <v>135900.0</v>
      </c>
    </row>
    <row r="2348" ht="14.25" customHeight="1">
      <c r="A2348" s="2">
        <v>2347.0</v>
      </c>
      <c r="B2348" s="2" t="s">
        <v>2479</v>
      </c>
      <c r="C2348" s="2" t="s">
        <v>4843</v>
      </c>
      <c r="D2348" s="2">
        <v>182.0</v>
      </c>
      <c r="E2348" s="2">
        <v>1.0</v>
      </c>
      <c r="F2348" s="2">
        <v>50.0</v>
      </c>
      <c r="G2348" s="2">
        <v>135800.0</v>
      </c>
    </row>
    <row r="2349" ht="14.25" customHeight="1">
      <c r="A2349" s="2">
        <v>2348.0</v>
      </c>
      <c r="B2349" s="2" t="s">
        <v>2479</v>
      </c>
      <c r="C2349" s="2" t="s">
        <v>4844</v>
      </c>
      <c r="D2349" s="2">
        <v>182.0</v>
      </c>
      <c r="E2349" s="2">
        <v>1.0</v>
      </c>
      <c r="F2349" s="2">
        <v>50.0</v>
      </c>
      <c r="G2349" s="2">
        <v>135800.0</v>
      </c>
    </row>
    <row r="2350" ht="14.25" customHeight="1">
      <c r="A2350" s="2">
        <v>2349.0</v>
      </c>
      <c r="B2350" s="2" t="s">
        <v>2582</v>
      </c>
      <c r="C2350" s="2" t="s">
        <v>4845</v>
      </c>
      <c r="D2350" s="2">
        <v>183.0</v>
      </c>
      <c r="E2350" s="2">
        <v>1.0</v>
      </c>
      <c r="F2350" s="2">
        <v>60.0</v>
      </c>
      <c r="G2350" s="2">
        <v>135800.0</v>
      </c>
    </row>
    <row r="2351" ht="14.25" customHeight="1">
      <c r="A2351" s="2">
        <v>2350.0</v>
      </c>
      <c r="B2351" s="2" t="s">
        <v>2651</v>
      </c>
      <c r="C2351" s="2" t="s">
        <v>4846</v>
      </c>
      <c r="D2351" s="2">
        <v>347.0</v>
      </c>
      <c r="E2351" s="2">
        <v>1.0</v>
      </c>
      <c r="F2351" s="2">
        <v>75.0</v>
      </c>
      <c r="G2351" s="2">
        <v>135800.0</v>
      </c>
    </row>
    <row r="2352" ht="14.25" customHeight="1">
      <c r="A2352" s="2">
        <v>2351.0</v>
      </c>
      <c r="B2352" s="2" t="s">
        <v>2549</v>
      </c>
      <c r="C2352" s="2" t="s">
        <v>4847</v>
      </c>
      <c r="D2352" s="2">
        <v>115.0</v>
      </c>
      <c r="E2352" s="2">
        <v>1.0</v>
      </c>
      <c r="F2352" s="2">
        <v>45.0</v>
      </c>
      <c r="G2352" s="2">
        <v>135700.0</v>
      </c>
    </row>
    <row r="2353" ht="14.25" customHeight="1">
      <c r="A2353" s="2">
        <v>2352.0</v>
      </c>
      <c r="B2353" s="2" t="s">
        <v>2686</v>
      </c>
      <c r="C2353" s="2" t="s">
        <v>4848</v>
      </c>
      <c r="D2353" s="2">
        <v>127.0</v>
      </c>
      <c r="E2353" s="2">
        <v>1.0</v>
      </c>
      <c r="F2353" s="2">
        <v>50.0</v>
      </c>
      <c r="G2353" s="2">
        <v>135700.0</v>
      </c>
    </row>
    <row r="2354" ht="14.25" customHeight="1">
      <c r="A2354" s="2">
        <v>2353.0</v>
      </c>
      <c r="B2354" s="2" t="s">
        <v>2479</v>
      </c>
      <c r="C2354" s="2" t="s">
        <v>4849</v>
      </c>
      <c r="D2354" s="2">
        <v>182.0</v>
      </c>
      <c r="E2354" s="2">
        <v>1.0</v>
      </c>
      <c r="F2354" s="2">
        <v>75.0</v>
      </c>
      <c r="G2354" s="2">
        <v>135700.0</v>
      </c>
    </row>
    <row r="2355" ht="14.25" customHeight="1">
      <c r="A2355" s="2">
        <v>2354.0</v>
      </c>
      <c r="B2355" s="2" t="s">
        <v>2686</v>
      </c>
      <c r="C2355" s="2" t="s">
        <v>4850</v>
      </c>
      <c r="D2355" s="2">
        <v>127.0</v>
      </c>
      <c r="E2355" s="2">
        <v>1.0</v>
      </c>
      <c r="F2355" s="2">
        <v>105.0</v>
      </c>
      <c r="G2355" s="2">
        <v>135600.0</v>
      </c>
    </row>
    <row r="2356" ht="14.25" customHeight="1">
      <c r="A2356" s="2">
        <v>2355.0</v>
      </c>
      <c r="B2356" s="2" t="s">
        <v>2518</v>
      </c>
      <c r="C2356" s="2" t="s">
        <v>4851</v>
      </c>
      <c r="D2356" s="2">
        <v>161.0</v>
      </c>
      <c r="E2356" s="2">
        <v>1.0</v>
      </c>
      <c r="F2356" s="2">
        <v>100.0</v>
      </c>
      <c r="G2356" s="2">
        <v>135600.0</v>
      </c>
    </row>
    <row r="2357" ht="14.25" customHeight="1">
      <c r="A2357" s="2">
        <v>2356.0</v>
      </c>
      <c r="B2357" s="2" t="s">
        <v>2477</v>
      </c>
      <c r="C2357" s="2" t="s">
        <v>4852</v>
      </c>
      <c r="D2357" s="2">
        <v>152.0</v>
      </c>
      <c r="E2357" s="2">
        <v>1.0</v>
      </c>
      <c r="F2357" s="2">
        <v>100.0</v>
      </c>
      <c r="G2357" s="2">
        <v>135500.0</v>
      </c>
    </row>
    <row r="2358" ht="14.25" customHeight="1">
      <c r="A2358" s="2">
        <v>2357.0</v>
      </c>
      <c r="B2358" s="2" t="s">
        <v>2479</v>
      </c>
      <c r="C2358" s="2" t="s">
        <v>4853</v>
      </c>
      <c r="D2358" s="2">
        <v>182.0</v>
      </c>
      <c r="E2358" s="2">
        <v>1.0</v>
      </c>
      <c r="F2358" s="2">
        <v>50.0</v>
      </c>
      <c r="G2358" s="2">
        <v>135500.0</v>
      </c>
    </row>
    <row r="2359" ht="14.25" customHeight="1">
      <c r="A2359" s="2">
        <v>2358.0</v>
      </c>
      <c r="B2359" s="2" t="s">
        <v>2582</v>
      </c>
      <c r="C2359" s="2" t="s">
        <v>4854</v>
      </c>
      <c r="D2359" s="2">
        <v>183.0</v>
      </c>
      <c r="E2359" s="2">
        <v>1.0</v>
      </c>
      <c r="F2359" s="2">
        <v>60.0</v>
      </c>
      <c r="G2359" s="2">
        <v>135500.0</v>
      </c>
    </row>
    <row r="2360" ht="14.25" customHeight="1">
      <c r="A2360" s="2">
        <v>2359.0</v>
      </c>
      <c r="B2360" s="2" t="s">
        <v>2651</v>
      </c>
      <c r="C2360" s="2" t="s">
        <v>4855</v>
      </c>
      <c r="D2360" s="2">
        <v>347.0</v>
      </c>
      <c r="E2360" s="2">
        <v>1.0</v>
      </c>
      <c r="F2360" s="2">
        <v>75.0</v>
      </c>
      <c r="G2360" s="2">
        <v>135500.0</v>
      </c>
    </row>
    <row r="2361" ht="14.25" customHeight="1">
      <c r="A2361" s="2">
        <v>2360.0</v>
      </c>
      <c r="B2361" s="2" t="s">
        <v>2503</v>
      </c>
      <c r="C2361" s="2" t="s">
        <v>4856</v>
      </c>
      <c r="D2361" s="2">
        <v>105.0</v>
      </c>
      <c r="E2361" s="2">
        <v>1.0</v>
      </c>
      <c r="F2361" s="2">
        <v>60.0</v>
      </c>
      <c r="G2361" s="2">
        <v>135400.0</v>
      </c>
    </row>
    <row r="2362" ht="14.25" customHeight="1">
      <c r="A2362" s="2">
        <v>2361.0</v>
      </c>
      <c r="B2362" s="2" t="s">
        <v>2512</v>
      </c>
      <c r="C2362" s="2" t="s">
        <v>4857</v>
      </c>
      <c r="D2362" s="2">
        <v>153.0</v>
      </c>
      <c r="E2362" s="2">
        <v>1.0</v>
      </c>
      <c r="F2362" s="2">
        <v>50.0</v>
      </c>
      <c r="G2362" s="2">
        <v>135400.0</v>
      </c>
    </row>
    <row r="2363" ht="14.25" customHeight="1">
      <c r="A2363" s="2">
        <v>2362.0</v>
      </c>
      <c r="B2363" s="2" t="s">
        <v>2541</v>
      </c>
      <c r="C2363" s="2" t="s">
        <v>4858</v>
      </c>
      <c r="D2363" s="2">
        <v>195.0</v>
      </c>
      <c r="E2363" s="2">
        <v>1.0</v>
      </c>
      <c r="F2363" s="2">
        <v>100.0</v>
      </c>
      <c r="G2363" s="2">
        <v>135400.0</v>
      </c>
    </row>
    <row r="2364" ht="14.25" customHeight="1">
      <c r="A2364" s="2">
        <v>2363.0</v>
      </c>
      <c r="B2364" s="2" t="s">
        <v>2541</v>
      </c>
      <c r="C2364" s="2" t="s">
        <v>4859</v>
      </c>
      <c r="D2364" s="2">
        <v>195.0</v>
      </c>
      <c r="E2364" s="2">
        <v>1.0</v>
      </c>
      <c r="F2364" s="2">
        <v>50.0</v>
      </c>
      <c r="G2364" s="2">
        <v>135400.0</v>
      </c>
    </row>
    <row r="2365" ht="14.25" customHeight="1">
      <c r="A2365" s="2">
        <v>2364.0</v>
      </c>
      <c r="B2365" s="2" t="s">
        <v>2475</v>
      </c>
      <c r="C2365" s="2" t="s">
        <v>4860</v>
      </c>
      <c r="D2365" s="2">
        <v>143.0</v>
      </c>
      <c r="E2365" s="2">
        <v>1.0</v>
      </c>
      <c r="F2365" s="2">
        <v>75.0</v>
      </c>
      <c r="G2365" s="2">
        <v>135300.0</v>
      </c>
    </row>
    <row r="2366" ht="14.25" customHeight="1">
      <c r="A2366" s="2">
        <v>2365.0</v>
      </c>
      <c r="B2366" s="2" t="s">
        <v>2541</v>
      </c>
      <c r="C2366" s="2" t="s">
        <v>4861</v>
      </c>
      <c r="D2366" s="2">
        <v>195.0</v>
      </c>
      <c r="E2366" s="2">
        <v>1.0</v>
      </c>
      <c r="F2366" s="2">
        <v>132.0</v>
      </c>
      <c r="G2366" s="2">
        <v>135300.0</v>
      </c>
    </row>
    <row r="2367" ht="14.25" customHeight="1">
      <c r="A2367" s="2">
        <v>2366.0</v>
      </c>
      <c r="B2367" s="2" t="s">
        <v>2507</v>
      </c>
      <c r="C2367" s="2" t="s">
        <v>4862</v>
      </c>
      <c r="D2367" s="2">
        <v>205.0</v>
      </c>
      <c r="E2367" s="2">
        <v>1.0</v>
      </c>
      <c r="F2367" s="2">
        <v>100.0</v>
      </c>
      <c r="G2367" s="2">
        <v>135300.0</v>
      </c>
    </row>
    <row r="2368" ht="14.25" customHeight="1">
      <c r="A2368" s="2">
        <v>2367.0</v>
      </c>
      <c r="B2368" s="2" t="s">
        <v>2524</v>
      </c>
      <c r="C2368" s="2" t="s">
        <v>4863</v>
      </c>
      <c r="D2368" s="2">
        <v>331.0</v>
      </c>
      <c r="E2368" s="2">
        <v>1.0</v>
      </c>
      <c r="F2368" s="2">
        <v>65.0</v>
      </c>
      <c r="G2368" s="2">
        <v>135300.0</v>
      </c>
    </row>
    <row r="2369" ht="14.25" customHeight="1">
      <c r="A2369" s="2">
        <v>2368.0</v>
      </c>
      <c r="B2369" s="2" t="s">
        <v>2524</v>
      </c>
      <c r="C2369" s="2" t="s">
        <v>4864</v>
      </c>
      <c r="D2369" s="2">
        <v>331.0</v>
      </c>
      <c r="E2369" s="2">
        <v>1.0</v>
      </c>
      <c r="F2369" s="2">
        <v>80.0</v>
      </c>
      <c r="G2369" s="2">
        <v>135300.0</v>
      </c>
    </row>
    <row r="2370" ht="14.25" customHeight="1">
      <c r="A2370" s="2">
        <v>2369.0</v>
      </c>
      <c r="B2370" s="2" t="s">
        <v>2636</v>
      </c>
      <c r="C2370" s="2" t="s">
        <v>4865</v>
      </c>
      <c r="D2370" s="2">
        <v>145.0</v>
      </c>
      <c r="E2370" s="2">
        <v>1.0</v>
      </c>
      <c r="F2370" s="2">
        <v>100.0</v>
      </c>
      <c r="G2370" s="2">
        <v>135200.0</v>
      </c>
    </row>
    <row r="2371" ht="14.25" customHeight="1">
      <c r="A2371" s="2">
        <v>2370.0</v>
      </c>
      <c r="B2371" s="2" t="s">
        <v>2651</v>
      </c>
      <c r="C2371" s="2" t="s">
        <v>4866</v>
      </c>
      <c r="D2371" s="2">
        <v>347.0</v>
      </c>
      <c r="E2371" s="2">
        <v>1.0</v>
      </c>
      <c r="F2371" s="2">
        <v>54.0</v>
      </c>
      <c r="G2371" s="2">
        <v>135200.0</v>
      </c>
    </row>
    <row r="2372" ht="14.25" customHeight="1">
      <c r="A2372" s="2">
        <v>2371.0</v>
      </c>
      <c r="B2372" s="2" t="s">
        <v>2497</v>
      </c>
      <c r="C2372" s="2" t="s">
        <v>4867</v>
      </c>
      <c r="D2372" s="2">
        <v>151.0</v>
      </c>
      <c r="E2372" s="2">
        <v>1.0</v>
      </c>
      <c r="F2372" s="2">
        <v>100.0</v>
      </c>
      <c r="G2372" s="2">
        <v>135100.0</v>
      </c>
    </row>
    <row r="2373" ht="14.25" customHeight="1">
      <c r="A2373" s="2">
        <v>2372.0</v>
      </c>
      <c r="B2373" s="2" t="s">
        <v>2582</v>
      </c>
      <c r="C2373" s="2" t="s">
        <v>4868</v>
      </c>
      <c r="D2373" s="2">
        <v>183.0</v>
      </c>
      <c r="E2373" s="2">
        <v>1.0</v>
      </c>
      <c r="F2373" s="2">
        <v>100.0</v>
      </c>
      <c r="G2373" s="2">
        <v>135100.0</v>
      </c>
    </row>
    <row r="2374" ht="14.25" customHeight="1">
      <c r="A2374" s="2">
        <v>2373.0</v>
      </c>
      <c r="B2374" s="2" t="s">
        <v>2594</v>
      </c>
      <c r="C2374" s="2" t="s">
        <v>4869</v>
      </c>
      <c r="D2374" s="2">
        <v>184.0</v>
      </c>
      <c r="E2374" s="2">
        <v>1.0</v>
      </c>
      <c r="F2374" s="2">
        <v>80.0</v>
      </c>
      <c r="G2374" s="2">
        <v>135100.0</v>
      </c>
    </row>
    <row r="2375" ht="14.25" customHeight="1">
      <c r="A2375" s="2">
        <v>2374.0</v>
      </c>
      <c r="B2375" s="2" t="s">
        <v>2524</v>
      </c>
      <c r="C2375" s="2" t="s">
        <v>4870</v>
      </c>
      <c r="D2375" s="2">
        <v>331.0</v>
      </c>
      <c r="E2375" s="2">
        <v>1.0</v>
      </c>
      <c r="F2375" s="2">
        <v>75.0</v>
      </c>
      <c r="G2375" s="2">
        <v>135100.0</v>
      </c>
    </row>
    <row r="2376" ht="14.25" customHeight="1">
      <c r="A2376" s="2">
        <v>2375.0</v>
      </c>
      <c r="B2376" s="2" t="s">
        <v>2512</v>
      </c>
      <c r="C2376" s="2" t="s">
        <v>4871</v>
      </c>
      <c r="D2376" s="2">
        <v>153.0</v>
      </c>
      <c r="E2376" s="2">
        <v>1.0</v>
      </c>
      <c r="F2376" s="2">
        <v>90.0</v>
      </c>
      <c r="G2376" s="2">
        <v>135000.0</v>
      </c>
    </row>
    <row r="2377" ht="14.25" customHeight="1">
      <c r="A2377" s="2">
        <v>2376.0</v>
      </c>
      <c r="B2377" s="2" t="s">
        <v>2503</v>
      </c>
      <c r="C2377" s="2" t="s">
        <v>4872</v>
      </c>
      <c r="D2377" s="2">
        <v>105.0</v>
      </c>
      <c r="E2377" s="2">
        <v>1.0</v>
      </c>
      <c r="F2377" s="2">
        <v>100.0</v>
      </c>
      <c r="G2377" s="2">
        <v>134900.0</v>
      </c>
    </row>
    <row r="2378" ht="14.25" customHeight="1">
      <c r="A2378" s="2">
        <v>2377.0</v>
      </c>
      <c r="B2378" s="2" t="s">
        <v>2518</v>
      </c>
      <c r="C2378" s="2" t="s">
        <v>4873</v>
      </c>
      <c r="D2378" s="2">
        <v>161.0</v>
      </c>
      <c r="E2378" s="2">
        <v>1.0</v>
      </c>
      <c r="F2378" s="2">
        <v>75.0</v>
      </c>
      <c r="G2378" s="2">
        <v>134900.0</v>
      </c>
    </row>
    <row r="2379" ht="14.25" customHeight="1">
      <c r="A2379" s="2">
        <v>2378.0</v>
      </c>
      <c r="B2379" s="2" t="s">
        <v>2534</v>
      </c>
      <c r="C2379" s="2" t="s">
        <v>4874</v>
      </c>
      <c r="D2379" s="2">
        <v>188.0</v>
      </c>
      <c r="E2379" s="2">
        <v>1.0</v>
      </c>
      <c r="F2379" s="2">
        <v>80.0</v>
      </c>
      <c r="G2379" s="2">
        <v>134900.0</v>
      </c>
    </row>
    <row r="2380" ht="14.25" customHeight="1">
      <c r="A2380" s="2">
        <v>2379.0</v>
      </c>
      <c r="B2380" s="2" t="s">
        <v>2621</v>
      </c>
      <c r="C2380" s="2" t="s">
        <v>4875</v>
      </c>
      <c r="D2380" s="2">
        <v>403.0</v>
      </c>
      <c r="E2380" s="2">
        <v>1.0</v>
      </c>
      <c r="F2380" s="2">
        <v>60.0</v>
      </c>
      <c r="G2380" s="2">
        <v>134900.0</v>
      </c>
    </row>
    <row r="2381" ht="14.25" customHeight="1">
      <c r="A2381" s="2">
        <v>2380.0</v>
      </c>
      <c r="B2381" s="2" t="s">
        <v>2505</v>
      </c>
      <c r="C2381" s="2" t="s">
        <v>4876</v>
      </c>
      <c r="D2381" s="2">
        <v>429.0</v>
      </c>
      <c r="E2381" s="2">
        <v>1.0</v>
      </c>
      <c r="F2381" s="2">
        <v>70.0</v>
      </c>
      <c r="G2381" s="2">
        <v>134900.0</v>
      </c>
    </row>
    <row r="2382" ht="14.25" customHeight="1">
      <c r="A2382" s="2">
        <v>2381.0</v>
      </c>
      <c r="B2382" s="2" t="s">
        <v>2549</v>
      </c>
      <c r="C2382" s="2" t="s">
        <v>4877</v>
      </c>
      <c r="D2382" s="2">
        <v>115.0</v>
      </c>
      <c r="E2382" s="2">
        <v>1.0</v>
      </c>
      <c r="F2382" s="2">
        <v>100.0</v>
      </c>
      <c r="G2382" s="2">
        <v>134800.0</v>
      </c>
    </row>
    <row r="2383" ht="14.25" customHeight="1">
      <c r="A2383" s="2">
        <v>2382.0</v>
      </c>
      <c r="B2383" s="2" t="s">
        <v>2686</v>
      </c>
      <c r="C2383" s="2" t="s">
        <v>4878</v>
      </c>
      <c r="D2383" s="2">
        <v>127.0</v>
      </c>
      <c r="E2383" s="2">
        <v>1.0</v>
      </c>
      <c r="F2383" s="2">
        <v>120.0</v>
      </c>
      <c r="G2383" s="2">
        <v>134800.0</v>
      </c>
    </row>
    <row r="2384" ht="14.25" customHeight="1">
      <c r="A2384" s="2">
        <v>2383.0</v>
      </c>
      <c r="B2384" s="2" t="s">
        <v>2501</v>
      </c>
      <c r="C2384" s="2" t="s">
        <v>4879</v>
      </c>
      <c r="D2384" s="2">
        <v>199.0</v>
      </c>
      <c r="E2384" s="2">
        <v>1.0</v>
      </c>
      <c r="F2384" s="2">
        <v>165.0</v>
      </c>
      <c r="G2384" s="2">
        <v>134800.0</v>
      </c>
    </row>
    <row r="2385" ht="14.25" customHeight="1">
      <c r="A2385" s="2">
        <v>2384.0</v>
      </c>
      <c r="B2385" s="2" t="s">
        <v>2651</v>
      </c>
      <c r="C2385" s="2" t="s">
        <v>4880</v>
      </c>
      <c r="D2385" s="2">
        <v>347.0</v>
      </c>
      <c r="E2385" s="2">
        <v>1.0</v>
      </c>
      <c r="F2385" s="2">
        <v>70.0</v>
      </c>
      <c r="G2385" s="2">
        <v>134800.0</v>
      </c>
    </row>
    <row r="2386" ht="14.25" customHeight="1">
      <c r="A2386" s="2">
        <v>2385.0</v>
      </c>
      <c r="B2386" s="2" t="s">
        <v>2549</v>
      </c>
      <c r="C2386" s="2" t="s">
        <v>4881</v>
      </c>
      <c r="D2386" s="2">
        <v>115.0</v>
      </c>
      <c r="E2386" s="2">
        <v>1.0</v>
      </c>
      <c r="F2386" s="2">
        <v>50.0</v>
      </c>
      <c r="G2386" s="2">
        <v>134700.0</v>
      </c>
    </row>
    <row r="2387" ht="14.25" customHeight="1">
      <c r="A2387" s="2">
        <v>2386.0</v>
      </c>
      <c r="B2387" s="2" t="s">
        <v>2686</v>
      </c>
      <c r="C2387" s="2" t="s">
        <v>4882</v>
      </c>
      <c r="D2387" s="2">
        <v>127.0</v>
      </c>
      <c r="E2387" s="2">
        <v>1.0</v>
      </c>
      <c r="F2387" s="2">
        <v>150.0</v>
      </c>
      <c r="G2387" s="2">
        <v>134700.0</v>
      </c>
    </row>
    <row r="2388" ht="14.25" customHeight="1">
      <c r="A2388" s="2">
        <v>2387.0</v>
      </c>
      <c r="B2388" s="2" t="s">
        <v>2686</v>
      </c>
      <c r="C2388" s="2" t="s">
        <v>4883</v>
      </c>
      <c r="D2388" s="2">
        <v>127.0</v>
      </c>
      <c r="E2388" s="2">
        <v>1.0</v>
      </c>
      <c r="F2388" s="2">
        <v>66.0</v>
      </c>
      <c r="G2388" s="2">
        <v>134700.0</v>
      </c>
    </row>
    <row r="2389" ht="14.25" customHeight="1">
      <c r="A2389" s="2">
        <v>2388.0</v>
      </c>
      <c r="B2389" s="2" t="s">
        <v>2553</v>
      </c>
      <c r="C2389" s="2" t="s">
        <v>4884</v>
      </c>
      <c r="D2389" s="2">
        <v>187.0</v>
      </c>
      <c r="E2389" s="2">
        <v>1.0</v>
      </c>
      <c r="F2389" s="2">
        <v>75.0</v>
      </c>
      <c r="G2389" s="2">
        <v>134700.0</v>
      </c>
    </row>
    <row r="2390" ht="14.25" customHeight="1">
      <c r="A2390" s="2">
        <v>2389.0</v>
      </c>
      <c r="B2390" s="2" t="s">
        <v>2621</v>
      </c>
      <c r="C2390" s="2" t="s">
        <v>4885</v>
      </c>
      <c r="D2390" s="2">
        <v>403.0</v>
      </c>
      <c r="E2390" s="2">
        <v>1.0</v>
      </c>
      <c r="F2390" s="2">
        <v>52.0</v>
      </c>
      <c r="G2390" s="2">
        <v>134700.0</v>
      </c>
    </row>
    <row r="2391" ht="14.25" customHeight="1">
      <c r="A2391" s="2">
        <v>2390.0</v>
      </c>
      <c r="B2391" s="2" t="s">
        <v>2479</v>
      </c>
      <c r="C2391" s="2" t="s">
        <v>4886</v>
      </c>
      <c r="D2391" s="2">
        <v>182.0</v>
      </c>
      <c r="E2391" s="2">
        <v>1.0</v>
      </c>
      <c r="F2391" s="2">
        <v>50.0</v>
      </c>
      <c r="G2391" s="2">
        <v>134600.0</v>
      </c>
    </row>
    <row r="2392" ht="14.25" customHeight="1">
      <c r="A2392" s="2">
        <v>2391.0</v>
      </c>
      <c r="B2392" s="2" t="s">
        <v>2621</v>
      </c>
      <c r="C2392" s="2" t="s">
        <v>4887</v>
      </c>
      <c r="D2392" s="2">
        <v>403.0</v>
      </c>
      <c r="E2392" s="2">
        <v>1.0</v>
      </c>
      <c r="F2392" s="2">
        <v>66.0</v>
      </c>
      <c r="G2392" s="2">
        <v>134600.0</v>
      </c>
    </row>
    <row r="2393" ht="14.25" customHeight="1">
      <c r="A2393" s="2">
        <v>2392.0</v>
      </c>
      <c r="B2393" s="2" t="s">
        <v>2512</v>
      </c>
      <c r="C2393" s="2" t="s">
        <v>4888</v>
      </c>
      <c r="D2393" s="2">
        <v>153.0</v>
      </c>
      <c r="E2393" s="2">
        <v>1.0</v>
      </c>
      <c r="F2393" s="2">
        <v>75.0</v>
      </c>
      <c r="G2393" s="2">
        <v>134500.0</v>
      </c>
    </row>
    <row r="2394" ht="14.25" customHeight="1">
      <c r="A2394" s="2">
        <v>2393.0</v>
      </c>
      <c r="B2394" s="2" t="s">
        <v>2541</v>
      </c>
      <c r="C2394" s="2" t="s">
        <v>4889</v>
      </c>
      <c r="D2394" s="2">
        <v>195.0</v>
      </c>
      <c r="E2394" s="2">
        <v>1.0</v>
      </c>
      <c r="F2394" s="2">
        <v>50.0</v>
      </c>
      <c r="G2394" s="2">
        <v>134500.0</v>
      </c>
    </row>
    <row r="2395" ht="14.25" customHeight="1">
      <c r="A2395" s="2">
        <v>2394.0</v>
      </c>
      <c r="B2395" s="2" t="s">
        <v>2503</v>
      </c>
      <c r="C2395" s="2" t="s">
        <v>4890</v>
      </c>
      <c r="D2395" s="2">
        <v>105.0</v>
      </c>
      <c r="E2395" s="2">
        <v>1.0</v>
      </c>
      <c r="F2395" s="2">
        <v>99.0</v>
      </c>
      <c r="G2395" s="2">
        <v>134400.0</v>
      </c>
    </row>
    <row r="2396" ht="14.25" customHeight="1">
      <c r="A2396" s="2">
        <v>2395.0</v>
      </c>
      <c r="B2396" s="2" t="s">
        <v>2512</v>
      </c>
      <c r="C2396" s="2" t="s">
        <v>4891</v>
      </c>
      <c r="D2396" s="2">
        <v>153.0</v>
      </c>
      <c r="E2396" s="2">
        <v>1.0</v>
      </c>
      <c r="F2396" s="2">
        <v>50.0</v>
      </c>
      <c r="G2396" s="2">
        <v>134400.0</v>
      </c>
    </row>
    <row r="2397" ht="14.25" customHeight="1">
      <c r="A2397" s="2">
        <v>2396.0</v>
      </c>
      <c r="B2397" s="2" t="s">
        <v>2571</v>
      </c>
      <c r="C2397" s="2" t="s">
        <v>4892</v>
      </c>
      <c r="D2397" s="2">
        <v>185.0</v>
      </c>
      <c r="E2397" s="2">
        <v>1.0</v>
      </c>
      <c r="F2397" s="2">
        <v>100.0</v>
      </c>
      <c r="G2397" s="2">
        <v>134400.0</v>
      </c>
    </row>
    <row r="2398" ht="14.25" customHeight="1">
      <c r="A2398" s="2">
        <v>2397.0</v>
      </c>
      <c r="B2398" s="2" t="s">
        <v>2541</v>
      </c>
      <c r="C2398" s="2" t="s">
        <v>4893</v>
      </c>
      <c r="D2398" s="2">
        <v>195.0</v>
      </c>
      <c r="E2398" s="2">
        <v>1.0</v>
      </c>
      <c r="F2398" s="2">
        <v>80.0</v>
      </c>
      <c r="G2398" s="2">
        <v>134400.0</v>
      </c>
    </row>
    <row r="2399" ht="14.25" customHeight="1">
      <c r="A2399" s="2">
        <v>2398.0</v>
      </c>
      <c r="B2399" s="2" t="s">
        <v>2507</v>
      </c>
      <c r="C2399" s="2" t="s">
        <v>4894</v>
      </c>
      <c r="D2399" s="2">
        <v>205.0</v>
      </c>
      <c r="E2399" s="2">
        <v>1.0</v>
      </c>
      <c r="F2399" s="2">
        <v>75.0</v>
      </c>
      <c r="G2399" s="2">
        <v>134300.0</v>
      </c>
    </row>
    <row r="2400" ht="14.25" customHeight="1">
      <c r="A2400" s="2">
        <v>2399.0</v>
      </c>
      <c r="B2400" s="2" t="s">
        <v>2524</v>
      </c>
      <c r="C2400" s="2" t="s">
        <v>4895</v>
      </c>
      <c r="D2400" s="2">
        <v>331.0</v>
      </c>
      <c r="E2400" s="2">
        <v>1.0</v>
      </c>
      <c r="F2400" s="2">
        <v>65.0</v>
      </c>
      <c r="G2400" s="2">
        <v>134200.0</v>
      </c>
    </row>
    <row r="2401" ht="14.25" customHeight="1">
      <c r="A2401" s="2">
        <v>2400.0</v>
      </c>
      <c r="B2401" s="2" t="s">
        <v>2503</v>
      </c>
      <c r="C2401" s="2" t="s">
        <v>4896</v>
      </c>
      <c r="D2401" s="2">
        <v>105.0</v>
      </c>
      <c r="E2401" s="2">
        <v>1.0</v>
      </c>
      <c r="F2401" s="2">
        <v>100.0</v>
      </c>
      <c r="G2401" s="2">
        <v>134100.0</v>
      </c>
    </row>
    <row r="2402" ht="14.25" customHeight="1">
      <c r="A2402" s="2">
        <v>2401.0</v>
      </c>
      <c r="B2402" s="2" t="s">
        <v>2512</v>
      </c>
      <c r="C2402" s="2" t="s">
        <v>4897</v>
      </c>
      <c r="D2402" s="2">
        <v>153.0</v>
      </c>
      <c r="E2402" s="2">
        <v>1.0</v>
      </c>
      <c r="F2402" s="2">
        <v>100.0</v>
      </c>
      <c r="G2402" s="2">
        <v>134100.0</v>
      </c>
    </row>
    <row r="2403" ht="14.25" customHeight="1">
      <c r="A2403" s="2">
        <v>2402.0</v>
      </c>
      <c r="B2403" s="2" t="s">
        <v>2576</v>
      </c>
      <c r="C2403" s="2" t="s">
        <v>4898</v>
      </c>
      <c r="D2403" s="2">
        <v>197.0</v>
      </c>
      <c r="E2403" s="2">
        <v>1.0</v>
      </c>
      <c r="F2403" s="2">
        <v>100.0</v>
      </c>
      <c r="G2403" s="2">
        <v>134100.0</v>
      </c>
    </row>
    <row r="2404" ht="14.25" customHeight="1">
      <c r="A2404" s="2">
        <v>2403.0</v>
      </c>
      <c r="B2404" s="2" t="s">
        <v>2686</v>
      </c>
      <c r="C2404" s="2" t="s">
        <v>4899</v>
      </c>
      <c r="D2404" s="2">
        <v>127.0</v>
      </c>
      <c r="E2404" s="2">
        <v>1.0</v>
      </c>
      <c r="F2404" s="2">
        <v>66.0</v>
      </c>
      <c r="G2404" s="2">
        <v>134000.0</v>
      </c>
    </row>
    <row r="2405" ht="14.25" customHeight="1">
      <c r="A2405" s="2">
        <v>2404.0</v>
      </c>
      <c r="B2405" s="2" t="s">
        <v>2475</v>
      </c>
      <c r="C2405" s="2" t="s">
        <v>4900</v>
      </c>
      <c r="D2405" s="2">
        <v>143.0</v>
      </c>
      <c r="E2405" s="2">
        <v>1.0</v>
      </c>
      <c r="F2405" s="2">
        <v>49.0</v>
      </c>
      <c r="G2405" s="2">
        <v>134000.0</v>
      </c>
    </row>
    <row r="2406" ht="14.25" customHeight="1">
      <c r="A2406" s="2">
        <v>2405.0</v>
      </c>
      <c r="B2406" s="2" t="s">
        <v>2636</v>
      </c>
      <c r="C2406" s="2" t="s">
        <v>4901</v>
      </c>
      <c r="D2406" s="2">
        <v>145.0</v>
      </c>
      <c r="E2406" s="2">
        <v>1.0</v>
      </c>
      <c r="F2406" s="2">
        <v>90.0</v>
      </c>
      <c r="G2406" s="2">
        <v>134000.0</v>
      </c>
    </row>
    <row r="2407" ht="14.25" customHeight="1">
      <c r="A2407" s="2">
        <v>2406.0</v>
      </c>
      <c r="B2407" s="2" t="s">
        <v>2518</v>
      </c>
      <c r="C2407" s="2" t="s">
        <v>4902</v>
      </c>
      <c r="D2407" s="2">
        <v>161.0</v>
      </c>
      <c r="E2407" s="2">
        <v>1.0</v>
      </c>
      <c r="F2407" s="2">
        <v>100.0</v>
      </c>
      <c r="G2407" s="2">
        <v>134000.0</v>
      </c>
    </row>
    <row r="2408" ht="14.25" customHeight="1">
      <c r="A2408" s="2">
        <v>2407.0</v>
      </c>
      <c r="B2408" s="2" t="s">
        <v>2479</v>
      </c>
      <c r="C2408" s="2" t="s">
        <v>4903</v>
      </c>
      <c r="D2408" s="2">
        <v>182.0</v>
      </c>
      <c r="E2408" s="2">
        <v>1.0</v>
      </c>
      <c r="F2408" s="2">
        <v>120.0</v>
      </c>
      <c r="G2408" s="2">
        <v>134000.0</v>
      </c>
    </row>
    <row r="2409" ht="14.25" customHeight="1">
      <c r="A2409" s="2">
        <v>2408.0</v>
      </c>
      <c r="B2409" s="2" t="s">
        <v>2553</v>
      </c>
      <c r="C2409" s="2" t="s">
        <v>4904</v>
      </c>
      <c r="D2409" s="2">
        <v>187.0</v>
      </c>
      <c r="E2409" s="2">
        <v>1.0</v>
      </c>
      <c r="F2409" s="2">
        <v>150.0</v>
      </c>
      <c r="G2409" s="2">
        <v>134000.0</v>
      </c>
    </row>
    <row r="2410" ht="14.25" customHeight="1">
      <c r="A2410" s="2">
        <v>2409.0</v>
      </c>
      <c r="B2410" s="2" t="s">
        <v>2594</v>
      </c>
      <c r="C2410" s="2" t="s">
        <v>4905</v>
      </c>
      <c r="D2410" s="2">
        <v>184.0</v>
      </c>
      <c r="E2410" s="2">
        <v>1.0</v>
      </c>
      <c r="F2410" s="2">
        <v>50.0</v>
      </c>
      <c r="G2410" s="2">
        <v>133900.0</v>
      </c>
    </row>
    <row r="2411" ht="14.25" customHeight="1">
      <c r="A2411" s="2">
        <v>2410.0</v>
      </c>
      <c r="B2411" s="2" t="s">
        <v>2541</v>
      </c>
      <c r="C2411" s="2" t="s">
        <v>4906</v>
      </c>
      <c r="D2411" s="2">
        <v>195.0</v>
      </c>
      <c r="E2411" s="2">
        <v>1.0</v>
      </c>
      <c r="F2411" s="2">
        <v>75.0</v>
      </c>
      <c r="G2411" s="2">
        <v>133900.0</v>
      </c>
    </row>
    <row r="2412" ht="14.25" customHeight="1">
      <c r="A2412" s="2">
        <v>2411.0</v>
      </c>
      <c r="B2412" s="2" t="s">
        <v>2501</v>
      </c>
      <c r="C2412" s="2" t="s">
        <v>4907</v>
      </c>
      <c r="D2412" s="2">
        <v>199.0</v>
      </c>
      <c r="E2412" s="2">
        <v>1.0</v>
      </c>
      <c r="F2412" s="2">
        <v>100.0</v>
      </c>
      <c r="G2412" s="2">
        <v>133900.0</v>
      </c>
    </row>
    <row r="2413" ht="14.25" customHeight="1">
      <c r="A2413" s="2">
        <v>2412.0</v>
      </c>
      <c r="B2413" s="2" t="s">
        <v>2477</v>
      </c>
      <c r="C2413" s="2" t="s">
        <v>4908</v>
      </c>
      <c r="D2413" s="2">
        <v>152.0</v>
      </c>
      <c r="E2413" s="2">
        <v>1.0</v>
      </c>
      <c r="F2413" s="2">
        <v>156.0</v>
      </c>
      <c r="G2413" s="2">
        <v>133800.0</v>
      </c>
    </row>
    <row r="2414" ht="14.25" customHeight="1">
      <c r="A2414" s="2">
        <v>2413.0</v>
      </c>
      <c r="B2414" s="2" t="s">
        <v>2512</v>
      </c>
      <c r="C2414" s="2" t="s">
        <v>4909</v>
      </c>
      <c r="D2414" s="2">
        <v>153.0</v>
      </c>
      <c r="E2414" s="2">
        <v>1.0</v>
      </c>
      <c r="F2414" s="2">
        <v>50.0</v>
      </c>
      <c r="G2414" s="2">
        <v>133800.0</v>
      </c>
    </row>
    <row r="2415" ht="14.25" customHeight="1">
      <c r="A2415" s="2">
        <v>2414.0</v>
      </c>
      <c r="B2415" s="2" t="s">
        <v>2571</v>
      </c>
      <c r="C2415" s="2" t="s">
        <v>4910</v>
      </c>
      <c r="D2415" s="2">
        <v>185.0</v>
      </c>
      <c r="E2415" s="2">
        <v>1.0</v>
      </c>
      <c r="F2415" s="2">
        <v>100.0</v>
      </c>
      <c r="G2415" s="2">
        <v>133800.0</v>
      </c>
    </row>
    <row r="2416" ht="14.25" customHeight="1">
      <c r="A2416" s="2">
        <v>2415.0</v>
      </c>
      <c r="B2416" s="2" t="s">
        <v>2507</v>
      </c>
      <c r="C2416" s="2" t="s">
        <v>4911</v>
      </c>
      <c r="D2416" s="2">
        <v>205.0</v>
      </c>
      <c r="E2416" s="2">
        <v>1.0</v>
      </c>
      <c r="F2416" s="2">
        <v>105.0</v>
      </c>
      <c r="G2416" s="2">
        <v>133800.0</v>
      </c>
    </row>
    <row r="2417" ht="14.25" customHeight="1">
      <c r="A2417" s="2">
        <v>2416.0</v>
      </c>
      <c r="B2417" s="2" t="s">
        <v>2488</v>
      </c>
      <c r="C2417" s="2" t="s">
        <v>4912</v>
      </c>
      <c r="D2417" s="2">
        <v>333.0</v>
      </c>
      <c r="E2417" s="2">
        <v>1.0</v>
      </c>
      <c r="F2417" s="2">
        <v>54.0</v>
      </c>
      <c r="G2417" s="2">
        <v>133800.0</v>
      </c>
    </row>
    <row r="2418" ht="14.25" customHeight="1">
      <c r="A2418" s="2">
        <v>2417.0</v>
      </c>
      <c r="B2418" s="2" t="s">
        <v>2477</v>
      </c>
      <c r="C2418" s="2" t="s">
        <v>4913</v>
      </c>
      <c r="D2418" s="2">
        <v>152.0</v>
      </c>
      <c r="E2418" s="2">
        <v>1.0</v>
      </c>
      <c r="F2418" s="2">
        <v>100.0</v>
      </c>
      <c r="G2418" s="2">
        <v>133700.0</v>
      </c>
    </row>
    <row r="2419" ht="14.25" customHeight="1">
      <c r="A2419" s="2">
        <v>2418.0</v>
      </c>
      <c r="B2419" s="2" t="s">
        <v>2518</v>
      </c>
      <c r="C2419" s="2" t="s">
        <v>4914</v>
      </c>
      <c r="D2419" s="2">
        <v>161.0</v>
      </c>
      <c r="E2419" s="2">
        <v>1.0</v>
      </c>
      <c r="F2419" s="2">
        <v>100.0</v>
      </c>
      <c r="G2419" s="2">
        <v>133700.0</v>
      </c>
    </row>
    <row r="2420" ht="14.25" customHeight="1">
      <c r="A2420" s="2">
        <v>2419.0</v>
      </c>
      <c r="B2420" s="2" t="s">
        <v>2534</v>
      </c>
      <c r="C2420" s="2" t="s">
        <v>4915</v>
      </c>
      <c r="D2420" s="2">
        <v>188.0</v>
      </c>
      <c r="E2420" s="2">
        <v>1.0</v>
      </c>
      <c r="F2420" s="2">
        <v>125.0</v>
      </c>
      <c r="G2420" s="2">
        <v>133700.0</v>
      </c>
    </row>
    <row r="2421" ht="14.25" customHeight="1">
      <c r="A2421" s="2">
        <v>2420.0</v>
      </c>
      <c r="B2421" s="2" t="s">
        <v>2651</v>
      </c>
      <c r="C2421" s="2" t="s">
        <v>4916</v>
      </c>
      <c r="D2421" s="2">
        <v>347.0</v>
      </c>
      <c r="E2421" s="2">
        <v>1.0</v>
      </c>
      <c r="F2421" s="2">
        <v>75.0</v>
      </c>
      <c r="G2421" s="2">
        <v>133700.0</v>
      </c>
    </row>
    <row r="2422" ht="14.25" customHeight="1">
      <c r="A2422" s="2">
        <v>2421.0</v>
      </c>
      <c r="B2422" s="2" t="s">
        <v>2477</v>
      </c>
      <c r="C2422" s="2" t="s">
        <v>4917</v>
      </c>
      <c r="D2422" s="2">
        <v>152.0</v>
      </c>
      <c r="E2422" s="2">
        <v>1.0</v>
      </c>
      <c r="F2422" s="2">
        <v>100.0</v>
      </c>
      <c r="G2422" s="2">
        <v>133600.0</v>
      </c>
    </row>
    <row r="2423" ht="14.25" customHeight="1">
      <c r="A2423" s="2">
        <v>2422.0</v>
      </c>
      <c r="B2423" s="2" t="s">
        <v>2571</v>
      </c>
      <c r="C2423" s="2" t="s">
        <v>4918</v>
      </c>
      <c r="D2423" s="2">
        <v>185.0</v>
      </c>
      <c r="E2423" s="2">
        <v>1.0</v>
      </c>
      <c r="F2423" s="2">
        <v>80.0</v>
      </c>
      <c r="G2423" s="2">
        <v>133600.0</v>
      </c>
    </row>
    <row r="2424" ht="14.25" customHeight="1">
      <c r="A2424" s="2">
        <v>2423.0</v>
      </c>
      <c r="B2424" s="2" t="s">
        <v>2524</v>
      </c>
      <c r="C2424" s="2" t="s">
        <v>4919</v>
      </c>
      <c r="D2424" s="2">
        <v>331.0</v>
      </c>
      <c r="E2424" s="2">
        <v>1.0</v>
      </c>
      <c r="F2424" s="2">
        <v>100.0</v>
      </c>
      <c r="G2424" s="2">
        <v>133600.0</v>
      </c>
    </row>
    <row r="2425" ht="14.25" customHeight="1">
      <c r="A2425" s="2">
        <v>2424.0</v>
      </c>
      <c r="B2425" s="2" t="s">
        <v>2505</v>
      </c>
      <c r="C2425" s="2" t="s">
        <v>4920</v>
      </c>
      <c r="D2425" s="2">
        <v>429.0</v>
      </c>
      <c r="E2425" s="2">
        <v>1.0</v>
      </c>
      <c r="F2425" s="2">
        <v>70.0</v>
      </c>
      <c r="G2425" s="2">
        <v>133600.0</v>
      </c>
    </row>
    <row r="2426" ht="14.25" customHeight="1">
      <c r="A2426" s="2">
        <v>2425.0</v>
      </c>
      <c r="B2426" s="2" t="s">
        <v>2518</v>
      </c>
      <c r="C2426" s="2" t="s">
        <v>4921</v>
      </c>
      <c r="D2426" s="2">
        <v>161.0</v>
      </c>
      <c r="E2426" s="2">
        <v>1.0</v>
      </c>
      <c r="F2426" s="2">
        <v>100.0</v>
      </c>
      <c r="G2426" s="2">
        <v>133500.0</v>
      </c>
    </row>
    <row r="2427" ht="14.25" customHeight="1">
      <c r="A2427" s="2">
        <v>2426.0</v>
      </c>
      <c r="B2427" s="2" t="s">
        <v>2582</v>
      </c>
      <c r="C2427" s="2" t="s">
        <v>4922</v>
      </c>
      <c r="D2427" s="2">
        <v>183.0</v>
      </c>
      <c r="E2427" s="2">
        <v>1.0</v>
      </c>
      <c r="F2427" s="2">
        <v>60.0</v>
      </c>
      <c r="G2427" s="2">
        <v>133500.0</v>
      </c>
    </row>
    <row r="2428" ht="14.25" customHeight="1">
      <c r="A2428" s="2">
        <v>2427.0</v>
      </c>
      <c r="B2428" s="2" t="s">
        <v>2507</v>
      </c>
      <c r="C2428" s="2" t="s">
        <v>4923</v>
      </c>
      <c r="D2428" s="2">
        <v>205.0</v>
      </c>
      <c r="E2428" s="2">
        <v>1.0</v>
      </c>
      <c r="F2428" s="2">
        <v>100.0</v>
      </c>
      <c r="G2428" s="2">
        <v>133500.0</v>
      </c>
    </row>
    <row r="2429" ht="14.25" customHeight="1">
      <c r="A2429" s="2">
        <v>2428.0</v>
      </c>
      <c r="B2429" s="2" t="s">
        <v>2621</v>
      </c>
      <c r="C2429" s="2" t="s">
        <v>4924</v>
      </c>
      <c r="D2429" s="2">
        <v>403.0</v>
      </c>
      <c r="E2429" s="2">
        <v>1.0</v>
      </c>
      <c r="F2429" s="2">
        <v>100.0</v>
      </c>
      <c r="G2429" s="2">
        <v>133500.0</v>
      </c>
    </row>
    <row r="2430" ht="14.25" customHeight="1">
      <c r="A2430" s="2">
        <v>2429.0</v>
      </c>
      <c r="B2430" s="2" t="s">
        <v>2945</v>
      </c>
      <c r="C2430" s="2" t="s">
        <v>4925</v>
      </c>
      <c r="D2430" s="2">
        <v>619.0</v>
      </c>
      <c r="E2430" s="2">
        <v>1.0</v>
      </c>
      <c r="F2430" s="2">
        <v>62.5</v>
      </c>
      <c r="G2430" s="2">
        <v>133500.0</v>
      </c>
    </row>
    <row r="2431" ht="14.25" customHeight="1">
      <c r="A2431" s="2">
        <v>2430.0</v>
      </c>
      <c r="B2431" s="2" t="s">
        <v>2945</v>
      </c>
      <c r="C2431" s="2" t="s">
        <v>4926</v>
      </c>
      <c r="D2431" s="2">
        <v>619.0</v>
      </c>
      <c r="E2431" s="2">
        <v>1.0</v>
      </c>
      <c r="F2431" s="2">
        <v>62.5</v>
      </c>
      <c r="G2431" s="2">
        <v>133500.0</v>
      </c>
    </row>
    <row r="2432" ht="14.25" customHeight="1">
      <c r="A2432" s="2">
        <v>2431.0</v>
      </c>
      <c r="B2432" s="2" t="s">
        <v>2744</v>
      </c>
      <c r="C2432" s="2" t="s">
        <v>4927</v>
      </c>
      <c r="D2432" s="2">
        <v>169.0</v>
      </c>
      <c r="E2432" s="2">
        <v>1.0</v>
      </c>
      <c r="F2432" s="2">
        <v>50.0</v>
      </c>
      <c r="G2432" s="2">
        <v>133400.0</v>
      </c>
    </row>
    <row r="2433" ht="14.25" customHeight="1">
      <c r="A2433" s="2">
        <v>2432.0</v>
      </c>
      <c r="B2433" s="2" t="s">
        <v>2479</v>
      </c>
      <c r="C2433" s="2" t="s">
        <v>4928</v>
      </c>
      <c r="D2433" s="2">
        <v>182.0</v>
      </c>
      <c r="E2433" s="2">
        <v>1.0</v>
      </c>
      <c r="F2433" s="2">
        <v>50.0</v>
      </c>
      <c r="G2433" s="2">
        <v>133400.0</v>
      </c>
    </row>
    <row r="2434" ht="14.25" customHeight="1">
      <c r="A2434" s="2">
        <v>2433.0</v>
      </c>
      <c r="B2434" s="2" t="s">
        <v>2553</v>
      </c>
      <c r="C2434" s="2" t="s">
        <v>4929</v>
      </c>
      <c r="D2434" s="2">
        <v>187.0</v>
      </c>
      <c r="E2434" s="2">
        <v>1.0</v>
      </c>
      <c r="F2434" s="2">
        <v>100.0</v>
      </c>
      <c r="G2434" s="2">
        <v>133400.0</v>
      </c>
    </row>
    <row r="2435" ht="14.25" customHeight="1">
      <c r="A2435" s="2">
        <v>2434.0</v>
      </c>
      <c r="B2435" s="2" t="s">
        <v>2604</v>
      </c>
      <c r="C2435" s="2" t="s">
        <v>4930</v>
      </c>
      <c r="D2435" s="2">
        <v>200.0</v>
      </c>
      <c r="E2435" s="2">
        <v>1.0</v>
      </c>
      <c r="F2435" s="2">
        <v>70.0</v>
      </c>
      <c r="G2435" s="2">
        <v>133400.0</v>
      </c>
    </row>
    <row r="2436" ht="14.25" customHeight="1">
      <c r="A2436" s="2">
        <v>2435.0</v>
      </c>
      <c r="B2436" s="2" t="s">
        <v>2651</v>
      </c>
      <c r="C2436" s="2" t="s">
        <v>4931</v>
      </c>
      <c r="D2436" s="2">
        <v>347.0</v>
      </c>
      <c r="E2436" s="2">
        <v>1.0</v>
      </c>
      <c r="F2436" s="2">
        <v>66.0</v>
      </c>
      <c r="G2436" s="2">
        <v>133400.0</v>
      </c>
    </row>
    <row r="2437" ht="14.25" customHeight="1">
      <c r="A2437" s="2">
        <v>2436.0</v>
      </c>
      <c r="B2437" s="2" t="s">
        <v>2686</v>
      </c>
      <c r="C2437" s="2" t="s">
        <v>4932</v>
      </c>
      <c r="D2437" s="2">
        <v>127.0</v>
      </c>
      <c r="E2437" s="2">
        <v>1.0</v>
      </c>
      <c r="F2437" s="2">
        <v>132.0</v>
      </c>
      <c r="G2437" s="2">
        <v>133200.0</v>
      </c>
    </row>
    <row r="2438" ht="14.25" customHeight="1">
      <c r="A2438" s="2">
        <v>2437.0</v>
      </c>
      <c r="B2438" s="2" t="s">
        <v>2512</v>
      </c>
      <c r="C2438" s="2" t="s">
        <v>4933</v>
      </c>
      <c r="D2438" s="2">
        <v>153.0</v>
      </c>
      <c r="E2438" s="2">
        <v>1.0</v>
      </c>
      <c r="F2438" s="2">
        <v>80.0</v>
      </c>
      <c r="G2438" s="2">
        <v>133200.0</v>
      </c>
    </row>
    <row r="2439" ht="14.25" customHeight="1">
      <c r="A2439" s="2">
        <v>2438.0</v>
      </c>
      <c r="B2439" s="2" t="s">
        <v>2571</v>
      </c>
      <c r="C2439" s="2" t="s">
        <v>4934</v>
      </c>
      <c r="D2439" s="2">
        <v>185.0</v>
      </c>
      <c r="E2439" s="2">
        <v>1.0</v>
      </c>
      <c r="F2439" s="2">
        <v>90.0</v>
      </c>
      <c r="G2439" s="2">
        <v>133200.0</v>
      </c>
    </row>
    <row r="2440" ht="14.25" customHeight="1">
      <c r="A2440" s="2">
        <v>2439.0</v>
      </c>
      <c r="B2440" s="2" t="s">
        <v>2604</v>
      </c>
      <c r="C2440" s="2" t="s">
        <v>4935</v>
      </c>
      <c r="D2440" s="2">
        <v>200.0</v>
      </c>
      <c r="E2440" s="2">
        <v>1.0</v>
      </c>
      <c r="F2440" s="2">
        <v>120.0</v>
      </c>
      <c r="G2440" s="2">
        <v>133200.0</v>
      </c>
    </row>
    <row r="2441" ht="14.25" customHeight="1">
      <c r="A2441" s="2">
        <v>2440.0</v>
      </c>
      <c r="B2441" s="2" t="s">
        <v>2507</v>
      </c>
      <c r="C2441" s="2" t="s">
        <v>4936</v>
      </c>
      <c r="D2441" s="2">
        <v>205.0</v>
      </c>
      <c r="E2441" s="2">
        <v>1.0</v>
      </c>
      <c r="F2441" s="2">
        <v>60.0</v>
      </c>
      <c r="G2441" s="2">
        <v>133200.0</v>
      </c>
    </row>
    <row r="2442" ht="14.25" customHeight="1">
      <c r="A2442" s="2">
        <v>2441.0</v>
      </c>
      <c r="B2442" s="2" t="s">
        <v>2651</v>
      </c>
      <c r="C2442" s="2" t="s">
        <v>4937</v>
      </c>
      <c r="D2442" s="2">
        <v>347.0</v>
      </c>
      <c r="E2442" s="2">
        <v>1.0</v>
      </c>
      <c r="F2442" s="2">
        <v>75.0</v>
      </c>
      <c r="G2442" s="2">
        <v>133200.0</v>
      </c>
    </row>
    <row r="2443" ht="14.25" customHeight="1">
      <c r="A2443" s="2">
        <v>2442.0</v>
      </c>
      <c r="B2443" s="2" t="s">
        <v>2621</v>
      </c>
      <c r="C2443" s="2" t="s">
        <v>4938</v>
      </c>
      <c r="D2443" s="2">
        <v>403.0</v>
      </c>
      <c r="E2443" s="2">
        <v>1.0</v>
      </c>
      <c r="F2443" s="2">
        <v>132.0</v>
      </c>
      <c r="G2443" s="2">
        <v>133200.0</v>
      </c>
    </row>
    <row r="2444" ht="14.25" customHeight="1">
      <c r="A2444" s="2">
        <v>2443.0</v>
      </c>
      <c r="B2444" s="2" t="s">
        <v>2945</v>
      </c>
      <c r="C2444" s="2" t="s">
        <v>4939</v>
      </c>
      <c r="D2444" s="2">
        <v>619.0</v>
      </c>
      <c r="E2444" s="2">
        <v>1.0</v>
      </c>
      <c r="F2444" s="2">
        <v>60.0</v>
      </c>
      <c r="G2444" s="2">
        <v>133200.0</v>
      </c>
    </row>
    <row r="2445" ht="14.25" customHeight="1">
      <c r="A2445" s="2">
        <v>2444.0</v>
      </c>
      <c r="B2445" s="2" t="s">
        <v>2945</v>
      </c>
      <c r="C2445" s="2" t="s">
        <v>4940</v>
      </c>
      <c r="D2445" s="2">
        <v>619.0</v>
      </c>
      <c r="E2445" s="2">
        <v>1.0</v>
      </c>
      <c r="F2445" s="2">
        <v>60.0</v>
      </c>
      <c r="G2445" s="2">
        <v>133200.0</v>
      </c>
    </row>
    <row r="2446" ht="14.25" customHeight="1">
      <c r="A2446" s="2">
        <v>2445.0</v>
      </c>
      <c r="B2446" s="2" t="s">
        <v>2945</v>
      </c>
      <c r="C2446" s="2" t="s">
        <v>4941</v>
      </c>
      <c r="D2446" s="2">
        <v>619.0</v>
      </c>
      <c r="E2446" s="2">
        <v>1.0</v>
      </c>
      <c r="F2446" s="2">
        <v>60.0</v>
      </c>
      <c r="G2446" s="2">
        <v>133200.0</v>
      </c>
    </row>
    <row r="2447" ht="14.25" customHeight="1">
      <c r="A2447" s="2">
        <v>2446.0</v>
      </c>
      <c r="B2447" s="2" t="s">
        <v>2549</v>
      </c>
      <c r="C2447" s="2" t="s">
        <v>4942</v>
      </c>
      <c r="D2447" s="2">
        <v>115.0</v>
      </c>
      <c r="E2447" s="2">
        <v>1.0</v>
      </c>
      <c r="F2447" s="2">
        <v>50.0</v>
      </c>
      <c r="G2447" s="2">
        <v>133100.0</v>
      </c>
    </row>
    <row r="2448" ht="14.25" customHeight="1">
      <c r="A2448" s="2">
        <v>2447.0</v>
      </c>
      <c r="B2448" s="2" t="s">
        <v>2497</v>
      </c>
      <c r="C2448" s="2" t="s">
        <v>4943</v>
      </c>
      <c r="D2448" s="2">
        <v>151.0</v>
      </c>
      <c r="E2448" s="2">
        <v>1.0</v>
      </c>
      <c r="F2448" s="2">
        <v>100.0</v>
      </c>
      <c r="G2448" s="2">
        <v>133100.0</v>
      </c>
    </row>
    <row r="2449" ht="14.25" customHeight="1">
      <c r="A2449" s="2">
        <v>2448.0</v>
      </c>
      <c r="B2449" s="2" t="s">
        <v>2497</v>
      </c>
      <c r="C2449" s="2" t="s">
        <v>4944</v>
      </c>
      <c r="D2449" s="2">
        <v>151.0</v>
      </c>
      <c r="E2449" s="2">
        <v>1.0</v>
      </c>
      <c r="F2449" s="2">
        <v>60.0</v>
      </c>
      <c r="G2449" s="2">
        <v>133100.0</v>
      </c>
    </row>
    <row r="2450" ht="14.25" customHeight="1">
      <c r="A2450" s="2">
        <v>2449.0</v>
      </c>
      <c r="B2450" s="2" t="s">
        <v>2744</v>
      </c>
      <c r="C2450" s="2" t="s">
        <v>4945</v>
      </c>
      <c r="D2450" s="2">
        <v>169.0</v>
      </c>
      <c r="E2450" s="2">
        <v>1.0</v>
      </c>
      <c r="F2450" s="2">
        <v>100.0</v>
      </c>
      <c r="G2450" s="2">
        <v>133100.0</v>
      </c>
    </row>
    <row r="2451" ht="14.25" customHeight="1">
      <c r="A2451" s="2">
        <v>2450.0</v>
      </c>
      <c r="B2451" s="2" t="s">
        <v>2571</v>
      </c>
      <c r="C2451" s="2" t="s">
        <v>4946</v>
      </c>
      <c r="D2451" s="2">
        <v>185.0</v>
      </c>
      <c r="E2451" s="2">
        <v>1.0</v>
      </c>
      <c r="F2451" s="2">
        <v>100.0</v>
      </c>
      <c r="G2451" s="2">
        <v>133100.0</v>
      </c>
    </row>
    <row r="2452" ht="14.25" customHeight="1">
      <c r="A2452" s="2">
        <v>2451.0</v>
      </c>
      <c r="B2452" s="2" t="s">
        <v>2524</v>
      </c>
      <c r="C2452" s="2" t="s">
        <v>4947</v>
      </c>
      <c r="D2452" s="2">
        <v>331.0</v>
      </c>
      <c r="E2452" s="2">
        <v>1.0</v>
      </c>
      <c r="F2452" s="2">
        <v>50.0</v>
      </c>
      <c r="G2452" s="2">
        <v>133100.0</v>
      </c>
    </row>
    <row r="2453" ht="14.25" customHeight="1">
      <c r="A2453" s="2">
        <v>2452.0</v>
      </c>
      <c r="B2453" s="2" t="s">
        <v>2621</v>
      </c>
      <c r="C2453" s="2" t="s">
        <v>4948</v>
      </c>
      <c r="D2453" s="2">
        <v>403.0</v>
      </c>
      <c r="E2453" s="2">
        <v>1.0</v>
      </c>
      <c r="F2453" s="2">
        <v>60.0</v>
      </c>
      <c r="G2453" s="2">
        <v>133000.0</v>
      </c>
    </row>
    <row r="2454" ht="14.25" customHeight="1">
      <c r="A2454" s="2">
        <v>2453.0</v>
      </c>
      <c r="B2454" s="2" t="s">
        <v>2686</v>
      </c>
      <c r="C2454" s="2" t="s">
        <v>4949</v>
      </c>
      <c r="D2454" s="2">
        <v>127.0</v>
      </c>
      <c r="E2454" s="2">
        <v>1.0</v>
      </c>
      <c r="F2454" s="2">
        <v>75.0</v>
      </c>
      <c r="G2454" s="2">
        <v>132900.0</v>
      </c>
    </row>
    <row r="2455" ht="14.25" customHeight="1">
      <c r="A2455" s="2">
        <v>2454.0</v>
      </c>
      <c r="B2455" s="2" t="s">
        <v>2497</v>
      </c>
      <c r="C2455" s="2" t="s">
        <v>4950</v>
      </c>
      <c r="D2455" s="2">
        <v>151.0</v>
      </c>
      <c r="E2455" s="2">
        <v>1.0</v>
      </c>
      <c r="F2455" s="2">
        <v>85.0</v>
      </c>
      <c r="G2455" s="2">
        <v>132900.0</v>
      </c>
    </row>
    <row r="2456" ht="14.25" customHeight="1">
      <c r="A2456" s="2">
        <v>2455.0</v>
      </c>
      <c r="B2456" s="2" t="s">
        <v>2512</v>
      </c>
      <c r="C2456" s="2" t="s">
        <v>4951</v>
      </c>
      <c r="D2456" s="2">
        <v>153.0</v>
      </c>
      <c r="E2456" s="2">
        <v>1.0</v>
      </c>
      <c r="F2456" s="2">
        <v>52.0</v>
      </c>
      <c r="G2456" s="2">
        <v>132900.0</v>
      </c>
    </row>
    <row r="2457" ht="14.25" customHeight="1">
      <c r="A2457" s="2">
        <v>2456.0</v>
      </c>
      <c r="B2457" s="2" t="s">
        <v>2512</v>
      </c>
      <c r="C2457" s="2" t="s">
        <v>4952</v>
      </c>
      <c r="D2457" s="2">
        <v>153.0</v>
      </c>
      <c r="E2457" s="2">
        <v>1.0</v>
      </c>
      <c r="F2457" s="2">
        <v>100.0</v>
      </c>
      <c r="G2457" s="2">
        <v>132900.0</v>
      </c>
    </row>
    <row r="2458" ht="14.25" customHeight="1">
      <c r="A2458" s="2">
        <v>2457.0</v>
      </c>
      <c r="B2458" s="2" t="s">
        <v>2571</v>
      </c>
      <c r="C2458" s="2" t="s">
        <v>4953</v>
      </c>
      <c r="D2458" s="2">
        <v>185.0</v>
      </c>
      <c r="E2458" s="2">
        <v>1.0</v>
      </c>
      <c r="F2458" s="2">
        <v>60.0</v>
      </c>
      <c r="G2458" s="2">
        <v>132900.0</v>
      </c>
    </row>
    <row r="2459" ht="14.25" customHeight="1">
      <c r="A2459" s="2">
        <v>2458.0</v>
      </c>
      <c r="B2459" s="2" t="s">
        <v>2651</v>
      </c>
      <c r="C2459" s="2" t="s">
        <v>4954</v>
      </c>
      <c r="D2459" s="2">
        <v>347.0</v>
      </c>
      <c r="E2459" s="2">
        <v>1.0</v>
      </c>
      <c r="F2459" s="2">
        <v>60.0</v>
      </c>
      <c r="G2459" s="2">
        <v>132900.0</v>
      </c>
    </row>
    <row r="2460" ht="14.25" customHeight="1">
      <c r="A2460" s="2">
        <v>2459.0</v>
      </c>
      <c r="B2460" s="2" t="s">
        <v>2651</v>
      </c>
      <c r="C2460" s="2" t="s">
        <v>4955</v>
      </c>
      <c r="D2460" s="2">
        <v>347.0</v>
      </c>
      <c r="E2460" s="2">
        <v>1.0</v>
      </c>
      <c r="F2460" s="2">
        <v>65.0</v>
      </c>
      <c r="G2460" s="2">
        <v>132900.0</v>
      </c>
    </row>
    <row r="2461" ht="14.25" customHeight="1">
      <c r="A2461" s="2">
        <v>2460.0</v>
      </c>
      <c r="B2461" s="2" t="s">
        <v>2534</v>
      </c>
      <c r="C2461" s="2" t="s">
        <v>4956</v>
      </c>
      <c r="D2461" s="2">
        <v>188.0</v>
      </c>
      <c r="E2461" s="2">
        <v>1.0</v>
      </c>
      <c r="F2461" s="2">
        <v>100.0</v>
      </c>
      <c r="G2461" s="2">
        <v>132800.0</v>
      </c>
    </row>
    <row r="2462" ht="14.25" customHeight="1">
      <c r="A2462" s="2">
        <v>2461.0</v>
      </c>
      <c r="B2462" s="2" t="s">
        <v>2541</v>
      </c>
      <c r="C2462" s="2" t="s">
        <v>4957</v>
      </c>
      <c r="D2462" s="2">
        <v>195.0</v>
      </c>
      <c r="E2462" s="2">
        <v>1.0</v>
      </c>
      <c r="F2462" s="2">
        <v>120.0</v>
      </c>
      <c r="G2462" s="2">
        <v>132800.0</v>
      </c>
    </row>
    <row r="2463" ht="14.25" customHeight="1">
      <c r="A2463" s="2">
        <v>2462.0</v>
      </c>
      <c r="B2463" s="2" t="s">
        <v>2501</v>
      </c>
      <c r="C2463" s="2" t="s">
        <v>4958</v>
      </c>
      <c r="D2463" s="2">
        <v>199.0</v>
      </c>
      <c r="E2463" s="2">
        <v>1.0</v>
      </c>
      <c r="F2463" s="2">
        <v>54.0</v>
      </c>
      <c r="G2463" s="2">
        <v>132800.0</v>
      </c>
    </row>
    <row r="2464" ht="14.25" customHeight="1">
      <c r="A2464" s="2">
        <v>2463.0</v>
      </c>
      <c r="B2464" s="2" t="s">
        <v>2501</v>
      </c>
      <c r="C2464" s="2" t="s">
        <v>4959</v>
      </c>
      <c r="D2464" s="2">
        <v>199.0</v>
      </c>
      <c r="E2464" s="2">
        <v>1.0</v>
      </c>
      <c r="F2464" s="2">
        <v>66.0</v>
      </c>
      <c r="G2464" s="2">
        <v>132800.0</v>
      </c>
    </row>
    <row r="2465" ht="14.25" customHeight="1">
      <c r="A2465" s="2">
        <v>2464.0</v>
      </c>
      <c r="B2465" s="2" t="s">
        <v>2571</v>
      </c>
      <c r="C2465" s="2" t="s">
        <v>4960</v>
      </c>
      <c r="D2465" s="2">
        <v>185.0</v>
      </c>
      <c r="E2465" s="2">
        <v>1.0</v>
      </c>
      <c r="F2465" s="2">
        <v>100.0</v>
      </c>
      <c r="G2465" s="2">
        <v>132700.0</v>
      </c>
    </row>
    <row r="2466" ht="14.25" customHeight="1">
      <c r="A2466" s="2">
        <v>2465.0</v>
      </c>
      <c r="B2466" s="2" t="s">
        <v>2541</v>
      </c>
      <c r="C2466" s="2" t="s">
        <v>4961</v>
      </c>
      <c r="D2466" s="2">
        <v>195.0</v>
      </c>
      <c r="E2466" s="2">
        <v>1.0</v>
      </c>
      <c r="F2466" s="2">
        <v>75.0</v>
      </c>
      <c r="G2466" s="2">
        <v>132700.0</v>
      </c>
    </row>
    <row r="2467" ht="14.25" customHeight="1">
      <c r="A2467" s="2">
        <v>2466.0</v>
      </c>
      <c r="B2467" s="2" t="s">
        <v>2576</v>
      </c>
      <c r="C2467" s="2" t="s">
        <v>4962</v>
      </c>
      <c r="D2467" s="2">
        <v>197.0</v>
      </c>
      <c r="E2467" s="2">
        <v>1.0</v>
      </c>
      <c r="F2467" s="2">
        <v>52.0</v>
      </c>
      <c r="G2467" s="2">
        <v>132700.0</v>
      </c>
    </row>
    <row r="2468" ht="14.25" customHeight="1">
      <c r="A2468" s="2">
        <v>2467.0</v>
      </c>
      <c r="B2468" s="2" t="s">
        <v>2501</v>
      </c>
      <c r="C2468" s="2" t="s">
        <v>4963</v>
      </c>
      <c r="D2468" s="2">
        <v>199.0</v>
      </c>
      <c r="E2468" s="2">
        <v>1.0</v>
      </c>
      <c r="F2468" s="2">
        <v>250.0</v>
      </c>
      <c r="G2468" s="2">
        <v>132700.0</v>
      </c>
    </row>
    <row r="2469" ht="14.25" customHeight="1">
      <c r="A2469" s="2">
        <v>2468.0</v>
      </c>
      <c r="B2469" s="2" t="s">
        <v>2507</v>
      </c>
      <c r="C2469" s="2" t="s">
        <v>4964</v>
      </c>
      <c r="D2469" s="2">
        <v>205.0</v>
      </c>
      <c r="E2469" s="2">
        <v>1.0</v>
      </c>
      <c r="F2469" s="2">
        <v>100.0</v>
      </c>
      <c r="G2469" s="2">
        <v>132700.0</v>
      </c>
    </row>
    <row r="2470" ht="14.25" customHeight="1">
      <c r="A2470" s="2">
        <v>2469.0</v>
      </c>
      <c r="B2470" s="2" t="s">
        <v>2518</v>
      </c>
      <c r="C2470" s="2" t="s">
        <v>4965</v>
      </c>
      <c r="D2470" s="2">
        <v>161.0</v>
      </c>
      <c r="E2470" s="2">
        <v>1.0</v>
      </c>
      <c r="F2470" s="2">
        <v>130.0</v>
      </c>
      <c r="G2470" s="2">
        <v>132600.0</v>
      </c>
    </row>
    <row r="2471" ht="14.25" customHeight="1">
      <c r="A2471" s="2">
        <v>2470.0</v>
      </c>
      <c r="B2471" s="2" t="s">
        <v>2507</v>
      </c>
      <c r="C2471" s="2" t="s">
        <v>4966</v>
      </c>
      <c r="D2471" s="2">
        <v>205.0</v>
      </c>
      <c r="E2471" s="2">
        <v>1.0</v>
      </c>
      <c r="F2471" s="2">
        <v>75.0</v>
      </c>
      <c r="G2471" s="2">
        <v>132600.0</v>
      </c>
    </row>
    <row r="2472" ht="14.25" customHeight="1">
      <c r="A2472" s="2">
        <v>2471.0</v>
      </c>
      <c r="B2472" s="2" t="s">
        <v>2505</v>
      </c>
      <c r="C2472" s="2" t="s">
        <v>4967</v>
      </c>
      <c r="D2472" s="2">
        <v>429.0</v>
      </c>
      <c r="E2472" s="2">
        <v>1.0</v>
      </c>
      <c r="F2472" s="2">
        <v>100.0</v>
      </c>
      <c r="G2472" s="2">
        <v>132600.0</v>
      </c>
    </row>
    <row r="2473" ht="14.25" customHeight="1">
      <c r="A2473" s="2">
        <v>2472.0</v>
      </c>
      <c r="B2473" s="2" t="s">
        <v>2549</v>
      </c>
      <c r="C2473" s="2" t="s">
        <v>4968</v>
      </c>
      <c r="D2473" s="2">
        <v>115.0</v>
      </c>
      <c r="E2473" s="2">
        <v>1.0</v>
      </c>
      <c r="F2473" s="2">
        <v>50.0</v>
      </c>
      <c r="G2473" s="2">
        <v>132500.0</v>
      </c>
    </row>
    <row r="2474" ht="14.25" customHeight="1">
      <c r="A2474" s="2">
        <v>2473.0</v>
      </c>
      <c r="B2474" s="2" t="s">
        <v>2686</v>
      </c>
      <c r="C2474" s="2" t="s">
        <v>4969</v>
      </c>
      <c r="D2474" s="2">
        <v>127.0</v>
      </c>
      <c r="E2474" s="2">
        <v>1.0</v>
      </c>
      <c r="F2474" s="2">
        <v>100.0</v>
      </c>
      <c r="G2474" s="2">
        <v>132500.0</v>
      </c>
    </row>
    <row r="2475" ht="14.25" customHeight="1">
      <c r="A2475" s="2">
        <v>2474.0</v>
      </c>
      <c r="B2475" s="2" t="s">
        <v>2582</v>
      </c>
      <c r="C2475" s="2" t="s">
        <v>4970</v>
      </c>
      <c r="D2475" s="2">
        <v>183.0</v>
      </c>
      <c r="E2475" s="2">
        <v>1.0</v>
      </c>
      <c r="F2475" s="2">
        <v>90.0</v>
      </c>
      <c r="G2475" s="2">
        <v>132500.0</v>
      </c>
    </row>
    <row r="2476" ht="14.25" customHeight="1">
      <c r="A2476" s="2">
        <v>2475.0</v>
      </c>
      <c r="B2476" s="2" t="s">
        <v>2541</v>
      </c>
      <c r="C2476" s="2" t="s">
        <v>4971</v>
      </c>
      <c r="D2476" s="2">
        <v>195.0</v>
      </c>
      <c r="E2476" s="2">
        <v>1.0</v>
      </c>
      <c r="F2476" s="2">
        <v>50.0</v>
      </c>
      <c r="G2476" s="2">
        <v>132500.0</v>
      </c>
    </row>
    <row r="2477" ht="14.25" customHeight="1">
      <c r="A2477" s="2">
        <v>2476.0</v>
      </c>
      <c r="B2477" s="2" t="s">
        <v>2576</v>
      </c>
      <c r="C2477" s="2" t="s">
        <v>4972</v>
      </c>
      <c r="D2477" s="2">
        <v>197.0</v>
      </c>
      <c r="E2477" s="2">
        <v>1.0</v>
      </c>
      <c r="F2477" s="2">
        <v>70.0</v>
      </c>
      <c r="G2477" s="2">
        <v>132500.0</v>
      </c>
    </row>
    <row r="2478" ht="14.25" customHeight="1">
      <c r="A2478" s="2">
        <v>2477.0</v>
      </c>
      <c r="B2478" s="2" t="s">
        <v>2549</v>
      </c>
      <c r="C2478" s="2" t="s">
        <v>4973</v>
      </c>
      <c r="D2478" s="2">
        <v>115.0</v>
      </c>
      <c r="E2478" s="2">
        <v>1.0</v>
      </c>
      <c r="F2478" s="2">
        <v>50.0</v>
      </c>
      <c r="G2478" s="2">
        <v>132400.0</v>
      </c>
    </row>
    <row r="2479" ht="14.25" customHeight="1">
      <c r="A2479" s="2">
        <v>2478.0</v>
      </c>
      <c r="B2479" s="2" t="s">
        <v>2518</v>
      </c>
      <c r="C2479" s="2" t="s">
        <v>4974</v>
      </c>
      <c r="D2479" s="2">
        <v>161.0</v>
      </c>
      <c r="E2479" s="2">
        <v>1.0</v>
      </c>
      <c r="F2479" s="2">
        <v>100.0</v>
      </c>
      <c r="G2479" s="2">
        <v>132400.0</v>
      </c>
    </row>
    <row r="2480" ht="14.25" customHeight="1">
      <c r="A2480" s="2">
        <v>2479.0</v>
      </c>
      <c r="B2480" s="2" t="s">
        <v>2507</v>
      </c>
      <c r="C2480" s="2" t="s">
        <v>4975</v>
      </c>
      <c r="D2480" s="2">
        <v>205.0</v>
      </c>
      <c r="E2480" s="2">
        <v>1.0</v>
      </c>
      <c r="F2480" s="2">
        <v>85.0</v>
      </c>
      <c r="G2480" s="2">
        <v>132400.0</v>
      </c>
    </row>
    <row r="2481" ht="14.25" customHeight="1">
      <c r="A2481" s="2">
        <v>2480.0</v>
      </c>
      <c r="B2481" s="2" t="s">
        <v>2488</v>
      </c>
      <c r="C2481" s="2" t="s">
        <v>4976</v>
      </c>
      <c r="D2481" s="2">
        <v>333.0</v>
      </c>
      <c r="E2481" s="2">
        <v>1.0</v>
      </c>
      <c r="F2481" s="2">
        <v>100.0</v>
      </c>
      <c r="G2481" s="2">
        <v>132300.0</v>
      </c>
    </row>
    <row r="2482" ht="14.25" customHeight="1">
      <c r="A2482" s="2">
        <v>2481.0</v>
      </c>
      <c r="B2482" s="2" t="s">
        <v>2549</v>
      </c>
      <c r="C2482" s="2" t="s">
        <v>4977</v>
      </c>
      <c r="D2482" s="2">
        <v>115.0</v>
      </c>
      <c r="E2482" s="2">
        <v>1.0</v>
      </c>
      <c r="F2482" s="2">
        <v>100.0</v>
      </c>
      <c r="G2482" s="2">
        <v>132200.0</v>
      </c>
    </row>
    <row r="2483" ht="14.25" customHeight="1">
      <c r="A2483" s="2">
        <v>2482.0</v>
      </c>
      <c r="B2483" s="2" t="s">
        <v>2549</v>
      </c>
      <c r="C2483" s="2" t="s">
        <v>4978</v>
      </c>
      <c r="D2483" s="2">
        <v>115.0</v>
      </c>
      <c r="E2483" s="2">
        <v>1.0</v>
      </c>
      <c r="F2483" s="2">
        <v>100.0</v>
      </c>
      <c r="G2483" s="2">
        <v>132200.0</v>
      </c>
    </row>
    <row r="2484" ht="14.25" customHeight="1">
      <c r="A2484" s="2">
        <v>2483.0</v>
      </c>
      <c r="B2484" s="2" t="s">
        <v>2636</v>
      </c>
      <c r="C2484" s="2" t="s">
        <v>4979</v>
      </c>
      <c r="D2484" s="2">
        <v>145.0</v>
      </c>
      <c r="E2484" s="2">
        <v>1.0</v>
      </c>
      <c r="F2484" s="2">
        <v>52.0</v>
      </c>
      <c r="G2484" s="2">
        <v>132200.0</v>
      </c>
    </row>
    <row r="2485" ht="14.25" customHeight="1">
      <c r="A2485" s="2">
        <v>2484.0</v>
      </c>
      <c r="B2485" s="2" t="s">
        <v>2479</v>
      </c>
      <c r="C2485" s="2" t="s">
        <v>4980</v>
      </c>
      <c r="D2485" s="2">
        <v>182.0</v>
      </c>
      <c r="E2485" s="2">
        <v>1.0</v>
      </c>
      <c r="F2485" s="2">
        <v>75.0</v>
      </c>
      <c r="G2485" s="2">
        <v>132200.0</v>
      </c>
    </row>
    <row r="2486" ht="14.25" customHeight="1">
      <c r="A2486" s="2">
        <v>2485.0</v>
      </c>
      <c r="B2486" s="2" t="s">
        <v>2594</v>
      </c>
      <c r="C2486" s="2" t="s">
        <v>4981</v>
      </c>
      <c r="D2486" s="2">
        <v>184.0</v>
      </c>
      <c r="E2486" s="2">
        <v>1.0</v>
      </c>
      <c r="F2486" s="2">
        <v>100.0</v>
      </c>
      <c r="G2486" s="2">
        <v>132200.0</v>
      </c>
    </row>
    <row r="2487" ht="14.25" customHeight="1">
      <c r="A2487" s="2">
        <v>2486.0</v>
      </c>
      <c r="B2487" s="2" t="s">
        <v>2604</v>
      </c>
      <c r="C2487" s="2" t="s">
        <v>4982</v>
      </c>
      <c r="D2487" s="2">
        <v>200.0</v>
      </c>
      <c r="E2487" s="2">
        <v>1.0</v>
      </c>
      <c r="F2487" s="2">
        <v>50.0</v>
      </c>
      <c r="G2487" s="2">
        <v>132200.0</v>
      </c>
    </row>
    <row r="2488" ht="14.25" customHeight="1">
      <c r="A2488" s="2">
        <v>2487.0</v>
      </c>
      <c r="B2488" s="2" t="s">
        <v>2604</v>
      </c>
      <c r="C2488" s="2" t="s">
        <v>4983</v>
      </c>
      <c r="D2488" s="2">
        <v>200.0</v>
      </c>
      <c r="E2488" s="2">
        <v>1.0</v>
      </c>
      <c r="F2488" s="2">
        <v>75.0</v>
      </c>
      <c r="G2488" s="2">
        <v>132200.0</v>
      </c>
    </row>
    <row r="2489" ht="14.25" customHeight="1">
      <c r="A2489" s="2">
        <v>2488.0</v>
      </c>
      <c r="B2489" s="2" t="s">
        <v>2636</v>
      </c>
      <c r="C2489" s="2" t="s">
        <v>4984</v>
      </c>
      <c r="D2489" s="2">
        <v>145.0</v>
      </c>
      <c r="E2489" s="2">
        <v>1.0</v>
      </c>
      <c r="F2489" s="2">
        <v>100.0</v>
      </c>
      <c r="G2489" s="2">
        <v>132100.0</v>
      </c>
    </row>
    <row r="2490" ht="14.25" customHeight="1">
      <c r="A2490" s="2">
        <v>2489.0</v>
      </c>
      <c r="B2490" s="2" t="s">
        <v>2636</v>
      </c>
      <c r="C2490" s="2" t="s">
        <v>4985</v>
      </c>
      <c r="D2490" s="2">
        <v>145.0</v>
      </c>
      <c r="E2490" s="2">
        <v>1.0</v>
      </c>
      <c r="F2490" s="2">
        <v>100.0</v>
      </c>
      <c r="G2490" s="2">
        <v>132100.0</v>
      </c>
    </row>
    <row r="2491" ht="14.25" customHeight="1">
      <c r="A2491" s="2">
        <v>2490.0</v>
      </c>
      <c r="B2491" s="2" t="s">
        <v>2512</v>
      </c>
      <c r="C2491" s="2" t="s">
        <v>4986</v>
      </c>
      <c r="D2491" s="2">
        <v>153.0</v>
      </c>
      <c r="E2491" s="2">
        <v>1.0</v>
      </c>
      <c r="F2491" s="2">
        <v>70.0</v>
      </c>
      <c r="G2491" s="2">
        <v>132100.0</v>
      </c>
    </row>
    <row r="2492" ht="14.25" customHeight="1">
      <c r="A2492" s="2">
        <v>2491.0</v>
      </c>
      <c r="B2492" s="2" t="s">
        <v>2594</v>
      </c>
      <c r="C2492" s="2" t="s">
        <v>4987</v>
      </c>
      <c r="D2492" s="2">
        <v>184.0</v>
      </c>
      <c r="E2492" s="2">
        <v>1.0</v>
      </c>
      <c r="F2492" s="2">
        <v>150.0</v>
      </c>
      <c r="G2492" s="2">
        <v>132100.0</v>
      </c>
    </row>
    <row r="2493" ht="14.25" customHeight="1">
      <c r="A2493" s="2">
        <v>2492.0</v>
      </c>
      <c r="B2493" s="2" t="s">
        <v>2604</v>
      </c>
      <c r="C2493" s="2" t="s">
        <v>4988</v>
      </c>
      <c r="D2493" s="2">
        <v>200.0</v>
      </c>
      <c r="E2493" s="2">
        <v>1.0</v>
      </c>
      <c r="F2493" s="2">
        <v>75.0</v>
      </c>
      <c r="G2493" s="2">
        <v>132100.0</v>
      </c>
    </row>
    <row r="2494" ht="14.25" customHeight="1">
      <c r="A2494" s="2">
        <v>2493.0</v>
      </c>
      <c r="B2494" s="2" t="s">
        <v>2686</v>
      </c>
      <c r="C2494" s="2" t="s">
        <v>4989</v>
      </c>
      <c r="D2494" s="2">
        <v>127.0</v>
      </c>
      <c r="E2494" s="2">
        <v>1.0</v>
      </c>
      <c r="F2494" s="2">
        <v>60.0</v>
      </c>
      <c r="G2494" s="2">
        <v>132000.0</v>
      </c>
    </row>
    <row r="2495" ht="14.25" customHeight="1">
      <c r="A2495" s="2">
        <v>2494.0</v>
      </c>
      <c r="B2495" s="2" t="s">
        <v>2518</v>
      </c>
      <c r="C2495" s="2" t="s">
        <v>4990</v>
      </c>
      <c r="D2495" s="2">
        <v>161.0</v>
      </c>
      <c r="E2495" s="2">
        <v>1.0</v>
      </c>
      <c r="F2495" s="2">
        <v>110.0</v>
      </c>
      <c r="G2495" s="2">
        <v>132000.0</v>
      </c>
    </row>
    <row r="2496" ht="14.25" customHeight="1">
      <c r="A2496" s="2">
        <v>2495.0</v>
      </c>
      <c r="B2496" s="2" t="s">
        <v>2686</v>
      </c>
      <c r="C2496" s="2" t="s">
        <v>4991</v>
      </c>
      <c r="D2496" s="2">
        <v>127.0</v>
      </c>
      <c r="E2496" s="2">
        <v>1.0</v>
      </c>
      <c r="F2496" s="2">
        <v>100.0</v>
      </c>
      <c r="G2496" s="2">
        <v>131900.0</v>
      </c>
    </row>
    <row r="2497" ht="14.25" customHeight="1">
      <c r="A2497" s="2">
        <v>2496.0</v>
      </c>
      <c r="B2497" s="2" t="s">
        <v>2686</v>
      </c>
      <c r="C2497" s="2" t="s">
        <v>4992</v>
      </c>
      <c r="D2497" s="2">
        <v>127.0</v>
      </c>
      <c r="E2497" s="2">
        <v>1.0</v>
      </c>
      <c r="F2497" s="2">
        <v>75.0</v>
      </c>
      <c r="G2497" s="2">
        <v>131900.0</v>
      </c>
    </row>
    <row r="2498" ht="14.25" customHeight="1">
      <c r="A2498" s="2">
        <v>2497.0</v>
      </c>
      <c r="B2498" s="2" t="s">
        <v>2636</v>
      </c>
      <c r="C2498" s="2" t="s">
        <v>4993</v>
      </c>
      <c r="D2498" s="2">
        <v>145.0</v>
      </c>
      <c r="E2498" s="2">
        <v>1.0</v>
      </c>
      <c r="F2498" s="2">
        <v>100.0</v>
      </c>
      <c r="G2498" s="2">
        <v>131900.0</v>
      </c>
    </row>
    <row r="2499" ht="14.25" customHeight="1">
      <c r="A2499" s="2">
        <v>2498.0</v>
      </c>
      <c r="B2499" s="2" t="s">
        <v>2524</v>
      </c>
      <c r="C2499" s="2" t="s">
        <v>4994</v>
      </c>
      <c r="D2499" s="2">
        <v>331.0</v>
      </c>
      <c r="E2499" s="2">
        <v>1.0</v>
      </c>
      <c r="F2499" s="2">
        <v>52.0</v>
      </c>
      <c r="G2499" s="2">
        <v>131900.0</v>
      </c>
    </row>
    <row r="2500" ht="14.25" customHeight="1">
      <c r="A2500" s="2">
        <v>2499.0</v>
      </c>
      <c r="B2500" s="2" t="s">
        <v>2505</v>
      </c>
      <c r="C2500" s="2" t="s">
        <v>4995</v>
      </c>
      <c r="D2500" s="2">
        <v>429.0</v>
      </c>
      <c r="E2500" s="2">
        <v>1.0</v>
      </c>
      <c r="F2500" s="2">
        <v>85.0</v>
      </c>
      <c r="G2500" s="2">
        <v>131900.0</v>
      </c>
    </row>
    <row r="2501" ht="14.25" customHeight="1">
      <c r="A2501" s="2">
        <v>2500.0</v>
      </c>
      <c r="B2501" s="2" t="s">
        <v>2636</v>
      </c>
      <c r="C2501" s="2" t="s">
        <v>4996</v>
      </c>
      <c r="D2501" s="2">
        <v>145.0</v>
      </c>
      <c r="E2501" s="2">
        <v>1.0</v>
      </c>
      <c r="F2501" s="2">
        <v>100.0</v>
      </c>
      <c r="G2501" s="2">
        <v>131800.0</v>
      </c>
    </row>
    <row r="2502" ht="14.25" customHeight="1">
      <c r="A2502" s="2">
        <v>2501.0</v>
      </c>
      <c r="B2502" s="2" t="s">
        <v>2512</v>
      </c>
      <c r="C2502" s="2" t="s">
        <v>4997</v>
      </c>
      <c r="D2502" s="2">
        <v>153.0</v>
      </c>
      <c r="E2502" s="2">
        <v>1.0</v>
      </c>
      <c r="F2502" s="2">
        <v>75.0</v>
      </c>
      <c r="G2502" s="2">
        <v>131800.0</v>
      </c>
    </row>
    <row r="2503" ht="14.25" customHeight="1">
      <c r="A2503" s="2">
        <v>2502.0</v>
      </c>
      <c r="B2503" s="2" t="s">
        <v>2534</v>
      </c>
      <c r="C2503" s="2" t="s">
        <v>4998</v>
      </c>
      <c r="D2503" s="2">
        <v>188.0</v>
      </c>
      <c r="E2503" s="2">
        <v>1.0</v>
      </c>
      <c r="F2503" s="2">
        <v>100.0</v>
      </c>
      <c r="G2503" s="2">
        <v>131800.0</v>
      </c>
    </row>
    <row r="2504" ht="14.25" customHeight="1">
      <c r="A2504" s="2">
        <v>2503.0</v>
      </c>
      <c r="B2504" s="2" t="s">
        <v>2534</v>
      </c>
      <c r="C2504" s="2" t="s">
        <v>4999</v>
      </c>
      <c r="D2504" s="2">
        <v>188.0</v>
      </c>
      <c r="E2504" s="2">
        <v>1.0</v>
      </c>
      <c r="F2504" s="2">
        <v>100.0</v>
      </c>
      <c r="G2504" s="2">
        <v>131800.0</v>
      </c>
    </row>
    <row r="2505" ht="14.25" customHeight="1">
      <c r="A2505" s="2">
        <v>2504.0</v>
      </c>
      <c r="B2505" s="2" t="s">
        <v>2561</v>
      </c>
      <c r="C2505" s="2" t="s">
        <v>5000</v>
      </c>
      <c r="D2505" s="2">
        <v>162.0</v>
      </c>
      <c r="E2505" s="2">
        <v>1.0</v>
      </c>
      <c r="F2505" s="2">
        <v>75.0</v>
      </c>
      <c r="G2505" s="2">
        <v>131700.0</v>
      </c>
    </row>
    <row r="2506" ht="14.25" customHeight="1">
      <c r="A2506" s="2">
        <v>2505.0</v>
      </c>
      <c r="B2506" s="2" t="s">
        <v>2501</v>
      </c>
      <c r="C2506" s="2" t="s">
        <v>5001</v>
      </c>
      <c r="D2506" s="2">
        <v>199.0</v>
      </c>
      <c r="E2506" s="2">
        <v>1.0</v>
      </c>
      <c r="F2506" s="2">
        <v>100.0</v>
      </c>
      <c r="G2506" s="2">
        <v>131700.0</v>
      </c>
    </row>
    <row r="2507" ht="14.25" customHeight="1">
      <c r="A2507" s="2">
        <v>2506.0</v>
      </c>
      <c r="B2507" s="2" t="s">
        <v>2524</v>
      </c>
      <c r="C2507" s="2" t="s">
        <v>5002</v>
      </c>
      <c r="D2507" s="2">
        <v>331.0</v>
      </c>
      <c r="E2507" s="2">
        <v>1.0</v>
      </c>
      <c r="F2507" s="2">
        <v>100.0</v>
      </c>
      <c r="G2507" s="2">
        <v>131700.0</v>
      </c>
    </row>
    <row r="2508" ht="14.25" customHeight="1">
      <c r="A2508" s="2">
        <v>2507.0</v>
      </c>
      <c r="B2508" s="2" t="s">
        <v>2553</v>
      </c>
      <c r="C2508" s="2" t="s">
        <v>5003</v>
      </c>
      <c r="D2508" s="2">
        <v>187.0</v>
      </c>
      <c r="E2508" s="2">
        <v>1.0</v>
      </c>
      <c r="F2508" s="2">
        <v>100.0</v>
      </c>
      <c r="G2508" s="2">
        <v>131600.0</v>
      </c>
    </row>
    <row r="2509" ht="14.25" customHeight="1">
      <c r="A2509" s="2">
        <v>2508.0</v>
      </c>
      <c r="B2509" s="2" t="s">
        <v>2534</v>
      </c>
      <c r="C2509" s="2" t="s">
        <v>5004</v>
      </c>
      <c r="D2509" s="2">
        <v>188.0</v>
      </c>
      <c r="E2509" s="2">
        <v>1.0</v>
      </c>
      <c r="F2509" s="2">
        <v>50.0</v>
      </c>
      <c r="G2509" s="2">
        <v>131600.0</v>
      </c>
    </row>
    <row r="2510" ht="14.25" customHeight="1">
      <c r="A2510" s="2">
        <v>2509.0</v>
      </c>
      <c r="B2510" s="2" t="s">
        <v>2541</v>
      </c>
      <c r="C2510" s="2" t="s">
        <v>5005</v>
      </c>
      <c r="D2510" s="2">
        <v>195.0</v>
      </c>
      <c r="E2510" s="2">
        <v>1.0</v>
      </c>
      <c r="F2510" s="2">
        <v>70.0</v>
      </c>
      <c r="G2510" s="2">
        <v>131500.0</v>
      </c>
    </row>
    <row r="2511" ht="14.25" customHeight="1">
      <c r="A2511" s="2">
        <v>2510.0</v>
      </c>
      <c r="B2511" s="2" t="s">
        <v>2507</v>
      </c>
      <c r="C2511" s="2" t="s">
        <v>5006</v>
      </c>
      <c r="D2511" s="2">
        <v>205.0</v>
      </c>
      <c r="E2511" s="2">
        <v>1.0</v>
      </c>
      <c r="F2511" s="2">
        <v>100.0</v>
      </c>
      <c r="G2511" s="2">
        <v>131500.0</v>
      </c>
    </row>
    <row r="2512" ht="14.25" customHeight="1">
      <c r="A2512" s="2">
        <v>2511.0</v>
      </c>
      <c r="B2512" s="2" t="s">
        <v>2505</v>
      </c>
      <c r="C2512" s="2" t="s">
        <v>5007</v>
      </c>
      <c r="D2512" s="2">
        <v>429.0</v>
      </c>
      <c r="E2512" s="2">
        <v>1.0</v>
      </c>
      <c r="F2512" s="2">
        <v>75.0</v>
      </c>
      <c r="G2512" s="2">
        <v>131500.0</v>
      </c>
    </row>
    <row r="2513" ht="14.25" customHeight="1">
      <c r="A2513" s="2">
        <v>2512.0</v>
      </c>
      <c r="B2513" s="2" t="s">
        <v>2503</v>
      </c>
      <c r="C2513" s="2" t="s">
        <v>5008</v>
      </c>
      <c r="D2513" s="2">
        <v>105.0</v>
      </c>
      <c r="E2513" s="2">
        <v>1.0</v>
      </c>
      <c r="F2513" s="2">
        <v>100.0</v>
      </c>
      <c r="G2513" s="2">
        <v>131400.0</v>
      </c>
    </row>
    <row r="2514" ht="14.25" customHeight="1">
      <c r="A2514" s="2">
        <v>2513.0</v>
      </c>
      <c r="B2514" s="2" t="s">
        <v>2945</v>
      </c>
      <c r="C2514" s="2" t="s">
        <v>5009</v>
      </c>
      <c r="D2514" s="2">
        <v>619.0</v>
      </c>
      <c r="E2514" s="2">
        <v>1.0</v>
      </c>
      <c r="F2514" s="2">
        <v>60.0</v>
      </c>
      <c r="G2514" s="2">
        <v>131400.0</v>
      </c>
    </row>
    <row r="2515" ht="14.25" customHeight="1">
      <c r="A2515" s="2">
        <v>2514.0</v>
      </c>
      <c r="B2515" s="2" t="s">
        <v>2945</v>
      </c>
      <c r="C2515" s="2" t="s">
        <v>5010</v>
      </c>
      <c r="D2515" s="2">
        <v>619.0</v>
      </c>
      <c r="E2515" s="2">
        <v>1.0</v>
      </c>
      <c r="F2515" s="2">
        <v>60.0</v>
      </c>
      <c r="G2515" s="2">
        <v>131400.0</v>
      </c>
    </row>
    <row r="2516" ht="14.25" customHeight="1">
      <c r="A2516" s="2">
        <v>2515.0</v>
      </c>
      <c r="B2516" s="2" t="s">
        <v>2945</v>
      </c>
      <c r="C2516" s="2" t="s">
        <v>5011</v>
      </c>
      <c r="D2516" s="2">
        <v>619.0</v>
      </c>
      <c r="E2516" s="2">
        <v>1.0</v>
      </c>
      <c r="F2516" s="2">
        <v>60.0</v>
      </c>
      <c r="G2516" s="2">
        <v>131400.0</v>
      </c>
    </row>
    <row r="2517" ht="14.25" customHeight="1">
      <c r="A2517" s="2">
        <v>2516.0</v>
      </c>
      <c r="B2517" s="2" t="s">
        <v>2497</v>
      </c>
      <c r="C2517" s="2" t="s">
        <v>5012</v>
      </c>
      <c r="D2517" s="2">
        <v>151.0</v>
      </c>
      <c r="E2517" s="2">
        <v>1.0</v>
      </c>
      <c r="F2517" s="2">
        <v>100.0</v>
      </c>
      <c r="G2517" s="2">
        <v>131300.0</v>
      </c>
    </row>
    <row r="2518" ht="14.25" customHeight="1">
      <c r="A2518" s="2">
        <v>2517.0</v>
      </c>
      <c r="B2518" s="2" t="s">
        <v>2744</v>
      </c>
      <c r="C2518" s="2" t="s">
        <v>5013</v>
      </c>
      <c r="D2518" s="2">
        <v>169.0</v>
      </c>
      <c r="E2518" s="2">
        <v>1.0</v>
      </c>
      <c r="F2518" s="2">
        <v>65.0</v>
      </c>
      <c r="G2518" s="2">
        <v>131300.0</v>
      </c>
    </row>
    <row r="2519" ht="14.25" customHeight="1">
      <c r="A2519" s="2">
        <v>2518.0</v>
      </c>
      <c r="B2519" s="2" t="s">
        <v>2594</v>
      </c>
      <c r="C2519" s="2" t="s">
        <v>5014</v>
      </c>
      <c r="D2519" s="2">
        <v>184.0</v>
      </c>
      <c r="E2519" s="2">
        <v>1.0</v>
      </c>
      <c r="F2519" s="2">
        <v>75.0</v>
      </c>
      <c r="G2519" s="2">
        <v>131300.0</v>
      </c>
    </row>
    <row r="2520" ht="14.25" customHeight="1">
      <c r="A2520" s="2">
        <v>2519.0</v>
      </c>
      <c r="B2520" s="2" t="s">
        <v>2549</v>
      </c>
      <c r="C2520" s="2" t="s">
        <v>5015</v>
      </c>
      <c r="D2520" s="2">
        <v>115.0</v>
      </c>
      <c r="E2520" s="2">
        <v>1.0</v>
      </c>
      <c r="F2520" s="2">
        <v>107.0</v>
      </c>
      <c r="G2520" s="2">
        <v>131200.0</v>
      </c>
    </row>
    <row r="2521" ht="14.25" customHeight="1">
      <c r="A2521" s="2">
        <v>2520.0</v>
      </c>
      <c r="B2521" s="2" t="s">
        <v>2549</v>
      </c>
      <c r="C2521" s="2" t="s">
        <v>5016</v>
      </c>
      <c r="D2521" s="2">
        <v>115.0</v>
      </c>
      <c r="E2521" s="2">
        <v>1.0</v>
      </c>
      <c r="F2521" s="2">
        <v>75.0</v>
      </c>
      <c r="G2521" s="2">
        <v>131200.0</v>
      </c>
    </row>
    <row r="2522" ht="14.25" customHeight="1">
      <c r="A2522" s="2">
        <v>2521.0</v>
      </c>
      <c r="B2522" s="2" t="s">
        <v>2582</v>
      </c>
      <c r="C2522" s="2" t="s">
        <v>5017</v>
      </c>
      <c r="D2522" s="2">
        <v>183.0</v>
      </c>
      <c r="E2522" s="2">
        <v>1.0</v>
      </c>
      <c r="F2522" s="2">
        <v>50.0</v>
      </c>
      <c r="G2522" s="2">
        <v>131200.0</v>
      </c>
    </row>
    <row r="2523" ht="14.25" customHeight="1">
      <c r="A2523" s="2">
        <v>2522.0</v>
      </c>
      <c r="B2523" s="2" t="s">
        <v>2507</v>
      </c>
      <c r="C2523" s="2" t="s">
        <v>5018</v>
      </c>
      <c r="D2523" s="2">
        <v>205.0</v>
      </c>
      <c r="E2523" s="2">
        <v>1.0</v>
      </c>
      <c r="F2523" s="2">
        <v>100.0</v>
      </c>
      <c r="G2523" s="2">
        <v>131200.0</v>
      </c>
    </row>
    <row r="2524" ht="14.25" customHeight="1">
      <c r="A2524" s="2">
        <v>2523.0</v>
      </c>
      <c r="B2524" s="2" t="s">
        <v>2621</v>
      </c>
      <c r="C2524" s="2" t="s">
        <v>5019</v>
      </c>
      <c r="D2524" s="2">
        <v>403.0</v>
      </c>
      <c r="E2524" s="2">
        <v>1.0</v>
      </c>
      <c r="F2524" s="2">
        <v>99.0</v>
      </c>
      <c r="G2524" s="2">
        <v>131200.0</v>
      </c>
    </row>
    <row r="2525" ht="14.25" customHeight="1">
      <c r="A2525" s="2">
        <v>2524.0</v>
      </c>
      <c r="B2525" s="2" t="s">
        <v>2686</v>
      </c>
      <c r="C2525" s="2" t="s">
        <v>5020</v>
      </c>
      <c r="D2525" s="2">
        <v>127.0</v>
      </c>
      <c r="E2525" s="2">
        <v>1.0</v>
      </c>
      <c r="F2525" s="2">
        <v>90.0</v>
      </c>
      <c r="G2525" s="2">
        <v>131000.0</v>
      </c>
    </row>
    <row r="2526" ht="14.25" customHeight="1">
      <c r="A2526" s="2">
        <v>2525.0</v>
      </c>
      <c r="B2526" s="2" t="s">
        <v>2686</v>
      </c>
      <c r="C2526" s="2" t="s">
        <v>5021</v>
      </c>
      <c r="D2526" s="2">
        <v>127.0</v>
      </c>
      <c r="E2526" s="2">
        <v>1.0</v>
      </c>
      <c r="F2526" s="2">
        <v>60.0</v>
      </c>
      <c r="G2526" s="2">
        <v>131000.0</v>
      </c>
    </row>
    <row r="2527" ht="14.25" customHeight="1">
      <c r="A2527" s="2">
        <v>2526.0</v>
      </c>
      <c r="B2527" s="2" t="s">
        <v>2518</v>
      </c>
      <c r="C2527" s="2" t="s">
        <v>5022</v>
      </c>
      <c r="D2527" s="2">
        <v>161.0</v>
      </c>
      <c r="E2527" s="2">
        <v>1.0</v>
      </c>
      <c r="F2527" s="2">
        <v>50.0</v>
      </c>
      <c r="G2527" s="2">
        <v>131000.0</v>
      </c>
    </row>
    <row r="2528" ht="14.25" customHeight="1">
      <c r="A2528" s="2">
        <v>2527.0</v>
      </c>
      <c r="B2528" s="2" t="s">
        <v>2744</v>
      </c>
      <c r="C2528" s="2" t="s">
        <v>5023</v>
      </c>
      <c r="D2528" s="2">
        <v>169.0</v>
      </c>
      <c r="E2528" s="2">
        <v>1.0</v>
      </c>
      <c r="F2528" s="2">
        <v>100.0</v>
      </c>
      <c r="G2528" s="2">
        <v>131000.0</v>
      </c>
    </row>
    <row r="2529" ht="14.25" customHeight="1">
      <c r="A2529" s="2">
        <v>2528.0</v>
      </c>
      <c r="B2529" s="2" t="s">
        <v>2576</v>
      </c>
      <c r="C2529" s="2" t="s">
        <v>5024</v>
      </c>
      <c r="D2529" s="2">
        <v>197.0</v>
      </c>
      <c r="E2529" s="2">
        <v>1.0</v>
      </c>
      <c r="F2529" s="2">
        <v>100.0</v>
      </c>
      <c r="G2529" s="2">
        <v>131000.0</v>
      </c>
    </row>
    <row r="2530" ht="14.25" customHeight="1">
      <c r="A2530" s="2">
        <v>2529.0</v>
      </c>
      <c r="B2530" s="2" t="s">
        <v>2651</v>
      </c>
      <c r="C2530" s="2" t="s">
        <v>5025</v>
      </c>
      <c r="D2530" s="2">
        <v>347.0</v>
      </c>
      <c r="E2530" s="2">
        <v>1.0</v>
      </c>
      <c r="F2530" s="2">
        <v>70.0</v>
      </c>
      <c r="G2530" s="2">
        <v>131000.0</v>
      </c>
    </row>
    <row r="2531" ht="14.25" customHeight="1">
      <c r="A2531" s="2">
        <v>2530.0</v>
      </c>
      <c r="B2531" s="2" t="s">
        <v>2686</v>
      </c>
      <c r="C2531" s="2" t="s">
        <v>5026</v>
      </c>
      <c r="D2531" s="2">
        <v>127.0</v>
      </c>
      <c r="E2531" s="2">
        <v>1.0</v>
      </c>
      <c r="F2531" s="2">
        <v>66.0</v>
      </c>
      <c r="G2531" s="2">
        <v>130900.0</v>
      </c>
    </row>
    <row r="2532" ht="14.25" customHeight="1">
      <c r="A2532" s="2">
        <v>2531.0</v>
      </c>
      <c r="B2532" s="2" t="s">
        <v>2477</v>
      </c>
      <c r="C2532" s="2" t="s">
        <v>5027</v>
      </c>
      <c r="D2532" s="2">
        <v>152.0</v>
      </c>
      <c r="E2532" s="2">
        <v>1.0</v>
      </c>
      <c r="F2532" s="2">
        <v>112.5</v>
      </c>
      <c r="G2532" s="2">
        <v>130900.0</v>
      </c>
    </row>
    <row r="2533" ht="14.25" customHeight="1">
      <c r="A2533" s="2">
        <v>2532.0</v>
      </c>
      <c r="B2533" s="2" t="s">
        <v>2512</v>
      </c>
      <c r="C2533" s="2" t="s">
        <v>5028</v>
      </c>
      <c r="D2533" s="2">
        <v>153.0</v>
      </c>
      <c r="E2533" s="2">
        <v>1.0</v>
      </c>
      <c r="F2533" s="2">
        <v>100.0</v>
      </c>
      <c r="G2533" s="2">
        <v>130900.0</v>
      </c>
    </row>
    <row r="2534" ht="14.25" customHeight="1">
      <c r="A2534" s="2">
        <v>2533.0</v>
      </c>
      <c r="B2534" s="2" t="s">
        <v>2512</v>
      </c>
      <c r="C2534" s="2" t="s">
        <v>5029</v>
      </c>
      <c r="D2534" s="2">
        <v>153.0</v>
      </c>
      <c r="E2534" s="2">
        <v>1.0</v>
      </c>
      <c r="F2534" s="2">
        <v>75.0</v>
      </c>
      <c r="G2534" s="2">
        <v>130900.0</v>
      </c>
    </row>
    <row r="2535" ht="14.25" customHeight="1">
      <c r="A2535" s="2">
        <v>2534.0</v>
      </c>
      <c r="B2535" s="2" t="s">
        <v>2582</v>
      </c>
      <c r="C2535" s="2" t="s">
        <v>5030</v>
      </c>
      <c r="D2535" s="2">
        <v>183.0</v>
      </c>
      <c r="E2535" s="2">
        <v>1.0</v>
      </c>
      <c r="F2535" s="2">
        <v>100.0</v>
      </c>
      <c r="G2535" s="2">
        <v>130900.0</v>
      </c>
    </row>
    <row r="2536" ht="14.25" customHeight="1">
      <c r="A2536" s="2">
        <v>2535.0</v>
      </c>
      <c r="B2536" s="2" t="s">
        <v>2524</v>
      </c>
      <c r="C2536" s="2" t="s">
        <v>5031</v>
      </c>
      <c r="D2536" s="2">
        <v>331.0</v>
      </c>
      <c r="E2536" s="2">
        <v>1.0</v>
      </c>
      <c r="F2536" s="2">
        <v>52.0</v>
      </c>
      <c r="G2536" s="2">
        <v>130900.0</v>
      </c>
    </row>
    <row r="2537" ht="14.25" customHeight="1">
      <c r="A2537" s="2">
        <v>2536.0</v>
      </c>
      <c r="B2537" s="2" t="s">
        <v>2621</v>
      </c>
      <c r="C2537" s="2" t="s">
        <v>5032</v>
      </c>
      <c r="D2537" s="2">
        <v>403.0</v>
      </c>
      <c r="E2537" s="2">
        <v>1.0</v>
      </c>
      <c r="F2537" s="2">
        <v>132.0</v>
      </c>
      <c r="G2537" s="2">
        <v>130900.0</v>
      </c>
    </row>
    <row r="2538" ht="14.25" customHeight="1">
      <c r="A2538" s="2">
        <v>2537.0</v>
      </c>
      <c r="B2538" s="2" t="s">
        <v>2497</v>
      </c>
      <c r="C2538" s="2" t="s">
        <v>5033</v>
      </c>
      <c r="D2538" s="2">
        <v>151.0</v>
      </c>
      <c r="E2538" s="2">
        <v>1.0</v>
      </c>
      <c r="F2538" s="2">
        <v>70.0</v>
      </c>
      <c r="G2538" s="2">
        <v>130800.0</v>
      </c>
    </row>
    <row r="2539" ht="14.25" customHeight="1">
      <c r="A2539" s="2">
        <v>2538.0</v>
      </c>
      <c r="B2539" s="2" t="s">
        <v>2594</v>
      </c>
      <c r="C2539" s="2" t="s">
        <v>5034</v>
      </c>
      <c r="D2539" s="2">
        <v>184.0</v>
      </c>
      <c r="E2539" s="2">
        <v>1.0</v>
      </c>
      <c r="F2539" s="2">
        <v>90.0</v>
      </c>
      <c r="G2539" s="2">
        <v>130800.0</v>
      </c>
    </row>
    <row r="2540" ht="14.25" customHeight="1">
      <c r="A2540" s="2">
        <v>2539.0</v>
      </c>
      <c r="B2540" s="2" t="s">
        <v>2524</v>
      </c>
      <c r="C2540" s="2" t="s">
        <v>5035</v>
      </c>
      <c r="D2540" s="2">
        <v>331.0</v>
      </c>
      <c r="E2540" s="2">
        <v>1.0</v>
      </c>
      <c r="F2540" s="2">
        <v>57.0</v>
      </c>
      <c r="G2540" s="2">
        <v>130800.0</v>
      </c>
    </row>
    <row r="2541" ht="14.25" customHeight="1">
      <c r="A2541" s="2">
        <v>2540.0</v>
      </c>
      <c r="B2541" s="2" t="s">
        <v>2621</v>
      </c>
      <c r="C2541" s="2" t="s">
        <v>5036</v>
      </c>
      <c r="D2541" s="2">
        <v>403.0</v>
      </c>
      <c r="E2541" s="2">
        <v>1.0</v>
      </c>
      <c r="F2541" s="2">
        <v>85.0</v>
      </c>
      <c r="G2541" s="2">
        <v>130800.0</v>
      </c>
    </row>
    <row r="2542" ht="14.25" customHeight="1">
      <c r="A2542" s="2">
        <v>2541.0</v>
      </c>
      <c r="B2542" s="2" t="s">
        <v>2503</v>
      </c>
      <c r="C2542" s="2" t="s">
        <v>5037</v>
      </c>
      <c r="D2542" s="2">
        <v>105.0</v>
      </c>
      <c r="E2542" s="2">
        <v>1.0</v>
      </c>
      <c r="F2542" s="2">
        <v>75.0</v>
      </c>
      <c r="G2542" s="2">
        <v>130700.0</v>
      </c>
    </row>
    <row r="2543" ht="14.25" customHeight="1">
      <c r="A2543" s="2">
        <v>2542.0</v>
      </c>
      <c r="B2543" s="2" t="s">
        <v>2561</v>
      </c>
      <c r="C2543" s="2" t="s">
        <v>5038</v>
      </c>
      <c r="D2543" s="2">
        <v>162.0</v>
      </c>
      <c r="E2543" s="2">
        <v>1.0</v>
      </c>
      <c r="F2543" s="2">
        <v>130.0</v>
      </c>
      <c r="G2543" s="2">
        <v>130700.0</v>
      </c>
    </row>
    <row r="2544" ht="14.25" customHeight="1">
      <c r="A2544" s="2">
        <v>2543.0</v>
      </c>
      <c r="B2544" s="2" t="s">
        <v>2582</v>
      </c>
      <c r="C2544" s="2" t="s">
        <v>5039</v>
      </c>
      <c r="D2544" s="2">
        <v>183.0</v>
      </c>
      <c r="E2544" s="2">
        <v>1.0</v>
      </c>
      <c r="F2544" s="2">
        <v>100.0</v>
      </c>
      <c r="G2544" s="2">
        <v>130700.0</v>
      </c>
    </row>
    <row r="2545" ht="14.25" customHeight="1">
      <c r="A2545" s="2">
        <v>2544.0</v>
      </c>
      <c r="B2545" s="2" t="s">
        <v>2571</v>
      </c>
      <c r="C2545" s="2" t="s">
        <v>5040</v>
      </c>
      <c r="D2545" s="2">
        <v>185.0</v>
      </c>
      <c r="E2545" s="2">
        <v>1.0</v>
      </c>
      <c r="F2545" s="2">
        <v>70.0</v>
      </c>
      <c r="G2545" s="2">
        <v>130700.0</v>
      </c>
    </row>
    <row r="2546" ht="14.25" customHeight="1">
      <c r="A2546" s="2">
        <v>2545.0</v>
      </c>
      <c r="B2546" s="2" t="s">
        <v>2553</v>
      </c>
      <c r="C2546" s="2" t="s">
        <v>5041</v>
      </c>
      <c r="D2546" s="2">
        <v>187.0</v>
      </c>
      <c r="E2546" s="2">
        <v>1.0</v>
      </c>
      <c r="F2546" s="2">
        <v>75.0</v>
      </c>
      <c r="G2546" s="2">
        <v>130700.0</v>
      </c>
    </row>
    <row r="2547" ht="14.25" customHeight="1">
      <c r="A2547" s="2">
        <v>2546.0</v>
      </c>
      <c r="B2547" s="2" t="s">
        <v>2479</v>
      </c>
      <c r="C2547" s="2" t="s">
        <v>5042</v>
      </c>
      <c r="D2547" s="2">
        <v>182.0</v>
      </c>
      <c r="E2547" s="2">
        <v>1.0</v>
      </c>
      <c r="F2547" s="2">
        <v>200.0</v>
      </c>
      <c r="G2547" s="2">
        <v>130600.0</v>
      </c>
    </row>
    <row r="2548" ht="14.25" customHeight="1">
      <c r="A2548" s="2">
        <v>2547.0</v>
      </c>
      <c r="B2548" s="2" t="s">
        <v>2541</v>
      </c>
      <c r="C2548" s="2" t="s">
        <v>5043</v>
      </c>
      <c r="D2548" s="2">
        <v>195.0</v>
      </c>
      <c r="E2548" s="2">
        <v>1.0</v>
      </c>
      <c r="F2548" s="2">
        <v>100.0</v>
      </c>
      <c r="G2548" s="2">
        <v>130600.0</v>
      </c>
    </row>
    <row r="2549" ht="14.25" customHeight="1">
      <c r="A2549" s="2">
        <v>2548.0</v>
      </c>
      <c r="B2549" s="2" t="s">
        <v>2621</v>
      </c>
      <c r="C2549" s="2" t="s">
        <v>5044</v>
      </c>
      <c r="D2549" s="2">
        <v>403.0</v>
      </c>
      <c r="E2549" s="2">
        <v>1.0</v>
      </c>
      <c r="F2549" s="2">
        <v>75.0</v>
      </c>
      <c r="G2549" s="2">
        <v>130600.0</v>
      </c>
    </row>
    <row r="2550" ht="14.25" customHeight="1">
      <c r="A2550" s="2">
        <v>2549.0</v>
      </c>
      <c r="B2550" s="2" t="s">
        <v>2945</v>
      </c>
      <c r="C2550" s="2" t="s">
        <v>5045</v>
      </c>
      <c r="D2550" s="2">
        <v>619.0</v>
      </c>
      <c r="E2550" s="2">
        <v>1.0</v>
      </c>
      <c r="F2550" s="2">
        <v>65.0</v>
      </c>
      <c r="G2550" s="2">
        <v>130600.0</v>
      </c>
    </row>
    <row r="2551" ht="14.25" customHeight="1">
      <c r="A2551" s="2">
        <v>2550.0</v>
      </c>
      <c r="B2551" s="2" t="s">
        <v>2945</v>
      </c>
      <c r="C2551" s="2" t="s">
        <v>5046</v>
      </c>
      <c r="D2551" s="2">
        <v>619.0</v>
      </c>
      <c r="E2551" s="2">
        <v>1.0</v>
      </c>
      <c r="F2551" s="2">
        <v>60.0</v>
      </c>
      <c r="G2551" s="2">
        <v>130600.0</v>
      </c>
    </row>
    <row r="2552" ht="14.25" customHeight="1">
      <c r="A2552" s="2">
        <v>2551.0</v>
      </c>
      <c r="B2552" s="2" t="s">
        <v>2686</v>
      </c>
      <c r="C2552" s="2" t="s">
        <v>5047</v>
      </c>
      <c r="D2552" s="2">
        <v>127.0</v>
      </c>
      <c r="E2552" s="2">
        <v>1.0</v>
      </c>
      <c r="F2552" s="2">
        <v>120.0</v>
      </c>
      <c r="G2552" s="2">
        <v>130500.0</v>
      </c>
    </row>
    <row r="2553" ht="14.25" customHeight="1">
      <c r="A2553" s="2">
        <v>2552.0</v>
      </c>
      <c r="B2553" s="2" t="s">
        <v>2686</v>
      </c>
      <c r="C2553" s="2" t="s">
        <v>5048</v>
      </c>
      <c r="D2553" s="2">
        <v>127.0</v>
      </c>
      <c r="E2553" s="2">
        <v>1.0</v>
      </c>
      <c r="F2553" s="2">
        <v>60.0</v>
      </c>
      <c r="G2553" s="2">
        <v>130500.0</v>
      </c>
    </row>
    <row r="2554" ht="14.25" customHeight="1">
      <c r="A2554" s="2">
        <v>2553.0</v>
      </c>
      <c r="B2554" s="2" t="s">
        <v>2477</v>
      </c>
      <c r="C2554" s="2" t="s">
        <v>5049</v>
      </c>
      <c r="D2554" s="2">
        <v>152.0</v>
      </c>
      <c r="E2554" s="2">
        <v>1.0</v>
      </c>
      <c r="F2554" s="2">
        <v>100.0</v>
      </c>
      <c r="G2554" s="2">
        <v>130500.0</v>
      </c>
    </row>
    <row r="2555" ht="14.25" customHeight="1">
      <c r="A2555" s="2">
        <v>2554.0</v>
      </c>
      <c r="B2555" s="2" t="s">
        <v>2582</v>
      </c>
      <c r="C2555" s="2" t="s">
        <v>5050</v>
      </c>
      <c r="D2555" s="2">
        <v>183.0</v>
      </c>
      <c r="E2555" s="2">
        <v>1.0</v>
      </c>
      <c r="F2555" s="2">
        <v>100.0</v>
      </c>
      <c r="G2555" s="2">
        <v>130500.0</v>
      </c>
    </row>
    <row r="2556" ht="14.25" customHeight="1">
      <c r="A2556" s="2">
        <v>2555.0</v>
      </c>
      <c r="B2556" s="2" t="s">
        <v>2604</v>
      </c>
      <c r="C2556" s="2" t="s">
        <v>5051</v>
      </c>
      <c r="D2556" s="2">
        <v>200.0</v>
      </c>
      <c r="E2556" s="2">
        <v>1.0</v>
      </c>
      <c r="F2556" s="2">
        <v>100.0</v>
      </c>
      <c r="G2556" s="2">
        <v>130500.0</v>
      </c>
    </row>
    <row r="2557" ht="14.25" customHeight="1">
      <c r="A2557" s="2">
        <v>2556.0</v>
      </c>
      <c r="B2557" s="2" t="s">
        <v>2549</v>
      </c>
      <c r="C2557" s="2" t="s">
        <v>5052</v>
      </c>
      <c r="D2557" s="2">
        <v>115.0</v>
      </c>
      <c r="E2557" s="2">
        <v>1.0</v>
      </c>
      <c r="F2557" s="2">
        <v>50.0</v>
      </c>
      <c r="G2557" s="2">
        <v>130400.0</v>
      </c>
    </row>
    <row r="2558" ht="14.25" customHeight="1">
      <c r="A2558" s="2">
        <v>2557.0</v>
      </c>
      <c r="B2558" s="2" t="s">
        <v>2686</v>
      </c>
      <c r="C2558" s="2" t="s">
        <v>5053</v>
      </c>
      <c r="D2558" s="2">
        <v>127.0</v>
      </c>
      <c r="E2558" s="2">
        <v>1.0</v>
      </c>
      <c r="F2558" s="2">
        <v>60.0</v>
      </c>
      <c r="G2558" s="2">
        <v>130400.0</v>
      </c>
    </row>
    <row r="2559" ht="14.25" customHeight="1">
      <c r="A2559" s="2">
        <v>2558.0</v>
      </c>
      <c r="B2559" s="2" t="s">
        <v>2503</v>
      </c>
      <c r="C2559" s="2" t="s">
        <v>5054</v>
      </c>
      <c r="D2559" s="2">
        <v>105.0</v>
      </c>
      <c r="E2559" s="2">
        <v>1.0</v>
      </c>
      <c r="F2559" s="2">
        <v>110.0</v>
      </c>
      <c r="G2559" s="2">
        <v>130300.0</v>
      </c>
    </row>
    <row r="2560" ht="14.25" customHeight="1">
      <c r="A2560" s="2">
        <v>2559.0</v>
      </c>
      <c r="B2560" s="2" t="s">
        <v>2549</v>
      </c>
      <c r="C2560" s="2" t="s">
        <v>5055</v>
      </c>
      <c r="D2560" s="2">
        <v>115.0</v>
      </c>
      <c r="E2560" s="2">
        <v>1.0</v>
      </c>
      <c r="F2560" s="2">
        <v>50.0</v>
      </c>
      <c r="G2560" s="2">
        <v>130300.0</v>
      </c>
    </row>
    <row r="2561" ht="14.25" customHeight="1">
      <c r="A2561" s="2">
        <v>2560.0</v>
      </c>
      <c r="B2561" s="2" t="s">
        <v>2518</v>
      </c>
      <c r="C2561" s="2" t="s">
        <v>5056</v>
      </c>
      <c r="D2561" s="2">
        <v>161.0</v>
      </c>
      <c r="E2561" s="2">
        <v>1.0</v>
      </c>
      <c r="F2561" s="2">
        <v>50.0</v>
      </c>
      <c r="G2561" s="2">
        <v>130300.0</v>
      </c>
    </row>
    <row r="2562" ht="14.25" customHeight="1">
      <c r="A2562" s="2">
        <v>2561.0</v>
      </c>
      <c r="B2562" s="2" t="s">
        <v>2479</v>
      </c>
      <c r="C2562" s="2" t="s">
        <v>5057</v>
      </c>
      <c r="D2562" s="2">
        <v>182.0</v>
      </c>
      <c r="E2562" s="2">
        <v>1.0</v>
      </c>
      <c r="F2562" s="2">
        <v>50.0</v>
      </c>
      <c r="G2562" s="2">
        <v>130300.0</v>
      </c>
    </row>
    <row r="2563" ht="14.25" customHeight="1">
      <c r="A2563" s="2">
        <v>2562.0</v>
      </c>
      <c r="B2563" s="2" t="s">
        <v>2534</v>
      </c>
      <c r="C2563" s="2" t="s">
        <v>5058</v>
      </c>
      <c r="D2563" s="2">
        <v>188.0</v>
      </c>
      <c r="E2563" s="2">
        <v>1.0</v>
      </c>
      <c r="F2563" s="2">
        <v>100.0</v>
      </c>
      <c r="G2563" s="2">
        <v>130300.0</v>
      </c>
    </row>
    <row r="2564" ht="14.25" customHeight="1">
      <c r="A2564" s="2">
        <v>2563.0</v>
      </c>
      <c r="B2564" s="2" t="s">
        <v>2501</v>
      </c>
      <c r="C2564" s="2" t="s">
        <v>5059</v>
      </c>
      <c r="D2564" s="2">
        <v>199.0</v>
      </c>
      <c r="E2564" s="2">
        <v>1.0</v>
      </c>
      <c r="F2564" s="2">
        <v>100.0</v>
      </c>
      <c r="G2564" s="2">
        <v>130300.0</v>
      </c>
    </row>
    <row r="2565" ht="14.25" customHeight="1">
      <c r="A2565" s="2">
        <v>2564.0</v>
      </c>
      <c r="B2565" s="2" t="s">
        <v>2507</v>
      </c>
      <c r="C2565" s="2" t="s">
        <v>5060</v>
      </c>
      <c r="D2565" s="2">
        <v>205.0</v>
      </c>
      <c r="E2565" s="2">
        <v>1.0</v>
      </c>
      <c r="F2565" s="2">
        <v>100.0</v>
      </c>
      <c r="G2565" s="2">
        <v>130300.0</v>
      </c>
    </row>
    <row r="2566" ht="14.25" customHeight="1">
      <c r="A2566" s="2">
        <v>2565.0</v>
      </c>
      <c r="B2566" s="2" t="s">
        <v>2512</v>
      </c>
      <c r="C2566" s="2" t="s">
        <v>5061</v>
      </c>
      <c r="D2566" s="2">
        <v>153.0</v>
      </c>
      <c r="E2566" s="2">
        <v>1.0</v>
      </c>
      <c r="F2566" s="2">
        <v>75.0</v>
      </c>
      <c r="G2566" s="2">
        <v>130200.0</v>
      </c>
    </row>
    <row r="2567" ht="14.25" customHeight="1">
      <c r="A2567" s="2">
        <v>2566.0</v>
      </c>
      <c r="B2567" s="2" t="s">
        <v>2518</v>
      </c>
      <c r="C2567" s="2" t="s">
        <v>5062</v>
      </c>
      <c r="D2567" s="2">
        <v>161.0</v>
      </c>
      <c r="E2567" s="2">
        <v>1.0</v>
      </c>
      <c r="F2567" s="2">
        <v>100.0</v>
      </c>
      <c r="G2567" s="2">
        <v>130200.0</v>
      </c>
    </row>
    <row r="2568" ht="14.25" customHeight="1">
      <c r="A2568" s="2">
        <v>2567.0</v>
      </c>
      <c r="B2568" s="2" t="s">
        <v>2479</v>
      </c>
      <c r="C2568" s="2" t="s">
        <v>5063</v>
      </c>
      <c r="D2568" s="2">
        <v>182.0</v>
      </c>
      <c r="E2568" s="2">
        <v>1.0</v>
      </c>
      <c r="F2568" s="2">
        <v>150.0</v>
      </c>
      <c r="G2568" s="2">
        <v>130200.0</v>
      </c>
    </row>
    <row r="2569" ht="14.25" customHeight="1">
      <c r="A2569" s="2">
        <v>2568.0</v>
      </c>
      <c r="B2569" s="2" t="s">
        <v>2553</v>
      </c>
      <c r="C2569" s="2" t="s">
        <v>5064</v>
      </c>
      <c r="D2569" s="2">
        <v>187.0</v>
      </c>
      <c r="E2569" s="2">
        <v>1.0</v>
      </c>
      <c r="F2569" s="2">
        <v>130.0</v>
      </c>
      <c r="G2569" s="2">
        <v>130200.0</v>
      </c>
    </row>
    <row r="2570" ht="14.25" customHeight="1">
      <c r="A2570" s="2">
        <v>2569.0</v>
      </c>
      <c r="B2570" s="2" t="s">
        <v>2604</v>
      </c>
      <c r="C2570" s="2" t="s">
        <v>5065</v>
      </c>
      <c r="D2570" s="2">
        <v>200.0</v>
      </c>
      <c r="E2570" s="2">
        <v>1.0</v>
      </c>
      <c r="F2570" s="2">
        <v>100.0</v>
      </c>
      <c r="G2570" s="2">
        <v>130200.0</v>
      </c>
    </row>
    <row r="2571" ht="14.25" customHeight="1">
      <c r="A2571" s="2">
        <v>2570.0</v>
      </c>
      <c r="B2571" s="2" t="s">
        <v>2524</v>
      </c>
      <c r="C2571" s="2" t="s">
        <v>5066</v>
      </c>
      <c r="D2571" s="2">
        <v>331.0</v>
      </c>
      <c r="E2571" s="2">
        <v>1.0</v>
      </c>
      <c r="F2571" s="2">
        <v>75.0</v>
      </c>
      <c r="G2571" s="2">
        <v>130200.0</v>
      </c>
    </row>
    <row r="2572" ht="14.25" customHeight="1">
      <c r="A2572" s="2">
        <v>2571.0</v>
      </c>
      <c r="B2572" s="2" t="s">
        <v>2512</v>
      </c>
      <c r="C2572" s="2" t="s">
        <v>5067</v>
      </c>
      <c r="D2572" s="2">
        <v>153.0</v>
      </c>
      <c r="E2572" s="2">
        <v>1.0</v>
      </c>
      <c r="F2572" s="2">
        <v>100.0</v>
      </c>
      <c r="G2572" s="2">
        <v>130100.0</v>
      </c>
    </row>
    <row r="2573" ht="14.25" customHeight="1">
      <c r="A2573" s="2">
        <v>2572.0</v>
      </c>
      <c r="B2573" s="2" t="s">
        <v>2561</v>
      </c>
      <c r="C2573" s="2" t="s">
        <v>5068</v>
      </c>
      <c r="D2573" s="2">
        <v>162.0</v>
      </c>
      <c r="E2573" s="2">
        <v>1.0</v>
      </c>
      <c r="F2573" s="2">
        <v>50.0</v>
      </c>
      <c r="G2573" s="2">
        <v>130100.0</v>
      </c>
    </row>
    <row r="2574" ht="14.25" customHeight="1">
      <c r="A2574" s="2">
        <v>2573.0</v>
      </c>
      <c r="B2574" s="2" t="s">
        <v>2553</v>
      </c>
      <c r="C2574" s="2" t="s">
        <v>5069</v>
      </c>
      <c r="D2574" s="2">
        <v>187.0</v>
      </c>
      <c r="E2574" s="2">
        <v>1.0</v>
      </c>
      <c r="F2574" s="2">
        <v>120.0</v>
      </c>
      <c r="G2574" s="2">
        <v>130100.0</v>
      </c>
    </row>
    <row r="2575" ht="14.25" customHeight="1">
      <c r="A2575" s="2">
        <v>2574.0</v>
      </c>
      <c r="B2575" s="2" t="s">
        <v>2501</v>
      </c>
      <c r="C2575" s="2" t="s">
        <v>5070</v>
      </c>
      <c r="D2575" s="2">
        <v>199.0</v>
      </c>
      <c r="E2575" s="2">
        <v>1.0</v>
      </c>
      <c r="F2575" s="2">
        <v>90.0</v>
      </c>
      <c r="G2575" s="2">
        <v>130100.0</v>
      </c>
    </row>
    <row r="2576" ht="14.25" customHeight="1">
      <c r="A2576" s="2">
        <v>2575.0</v>
      </c>
      <c r="B2576" s="2" t="s">
        <v>2501</v>
      </c>
      <c r="C2576" s="2" t="s">
        <v>5071</v>
      </c>
      <c r="D2576" s="2">
        <v>199.0</v>
      </c>
      <c r="E2576" s="2">
        <v>1.0</v>
      </c>
      <c r="F2576" s="2">
        <v>100.0</v>
      </c>
      <c r="G2576" s="2">
        <v>130100.0</v>
      </c>
    </row>
    <row r="2577" ht="14.25" customHeight="1">
      <c r="A2577" s="2">
        <v>2576.0</v>
      </c>
      <c r="B2577" s="2" t="s">
        <v>2488</v>
      </c>
      <c r="C2577" s="2" t="s">
        <v>5072</v>
      </c>
      <c r="D2577" s="2">
        <v>333.0</v>
      </c>
      <c r="E2577" s="2">
        <v>1.0</v>
      </c>
      <c r="F2577" s="2">
        <v>75.0</v>
      </c>
      <c r="G2577" s="2">
        <v>130100.0</v>
      </c>
    </row>
    <row r="2578" ht="14.25" customHeight="1">
      <c r="A2578" s="2">
        <v>2577.0</v>
      </c>
      <c r="B2578" s="2" t="s">
        <v>2505</v>
      </c>
      <c r="C2578" s="2" t="s">
        <v>5073</v>
      </c>
      <c r="D2578" s="2">
        <v>429.0</v>
      </c>
      <c r="E2578" s="2">
        <v>1.0</v>
      </c>
      <c r="F2578" s="2">
        <v>70.0</v>
      </c>
      <c r="G2578" s="2">
        <v>130100.0</v>
      </c>
    </row>
    <row r="2579" ht="14.25" customHeight="1">
      <c r="A2579" s="2">
        <v>2578.0</v>
      </c>
      <c r="B2579" s="2" t="s">
        <v>2686</v>
      </c>
      <c r="C2579" s="2" t="s">
        <v>5074</v>
      </c>
      <c r="D2579" s="2">
        <v>127.0</v>
      </c>
      <c r="E2579" s="2">
        <v>1.0</v>
      </c>
      <c r="F2579" s="2">
        <v>60.0</v>
      </c>
      <c r="G2579" s="2">
        <v>130000.0</v>
      </c>
    </row>
    <row r="2580" ht="14.25" customHeight="1">
      <c r="A2580" s="2">
        <v>2579.0</v>
      </c>
      <c r="B2580" s="2" t="s">
        <v>2518</v>
      </c>
      <c r="C2580" s="2" t="s">
        <v>5075</v>
      </c>
      <c r="D2580" s="2">
        <v>161.0</v>
      </c>
      <c r="E2580" s="2">
        <v>1.0</v>
      </c>
      <c r="F2580" s="2">
        <v>100.0</v>
      </c>
      <c r="G2580" s="2">
        <v>130000.0</v>
      </c>
    </row>
    <row r="2581" ht="14.25" customHeight="1">
      <c r="A2581" s="2">
        <v>2580.0</v>
      </c>
      <c r="B2581" s="2" t="s">
        <v>2518</v>
      </c>
      <c r="C2581" s="2" t="s">
        <v>5076</v>
      </c>
      <c r="D2581" s="2">
        <v>161.0</v>
      </c>
      <c r="E2581" s="2">
        <v>1.0</v>
      </c>
      <c r="F2581" s="2">
        <v>175.0</v>
      </c>
      <c r="G2581" s="2">
        <v>130000.0</v>
      </c>
    </row>
    <row r="2582" ht="14.25" customHeight="1">
      <c r="A2582" s="2">
        <v>2581.0</v>
      </c>
      <c r="B2582" s="2" t="s">
        <v>2561</v>
      </c>
      <c r="C2582" s="2" t="s">
        <v>5077</v>
      </c>
      <c r="D2582" s="2">
        <v>162.0</v>
      </c>
      <c r="E2582" s="2">
        <v>1.0</v>
      </c>
      <c r="F2582" s="2">
        <v>110.0</v>
      </c>
      <c r="G2582" s="2">
        <v>130000.0</v>
      </c>
    </row>
    <row r="2583" ht="14.25" customHeight="1">
      <c r="A2583" s="2">
        <v>2582.0</v>
      </c>
      <c r="B2583" s="2" t="s">
        <v>2561</v>
      </c>
      <c r="C2583" s="2" t="s">
        <v>5078</v>
      </c>
      <c r="D2583" s="2">
        <v>162.0</v>
      </c>
      <c r="E2583" s="2">
        <v>1.0</v>
      </c>
      <c r="F2583" s="2">
        <v>75.0</v>
      </c>
      <c r="G2583" s="2">
        <v>130000.0</v>
      </c>
    </row>
    <row r="2584" ht="14.25" customHeight="1">
      <c r="A2584" s="2">
        <v>2583.0</v>
      </c>
      <c r="B2584" s="2" t="s">
        <v>2505</v>
      </c>
      <c r="C2584" s="2" t="s">
        <v>5079</v>
      </c>
      <c r="D2584" s="2">
        <v>429.0</v>
      </c>
      <c r="E2584" s="2">
        <v>1.0</v>
      </c>
      <c r="F2584" s="2">
        <v>70.0</v>
      </c>
      <c r="G2584" s="2">
        <v>130000.0</v>
      </c>
    </row>
    <row r="2585" ht="14.25" customHeight="1">
      <c r="A2585" s="2">
        <v>2584.0</v>
      </c>
      <c r="B2585" s="2" t="s">
        <v>2945</v>
      </c>
      <c r="C2585" s="2" t="s">
        <v>5080</v>
      </c>
      <c r="D2585" s="2">
        <v>619.0</v>
      </c>
      <c r="E2585" s="2">
        <v>1.0</v>
      </c>
      <c r="F2585" s="2">
        <v>60.0</v>
      </c>
      <c r="G2585" s="2">
        <v>130000.0</v>
      </c>
    </row>
    <row r="2586" ht="14.25" customHeight="1">
      <c r="A2586" s="2">
        <v>2585.0</v>
      </c>
      <c r="B2586" s="2" t="s">
        <v>2549</v>
      </c>
      <c r="C2586" s="2" t="s">
        <v>5081</v>
      </c>
      <c r="D2586" s="2">
        <v>115.0</v>
      </c>
      <c r="E2586" s="2">
        <v>1.0</v>
      </c>
      <c r="F2586" s="2">
        <v>100.0</v>
      </c>
      <c r="G2586" s="2">
        <v>129900.0</v>
      </c>
    </row>
    <row r="2587" ht="14.25" customHeight="1">
      <c r="A2587" s="2">
        <v>2586.0</v>
      </c>
      <c r="B2587" s="2" t="s">
        <v>2576</v>
      </c>
      <c r="C2587" s="2" t="s">
        <v>5082</v>
      </c>
      <c r="D2587" s="2">
        <v>197.0</v>
      </c>
      <c r="E2587" s="2">
        <v>1.0</v>
      </c>
      <c r="F2587" s="2">
        <v>100.0</v>
      </c>
      <c r="G2587" s="2">
        <v>129900.0</v>
      </c>
    </row>
    <row r="2588" ht="14.25" customHeight="1">
      <c r="A2588" s="2">
        <v>2587.0</v>
      </c>
      <c r="B2588" s="2" t="s">
        <v>2507</v>
      </c>
      <c r="C2588" s="2" t="s">
        <v>5083</v>
      </c>
      <c r="D2588" s="2">
        <v>205.0</v>
      </c>
      <c r="E2588" s="2">
        <v>1.0</v>
      </c>
      <c r="F2588" s="2">
        <v>100.0</v>
      </c>
      <c r="G2588" s="2">
        <v>129900.0</v>
      </c>
    </row>
    <row r="2589" ht="14.25" customHeight="1">
      <c r="A2589" s="2">
        <v>2588.0</v>
      </c>
      <c r="B2589" s="2" t="s">
        <v>2512</v>
      </c>
      <c r="C2589" s="2" t="s">
        <v>5084</v>
      </c>
      <c r="D2589" s="2">
        <v>153.0</v>
      </c>
      <c r="E2589" s="2">
        <v>1.0</v>
      </c>
      <c r="F2589" s="2">
        <v>50.0</v>
      </c>
      <c r="G2589" s="2">
        <v>129800.0</v>
      </c>
    </row>
    <row r="2590" ht="14.25" customHeight="1">
      <c r="A2590" s="2">
        <v>2589.0</v>
      </c>
      <c r="B2590" s="2" t="s">
        <v>2561</v>
      </c>
      <c r="C2590" s="2" t="s">
        <v>5085</v>
      </c>
      <c r="D2590" s="2">
        <v>162.0</v>
      </c>
      <c r="E2590" s="2">
        <v>1.0</v>
      </c>
      <c r="F2590" s="2">
        <v>75.0</v>
      </c>
      <c r="G2590" s="2">
        <v>129800.0</v>
      </c>
    </row>
    <row r="2591" ht="14.25" customHeight="1">
      <c r="A2591" s="2">
        <v>2590.0</v>
      </c>
      <c r="B2591" s="2" t="s">
        <v>2553</v>
      </c>
      <c r="C2591" s="2" t="s">
        <v>5086</v>
      </c>
      <c r="D2591" s="2">
        <v>187.0</v>
      </c>
      <c r="E2591" s="2">
        <v>1.0</v>
      </c>
      <c r="F2591" s="2">
        <v>50.0</v>
      </c>
      <c r="G2591" s="2">
        <v>129800.0</v>
      </c>
    </row>
    <row r="2592" ht="14.25" customHeight="1">
      <c r="A2592" s="2">
        <v>2591.0</v>
      </c>
      <c r="B2592" s="2" t="s">
        <v>2604</v>
      </c>
      <c r="C2592" s="2" t="s">
        <v>5087</v>
      </c>
      <c r="D2592" s="2">
        <v>200.0</v>
      </c>
      <c r="E2592" s="2">
        <v>1.0</v>
      </c>
      <c r="F2592" s="2">
        <v>100.0</v>
      </c>
      <c r="G2592" s="2">
        <v>129800.0</v>
      </c>
    </row>
    <row r="2593" ht="14.25" customHeight="1">
      <c r="A2593" s="2">
        <v>2592.0</v>
      </c>
      <c r="B2593" s="2" t="s">
        <v>2945</v>
      </c>
      <c r="C2593" s="2" t="s">
        <v>5088</v>
      </c>
      <c r="D2593" s="2">
        <v>619.0</v>
      </c>
      <c r="E2593" s="2">
        <v>1.0</v>
      </c>
      <c r="F2593" s="2">
        <v>60.0</v>
      </c>
      <c r="G2593" s="2">
        <v>129800.0</v>
      </c>
    </row>
    <row r="2594" ht="14.25" customHeight="1">
      <c r="A2594" s="2">
        <v>2593.0</v>
      </c>
      <c r="B2594" s="2" t="s">
        <v>2945</v>
      </c>
      <c r="C2594" s="2" t="s">
        <v>5089</v>
      </c>
      <c r="D2594" s="2">
        <v>619.0</v>
      </c>
      <c r="E2594" s="2">
        <v>1.0</v>
      </c>
      <c r="F2594" s="2">
        <v>55.0</v>
      </c>
      <c r="G2594" s="2">
        <v>129800.0</v>
      </c>
    </row>
    <row r="2595" ht="14.25" customHeight="1">
      <c r="A2595" s="2">
        <v>2594.0</v>
      </c>
      <c r="B2595" s="2" t="s">
        <v>2945</v>
      </c>
      <c r="C2595" s="2" t="s">
        <v>5090</v>
      </c>
      <c r="D2595" s="2">
        <v>619.0</v>
      </c>
      <c r="E2595" s="2">
        <v>1.0</v>
      </c>
      <c r="F2595" s="2">
        <v>55.0</v>
      </c>
      <c r="G2595" s="2">
        <v>129800.0</v>
      </c>
    </row>
    <row r="2596" ht="14.25" customHeight="1">
      <c r="A2596" s="2">
        <v>2595.0</v>
      </c>
      <c r="B2596" s="2" t="s">
        <v>2636</v>
      </c>
      <c r="C2596" s="2" t="s">
        <v>5091</v>
      </c>
      <c r="D2596" s="2">
        <v>145.0</v>
      </c>
      <c r="E2596" s="2">
        <v>1.0</v>
      </c>
      <c r="F2596" s="2">
        <v>100.0</v>
      </c>
      <c r="G2596" s="2">
        <v>129700.0</v>
      </c>
    </row>
    <row r="2597" ht="14.25" customHeight="1">
      <c r="A2597" s="2">
        <v>2596.0</v>
      </c>
      <c r="B2597" s="2" t="s">
        <v>2604</v>
      </c>
      <c r="C2597" s="2" t="s">
        <v>5092</v>
      </c>
      <c r="D2597" s="2">
        <v>200.0</v>
      </c>
      <c r="E2597" s="2">
        <v>1.0</v>
      </c>
      <c r="F2597" s="2">
        <v>120.0</v>
      </c>
      <c r="G2597" s="2">
        <v>129700.0</v>
      </c>
    </row>
    <row r="2598" ht="14.25" customHeight="1">
      <c r="A2598" s="2">
        <v>2597.0</v>
      </c>
      <c r="B2598" s="2" t="s">
        <v>2604</v>
      </c>
      <c r="C2598" s="2" t="s">
        <v>5093</v>
      </c>
      <c r="D2598" s="2">
        <v>200.0</v>
      </c>
      <c r="E2598" s="2">
        <v>1.0</v>
      </c>
      <c r="F2598" s="2">
        <v>100.1</v>
      </c>
      <c r="G2598" s="2">
        <v>129700.0</v>
      </c>
    </row>
    <row r="2599" ht="14.25" customHeight="1">
      <c r="A2599" s="2">
        <v>2598.0</v>
      </c>
      <c r="B2599" s="2" t="s">
        <v>2636</v>
      </c>
      <c r="C2599" s="2" t="s">
        <v>5094</v>
      </c>
      <c r="D2599" s="2">
        <v>145.0</v>
      </c>
      <c r="E2599" s="2">
        <v>1.0</v>
      </c>
      <c r="F2599" s="2">
        <v>125.0</v>
      </c>
      <c r="G2599" s="2">
        <v>129600.0</v>
      </c>
    </row>
    <row r="2600" ht="14.25" customHeight="1">
      <c r="A2600" s="2">
        <v>2599.0</v>
      </c>
      <c r="B2600" s="2" t="s">
        <v>2744</v>
      </c>
      <c r="C2600" s="2" t="s">
        <v>5095</v>
      </c>
      <c r="D2600" s="2">
        <v>169.0</v>
      </c>
      <c r="E2600" s="2">
        <v>1.0</v>
      </c>
      <c r="F2600" s="2">
        <v>50.0</v>
      </c>
      <c r="G2600" s="2">
        <v>129600.0</v>
      </c>
    </row>
    <row r="2601" ht="14.25" customHeight="1">
      <c r="A2601" s="2">
        <v>2600.0</v>
      </c>
      <c r="B2601" s="2" t="s">
        <v>2479</v>
      </c>
      <c r="C2601" s="2" t="s">
        <v>5096</v>
      </c>
      <c r="D2601" s="2">
        <v>182.0</v>
      </c>
      <c r="E2601" s="2">
        <v>1.0</v>
      </c>
      <c r="F2601" s="2">
        <v>100.0</v>
      </c>
      <c r="G2601" s="2">
        <v>129600.0</v>
      </c>
    </row>
    <row r="2602" ht="14.25" customHeight="1">
      <c r="A2602" s="2">
        <v>2601.0</v>
      </c>
      <c r="B2602" s="2" t="s">
        <v>2524</v>
      </c>
      <c r="C2602" s="2" t="s">
        <v>5097</v>
      </c>
      <c r="D2602" s="2">
        <v>331.0</v>
      </c>
      <c r="E2602" s="2">
        <v>1.0</v>
      </c>
      <c r="F2602" s="2">
        <v>100.0</v>
      </c>
      <c r="G2602" s="2">
        <v>129500.0</v>
      </c>
    </row>
    <row r="2603" ht="14.25" customHeight="1">
      <c r="A2603" s="2">
        <v>2602.0</v>
      </c>
      <c r="B2603" s="2" t="s">
        <v>2651</v>
      </c>
      <c r="C2603" s="2" t="s">
        <v>5098</v>
      </c>
      <c r="D2603" s="2">
        <v>347.0</v>
      </c>
      <c r="E2603" s="2">
        <v>1.0</v>
      </c>
      <c r="F2603" s="2">
        <v>90.0</v>
      </c>
      <c r="G2603" s="2">
        <v>129500.0</v>
      </c>
    </row>
    <row r="2604" ht="14.25" customHeight="1">
      <c r="A2604" s="2">
        <v>2603.0</v>
      </c>
      <c r="B2604" s="2" t="s">
        <v>2621</v>
      </c>
      <c r="C2604" s="2" t="s">
        <v>5099</v>
      </c>
      <c r="D2604" s="2">
        <v>403.0</v>
      </c>
      <c r="E2604" s="2">
        <v>1.0</v>
      </c>
      <c r="F2604" s="2">
        <v>99.0</v>
      </c>
      <c r="G2604" s="2">
        <v>129500.0</v>
      </c>
    </row>
    <row r="2605" ht="14.25" customHeight="1">
      <c r="A2605" s="2">
        <v>2604.0</v>
      </c>
      <c r="B2605" s="2" t="s">
        <v>2512</v>
      </c>
      <c r="C2605" s="2" t="s">
        <v>5100</v>
      </c>
      <c r="D2605" s="2">
        <v>153.0</v>
      </c>
      <c r="E2605" s="2">
        <v>1.0</v>
      </c>
      <c r="F2605" s="2">
        <v>75.0</v>
      </c>
      <c r="G2605" s="2">
        <v>129400.0</v>
      </c>
    </row>
    <row r="2606" ht="14.25" customHeight="1">
      <c r="A2606" s="2">
        <v>2605.0</v>
      </c>
      <c r="B2606" s="2" t="s">
        <v>2541</v>
      </c>
      <c r="C2606" s="2" t="s">
        <v>5101</v>
      </c>
      <c r="D2606" s="2">
        <v>195.0</v>
      </c>
      <c r="E2606" s="2">
        <v>1.0</v>
      </c>
      <c r="F2606" s="2">
        <v>75.0</v>
      </c>
      <c r="G2606" s="2">
        <v>129400.0</v>
      </c>
    </row>
    <row r="2607" ht="14.25" customHeight="1">
      <c r="A2607" s="2">
        <v>2606.0</v>
      </c>
      <c r="B2607" s="2" t="s">
        <v>2651</v>
      </c>
      <c r="C2607" s="2" t="s">
        <v>5102</v>
      </c>
      <c r="D2607" s="2">
        <v>347.0</v>
      </c>
      <c r="E2607" s="2">
        <v>1.0</v>
      </c>
      <c r="F2607" s="2">
        <v>60.0</v>
      </c>
      <c r="G2607" s="2">
        <v>129400.0</v>
      </c>
    </row>
    <row r="2608" ht="14.25" customHeight="1">
      <c r="A2608" s="2">
        <v>2607.0</v>
      </c>
      <c r="B2608" s="2" t="s">
        <v>2477</v>
      </c>
      <c r="C2608" s="2" t="s">
        <v>5103</v>
      </c>
      <c r="D2608" s="2">
        <v>152.0</v>
      </c>
      <c r="E2608" s="2">
        <v>1.0</v>
      </c>
      <c r="F2608" s="2">
        <v>100.0</v>
      </c>
      <c r="G2608" s="2">
        <v>129300.0</v>
      </c>
    </row>
    <row r="2609" ht="14.25" customHeight="1">
      <c r="A2609" s="2">
        <v>2608.0</v>
      </c>
      <c r="B2609" s="2" t="s">
        <v>2479</v>
      </c>
      <c r="C2609" s="2" t="s">
        <v>5104</v>
      </c>
      <c r="D2609" s="2">
        <v>182.0</v>
      </c>
      <c r="E2609" s="2">
        <v>1.0</v>
      </c>
      <c r="F2609" s="2">
        <v>75.0</v>
      </c>
      <c r="G2609" s="2">
        <v>129300.0</v>
      </c>
    </row>
    <row r="2610" ht="14.25" customHeight="1">
      <c r="A2610" s="2">
        <v>2609.0</v>
      </c>
      <c r="B2610" s="2" t="s">
        <v>2582</v>
      </c>
      <c r="C2610" s="2" t="s">
        <v>5105</v>
      </c>
      <c r="D2610" s="2">
        <v>183.0</v>
      </c>
      <c r="E2610" s="2">
        <v>1.0</v>
      </c>
      <c r="F2610" s="2">
        <v>60.0</v>
      </c>
      <c r="G2610" s="2">
        <v>129300.0</v>
      </c>
    </row>
    <row r="2611" ht="14.25" customHeight="1">
      <c r="A2611" s="2">
        <v>2610.0</v>
      </c>
      <c r="B2611" s="2" t="s">
        <v>2507</v>
      </c>
      <c r="C2611" s="2" t="s">
        <v>5106</v>
      </c>
      <c r="D2611" s="2">
        <v>205.0</v>
      </c>
      <c r="E2611" s="2">
        <v>1.0</v>
      </c>
      <c r="F2611" s="2">
        <v>70.0</v>
      </c>
      <c r="G2611" s="2">
        <v>129300.0</v>
      </c>
    </row>
    <row r="2612" ht="14.25" customHeight="1">
      <c r="A2612" s="2">
        <v>2611.0</v>
      </c>
      <c r="B2612" s="2" t="s">
        <v>2524</v>
      </c>
      <c r="C2612" s="2" t="s">
        <v>5107</v>
      </c>
      <c r="D2612" s="2">
        <v>331.0</v>
      </c>
      <c r="E2612" s="2">
        <v>1.0</v>
      </c>
      <c r="F2612" s="2">
        <v>100.0</v>
      </c>
      <c r="G2612" s="2">
        <v>129300.0</v>
      </c>
    </row>
    <row r="2613" ht="14.25" customHeight="1">
      <c r="A2613" s="2">
        <v>2612.0</v>
      </c>
      <c r="B2613" s="2" t="s">
        <v>2518</v>
      </c>
      <c r="C2613" s="2" t="s">
        <v>5108</v>
      </c>
      <c r="D2613" s="2">
        <v>161.0</v>
      </c>
      <c r="E2613" s="2">
        <v>1.0</v>
      </c>
      <c r="F2613" s="2">
        <v>150.0</v>
      </c>
      <c r="G2613" s="2">
        <v>129200.0</v>
      </c>
    </row>
    <row r="2614" ht="14.25" customHeight="1">
      <c r="A2614" s="2">
        <v>2613.0</v>
      </c>
      <c r="B2614" s="2" t="s">
        <v>2571</v>
      </c>
      <c r="C2614" s="2" t="s">
        <v>5109</v>
      </c>
      <c r="D2614" s="2">
        <v>185.0</v>
      </c>
      <c r="E2614" s="2">
        <v>1.0</v>
      </c>
      <c r="F2614" s="2">
        <v>75.0</v>
      </c>
      <c r="G2614" s="2">
        <v>129200.0</v>
      </c>
    </row>
    <row r="2615" ht="14.25" customHeight="1">
      <c r="A2615" s="2">
        <v>2614.0</v>
      </c>
      <c r="B2615" s="2" t="s">
        <v>2571</v>
      </c>
      <c r="C2615" s="2" t="s">
        <v>5110</v>
      </c>
      <c r="D2615" s="2">
        <v>185.0</v>
      </c>
      <c r="E2615" s="2">
        <v>1.0</v>
      </c>
      <c r="F2615" s="2">
        <v>70.0</v>
      </c>
      <c r="G2615" s="2">
        <v>129200.0</v>
      </c>
    </row>
    <row r="2616" ht="14.25" customHeight="1">
      <c r="A2616" s="2">
        <v>2615.0</v>
      </c>
      <c r="B2616" s="2" t="s">
        <v>2621</v>
      </c>
      <c r="C2616" s="2" t="s">
        <v>5111</v>
      </c>
      <c r="D2616" s="2">
        <v>403.0</v>
      </c>
      <c r="E2616" s="2">
        <v>1.0</v>
      </c>
      <c r="F2616" s="2">
        <v>100.0</v>
      </c>
      <c r="G2616" s="2">
        <v>129200.0</v>
      </c>
    </row>
    <row r="2617" ht="14.25" customHeight="1">
      <c r="A2617" s="2">
        <v>2616.0</v>
      </c>
      <c r="B2617" s="2" t="s">
        <v>2503</v>
      </c>
      <c r="C2617" s="2" t="s">
        <v>5112</v>
      </c>
      <c r="D2617" s="2">
        <v>105.0</v>
      </c>
      <c r="E2617" s="2">
        <v>1.0</v>
      </c>
      <c r="F2617" s="2">
        <v>120.0</v>
      </c>
      <c r="G2617" s="2">
        <v>129100.0</v>
      </c>
    </row>
    <row r="2618" ht="14.25" customHeight="1">
      <c r="A2618" s="2">
        <v>2617.0</v>
      </c>
      <c r="B2618" s="2" t="s">
        <v>2541</v>
      </c>
      <c r="C2618" s="2" t="s">
        <v>5113</v>
      </c>
      <c r="D2618" s="2">
        <v>195.0</v>
      </c>
      <c r="E2618" s="2">
        <v>1.0</v>
      </c>
      <c r="F2618" s="2">
        <v>75.0</v>
      </c>
      <c r="G2618" s="2">
        <v>129100.0</v>
      </c>
    </row>
    <row r="2619" ht="14.25" customHeight="1">
      <c r="A2619" s="2">
        <v>2618.0</v>
      </c>
      <c r="B2619" s="2" t="s">
        <v>2604</v>
      </c>
      <c r="C2619" s="2" t="s">
        <v>5114</v>
      </c>
      <c r="D2619" s="2">
        <v>200.0</v>
      </c>
      <c r="E2619" s="2">
        <v>1.0</v>
      </c>
      <c r="F2619" s="2">
        <v>200.0</v>
      </c>
      <c r="G2619" s="2">
        <v>129100.0</v>
      </c>
    </row>
    <row r="2620" ht="14.25" customHeight="1">
      <c r="A2620" s="2">
        <v>2619.0</v>
      </c>
      <c r="B2620" s="2" t="s">
        <v>2686</v>
      </c>
      <c r="C2620" s="2" t="s">
        <v>5115</v>
      </c>
      <c r="D2620" s="2">
        <v>127.0</v>
      </c>
      <c r="E2620" s="2">
        <v>1.0</v>
      </c>
      <c r="F2620" s="2">
        <v>60.0</v>
      </c>
      <c r="G2620" s="2">
        <v>129000.0</v>
      </c>
    </row>
    <row r="2621" ht="14.25" customHeight="1">
      <c r="A2621" s="2">
        <v>2620.0</v>
      </c>
      <c r="B2621" s="2" t="s">
        <v>2686</v>
      </c>
      <c r="C2621" s="2" t="s">
        <v>5116</v>
      </c>
      <c r="D2621" s="2">
        <v>127.0</v>
      </c>
      <c r="E2621" s="2">
        <v>1.0</v>
      </c>
      <c r="F2621" s="2">
        <v>90.0</v>
      </c>
      <c r="G2621" s="2">
        <v>129000.0</v>
      </c>
    </row>
    <row r="2622" ht="14.25" customHeight="1">
      <c r="A2622" s="2">
        <v>2621.0</v>
      </c>
      <c r="B2622" s="2" t="s">
        <v>2518</v>
      </c>
      <c r="C2622" s="2" t="s">
        <v>5117</v>
      </c>
      <c r="D2622" s="2">
        <v>161.0</v>
      </c>
      <c r="E2622" s="2">
        <v>1.0</v>
      </c>
      <c r="F2622" s="2">
        <v>100.0</v>
      </c>
      <c r="G2622" s="2">
        <v>129000.0</v>
      </c>
    </row>
    <row r="2623" ht="14.25" customHeight="1">
      <c r="A2623" s="2">
        <v>2622.0</v>
      </c>
      <c r="B2623" s="2" t="s">
        <v>2479</v>
      </c>
      <c r="C2623" s="2" t="s">
        <v>5118</v>
      </c>
      <c r="D2623" s="2">
        <v>182.0</v>
      </c>
      <c r="E2623" s="2">
        <v>1.0</v>
      </c>
      <c r="F2623" s="2">
        <v>100.0</v>
      </c>
      <c r="G2623" s="2">
        <v>129000.0</v>
      </c>
    </row>
    <row r="2624" ht="14.25" customHeight="1">
      <c r="A2624" s="2">
        <v>2623.0</v>
      </c>
      <c r="B2624" s="2" t="s">
        <v>2479</v>
      </c>
      <c r="C2624" s="2" t="s">
        <v>5119</v>
      </c>
      <c r="D2624" s="2">
        <v>182.0</v>
      </c>
      <c r="E2624" s="2">
        <v>1.0</v>
      </c>
      <c r="F2624" s="2">
        <v>75.0</v>
      </c>
      <c r="G2624" s="2">
        <v>129000.0</v>
      </c>
    </row>
    <row r="2625" ht="14.25" customHeight="1">
      <c r="A2625" s="2">
        <v>2624.0</v>
      </c>
      <c r="B2625" s="2" t="s">
        <v>2594</v>
      </c>
      <c r="C2625" s="2" t="s">
        <v>5120</v>
      </c>
      <c r="D2625" s="2">
        <v>184.0</v>
      </c>
      <c r="E2625" s="2">
        <v>1.0</v>
      </c>
      <c r="F2625" s="2">
        <v>75.0</v>
      </c>
      <c r="G2625" s="2">
        <v>129000.0</v>
      </c>
    </row>
    <row r="2626" ht="14.25" customHeight="1">
      <c r="A2626" s="2">
        <v>2625.0</v>
      </c>
      <c r="B2626" s="2" t="s">
        <v>2477</v>
      </c>
      <c r="C2626" s="2" t="s">
        <v>5121</v>
      </c>
      <c r="D2626" s="2">
        <v>152.0</v>
      </c>
      <c r="E2626" s="2">
        <v>1.0</v>
      </c>
      <c r="F2626" s="2">
        <v>60.0</v>
      </c>
      <c r="G2626" s="2">
        <v>128900.0</v>
      </c>
    </row>
    <row r="2627" ht="14.25" customHeight="1">
      <c r="A2627" s="2">
        <v>2626.0</v>
      </c>
      <c r="B2627" s="2" t="s">
        <v>2561</v>
      </c>
      <c r="C2627" s="2" t="s">
        <v>5122</v>
      </c>
      <c r="D2627" s="2">
        <v>162.0</v>
      </c>
      <c r="E2627" s="2">
        <v>1.0</v>
      </c>
      <c r="F2627" s="2">
        <v>100.0</v>
      </c>
      <c r="G2627" s="2">
        <v>128900.0</v>
      </c>
    </row>
    <row r="2628" ht="14.25" customHeight="1">
      <c r="A2628" s="2">
        <v>2627.0</v>
      </c>
      <c r="B2628" s="2" t="s">
        <v>2594</v>
      </c>
      <c r="C2628" s="2" t="s">
        <v>5123</v>
      </c>
      <c r="D2628" s="2">
        <v>184.0</v>
      </c>
      <c r="E2628" s="2">
        <v>1.0</v>
      </c>
      <c r="F2628" s="2">
        <v>50.0</v>
      </c>
      <c r="G2628" s="2">
        <v>128900.0</v>
      </c>
    </row>
    <row r="2629" ht="14.25" customHeight="1">
      <c r="A2629" s="2">
        <v>2628.0</v>
      </c>
      <c r="B2629" s="2" t="s">
        <v>2576</v>
      </c>
      <c r="C2629" s="2" t="s">
        <v>5124</v>
      </c>
      <c r="D2629" s="2">
        <v>197.0</v>
      </c>
      <c r="E2629" s="2">
        <v>1.0</v>
      </c>
      <c r="F2629" s="2">
        <v>150.0</v>
      </c>
      <c r="G2629" s="2">
        <v>128900.0</v>
      </c>
    </row>
    <row r="2630" ht="14.25" customHeight="1">
      <c r="A2630" s="2">
        <v>2629.0</v>
      </c>
      <c r="B2630" s="2" t="s">
        <v>2686</v>
      </c>
      <c r="C2630" s="2" t="s">
        <v>5125</v>
      </c>
      <c r="D2630" s="2">
        <v>127.0</v>
      </c>
      <c r="E2630" s="2">
        <v>1.0</v>
      </c>
      <c r="F2630" s="2">
        <v>99.0</v>
      </c>
      <c r="G2630" s="2">
        <v>128800.0</v>
      </c>
    </row>
    <row r="2631" ht="14.25" customHeight="1">
      <c r="A2631" s="2">
        <v>2630.0</v>
      </c>
      <c r="B2631" s="2" t="s">
        <v>2512</v>
      </c>
      <c r="C2631" s="2" t="s">
        <v>5126</v>
      </c>
      <c r="D2631" s="2">
        <v>153.0</v>
      </c>
      <c r="E2631" s="2">
        <v>1.0</v>
      </c>
      <c r="F2631" s="2">
        <v>50.0</v>
      </c>
      <c r="G2631" s="2">
        <v>128800.0</v>
      </c>
    </row>
    <row r="2632" ht="14.25" customHeight="1">
      <c r="A2632" s="2">
        <v>2631.0</v>
      </c>
      <c r="B2632" s="2" t="s">
        <v>2571</v>
      </c>
      <c r="C2632" s="2" t="s">
        <v>5127</v>
      </c>
      <c r="D2632" s="2">
        <v>185.0</v>
      </c>
      <c r="E2632" s="2">
        <v>1.0</v>
      </c>
      <c r="F2632" s="2">
        <v>70.0</v>
      </c>
      <c r="G2632" s="2">
        <v>128800.0</v>
      </c>
    </row>
    <row r="2633" ht="14.25" customHeight="1">
      <c r="A2633" s="2">
        <v>2632.0</v>
      </c>
      <c r="B2633" s="2" t="s">
        <v>2553</v>
      </c>
      <c r="C2633" s="2" t="s">
        <v>5128</v>
      </c>
      <c r="D2633" s="2">
        <v>187.0</v>
      </c>
      <c r="E2633" s="2">
        <v>1.0</v>
      </c>
      <c r="F2633" s="2">
        <v>100.0</v>
      </c>
      <c r="G2633" s="2">
        <v>128800.0</v>
      </c>
    </row>
    <row r="2634" ht="14.25" customHeight="1">
      <c r="A2634" s="2">
        <v>2633.0</v>
      </c>
      <c r="B2634" s="2" t="s">
        <v>2636</v>
      </c>
      <c r="C2634" s="2" t="s">
        <v>5129</v>
      </c>
      <c r="D2634" s="2">
        <v>145.0</v>
      </c>
      <c r="E2634" s="2">
        <v>1.0</v>
      </c>
      <c r="F2634" s="2">
        <v>100.0</v>
      </c>
      <c r="G2634" s="2">
        <v>128700.0</v>
      </c>
    </row>
    <row r="2635" ht="14.25" customHeight="1">
      <c r="A2635" s="2">
        <v>2634.0</v>
      </c>
      <c r="B2635" s="2" t="s">
        <v>2744</v>
      </c>
      <c r="C2635" s="2" t="s">
        <v>5130</v>
      </c>
      <c r="D2635" s="2">
        <v>169.0</v>
      </c>
      <c r="E2635" s="2">
        <v>1.0</v>
      </c>
      <c r="F2635" s="2">
        <v>50.0</v>
      </c>
      <c r="G2635" s="2">
        <v>128700.0</v>
      </c>
    </row>
    <row r="2636" ht="14.25" customHeight="1">
      <c r="A2636" s="2">
        <v>2635.0</v>
      </c>
      <c r="B2636" s="2" t="s">
        <v>2534</v>
      </c>
      <c r="C2636" s="2" t="s">
        <v>5131</v>
      </c>
      <c r="D2636" s="2">
        <v>188.0</v>
      </c>
      <c r="E2636" s="2">
        <v>1.0</v>
      </c>
      <c r="F2636" s="2">
        <v>75.0</v>
      </c>
      <c r="G2636" s="2">
        <v>128700.0</v>
      </c>
    </row>
    <row r="2637" ht="14.25" customHeight="1">
      <c r="A2637" s="2">
        <v>2636.0</v>
      </c>
      <c r="B2637" s="2" t="s">
        <v>2604</v>
      </c>
      <c r="C2637" s="2" t="s">
        <v>5132</v>
      </c>
      <c r="D2637" s="2">
        <v>200.0</v>
      </c>
      <c r="E2637" s="2">
        <v>1.0</v>
      </c>
      <c r="F2637" s="2">
        <v>75.0</v>
      </c>
      <c r="G2637" s="2">
        <v>128700.0</v>
      </c>
    </row>
    <row r="2638" ht="14.25" customHeight="1">
      <c r="A2638" s="2">
        <v>2637.0</v>
      </c>
      <c r="B2638" s="2" t="s">
        <v>2558</v>
      </c>
      <c r="C2638" s="2" t="s">
        <v>5133</v>
      </c>
      <c r="D2638" s="2">
        <v>357.0</v>
      </c>
      <c r="E2638" s="2">
        <v>1.0</v>
      </c>
      <c r="F2638" s="2">
        <v>50.0</v>
      </c>
      <c r="G2638" s="2">
        <v>128700.0</v>
      </c>
    </row>
    <row r="2639" ht="14.25" customHeight="1">
      <c r="A2639" s="2">
        <v>2638.0</v>
      </c>
      <c r="B2639" s="2" t="s">
        <v>2582</v>
      </c>
      <c r="C2639" s="2" t="s">
        <v>5134</v>
      </c>
      <c r="D2639" s="2">
        <v>183.0</v>
      </c>
      <c r="E2639" s="2">
        <v>1.0</v>
      </c>
      <c r="F2639" s="2">
        <v>100.0</v>
      </c>
      <c r="G2639" s="2">
        <v>128600.0</v>
      </c>
    </row>
    <row r="2640" ht="14.25" customHeight="1">
      <c r="A2640" s="2">
        <v>2639.0</v>
      </c>
      <c r="B2640" s="2" t="s">
        <v>2571</v>
      </c>
      <c r="C2640" s="2" t="s">
        <v>5135</v>
      </c>
      <c r="D2640" s="2">
        <v>185.0</v>
      </c>
      <c r="E2640" s="2">
        <v>1.0</v>
      </c>
      <c r="F2640" s="2">
        <v>75.0</v>
      </c>
      <c r="G2640" s="2">
        <v>128600.0</v>
      </c>
    </row>
    <row r="2641" ht="14.25" customHeight="1">
      <c r="A2641" s="2">
        <v>2640.0</v>
      </c>
      <c r="B2641" s="2" t="s">
        <v>2553</v>
      </c>
      <c r="C2641" s="2" t="s">
        <v>5136</v>
      </c>
      <c r="D2641" s="2">
        <v>187.0</v>
      </c>
      <c r="E2641" s="2">
        <v>1.0</v>
      </c>
      <c r="F2641" s="2">
        <v>50.0</v>
      </c>
      <c r="G2641" s="2">
        <v>128600.0</v>
      </c>
    </row>
    <row r="2642" ht="14.25" customHeight="1">
      <c r="A2642" s="2">
        <v>2641.0</v>
      </c>
      <c r="B2642" s="2" t="s">
        <v>2488</v>
      </c>
      <c r="C2642" s="2" t="s">
        <v>5137</v>
      </c>
      <c r="D2642" s="2">
        <v>333.0</v>
      </c>
      <c r="E2642" s="2">
        <v>1.0</v>
      </c>
      <c r="F2642" s="2">
        <v>75.0</v>
      </c>
      <c r="G2642" s="2">
        <v>128600.0</v>
      </c>
    </row>
    <row r="2643" ht="14.25" customHeight="1">
      <c r="A2643" s="2">
        <v>2642.0</v>
      </c>
      <c r="B2643" s="2" t="s">
        <v>2558</v>
      </c>
      <c r="C2643" s="2" t="s">
        <v>5138</v>
      </c>
      <c r="D2643" s="2">
        <v>357.0</v>
      </c>
      <c r="E2643" s="2">
        <v>1.0</v>
      </c>
      <c r="F2643" s="2">
        <v>66.0</v>
      </c>
      <c r="G2643" s="2">
        <v>128600.0</v>
      </c>
    </row>
    <row r="2644" ht="14.25" customHeight="1">
      <c r="A2644" s="2">
        <v>2643.0</v>
      </c>
      <c r="B2644" s="2" t="s">
        <v>2497</v>
      </c>
      <c r="C2644" s="2" t="s">
        <v>5139</v>
      </c>
      <c r="D2644" s="2">
        <v>151.0</v>
      </c>
      <c r="E2644" s="2">
        <v>1.0</v>
      </c>
      <c r="F2644" s="2">
        <v>125.0</v>
      </c>
      <c r="G2644" s="2">
        <v>128500.0</v>
      </c>
    </row>
    <row r="2645" ht="14.25" customHeight="1">
      <c r="A2645" s="2">
        <v>2644.0</v>
      </c>
      <c r="B2645" s="2" t="s">
        <v>2582</v>
      </c>
      <c r="C2645" s="2" t="s">
        <v>5140</v>
      </c>
      <c r="D2645" s="2">
        <v>183.0</v>
      </c>
      <c r="E2645" s="2">
        <v>1.0</v>
      </c>
      <c r="F2645" s="2">
        <v>65.0</v>
      </c>
      <c r="G2645" s="2">
        <v>128400.0</v>
      </c>
    </row>
    <row r="2646" ht="14.25" customHeight="1">
      <c r="A2646" s="2">
        <v>2645.0</v>
      </c>
      <c r="B2646" s="2" t="s">
        <v>2534</v>
      </c>
      <c r="C2646" s="2" t="s">
        <v>5141</v>
      </c>
      <c r="D2646" s="2">
        <v>188.0</v>
      </c>
      <c r="E2646" s="2">
        <v>1.0</v>
      </c>
      <c r="F2646" s="2">
        <v>100.0</v>
      </c>
      <c r="G2646" s="2">
        <v>128400.0</v>
      </c>
    </row>
    <row r="2647" ht="14.25" customHeight="1">
      <c r="A2647" s="2">
        <v>2646.0</v>
      </c>
      <c r="B2647" s="2" t="s">
        <v>2945</v>
      </c>
      <c r="C2647" s="2" t="s">
        <v>5142</v>
      </c>
      <c r="D2647" s="2">
        <v>619.0</v>
      </c>
      <c r="E2647" s="2">
        <v>1.0</v>
      </c>
      <c r="F2647" s="2">
        <v>60.0</v>
      </c>
      <c r="G2647" s="2">
        <v>128400.0</v>
      </c>
    </row>
    <row r="2648" ht="14.25" customHeight="1">
      <c r="A2648" s="2">
        <v>2647.0</v>
      </c>
      <c r="B2648" s="2" t="s">
        <v>2945</v>
      </c>
      <c r="C2648" s="2" t="s">
        <v>5143</v>
      </c>
      <c r="D2648" s="2">
        <v>619.0</v>
      </c>
      <c r="E2648" s="2">
        <v>1.0</v>
      </c>
      <c r="F2648" s="2">
        <v>60.0</v>
      </c>
      <c r="G2648" s="2">
        <v>128400.0</v>
      </c>
    </row>
    <row r="2649" ht="14.25" customHeight="1">
      <c r="A2649" s="2">
        <v>2648.0</v>
      </c>
      <c r="B2649" s="2" t="s">
        <v>2945</v>
      </c>
      <c r="C2649" s="2" t="s">
        <v>5144</v>
      </c>
      <c r="D2649" s="2">
        <v>619.0</v>
      </c>
      <c r="E2649" s="2">
        <v>1.0</v>
      </c>
      <c r="F2649" s="2">
        <v>60.0</v>
      </c>
      <c r="G2649" s="2">
        <v>128400.0</v>
      </c>
    </row>
    <row r="2650" ht="14.25" customHeight="1">
      <c r="A2650" s="2">
        <v>2649.0</v>
      </c>
      <c r="B2650" s="2" t="s">
        <v>2503</v>
      </c>
      <c r="C2650" s="2" t="s">
        <v>5145</v>
      </c>
      <c r="D2650" s="2">
        <v>105.0</v>
      </c>
      <c r="E2650" s="2">
        <v>1.0</v>
      </c>
      <c r="F2650" s="2">
        <v>100.0</v>
      </c>
      <c r="G2650" s="2">
        <v>128300.0</v>
      </c>
    </row>
    <row r="2651" ht="14.25" customHeight="1">
      <c r="A2651" s="2">
        <v>2650.0</v>
      </c>
      <c r="B2651" s="2" t="s">
        <v>2479</v>
      </c>
      <c r="C2651" s="2" t="s">
        <v>5146</v>
      </c>
      <c r="D2651" s="2">
        <v>182.0</v>
      </c>
      <c r="E2651" s="2">
        <v>1.0</v>
      </c>
      <c r="F2651" s="2">
        <v>50.0</v>
      </c>
      <c r="G2651" s="2">
        <v>128300.0</v>
      </c>
    </row>
    <row r="2652" ht="14.25" customHeight="1">
      <c r="A2652" s="2">
        <v>2651.0</v>
      </c>
      <c r="B2652" s="2" t="s">
        <v>2744</v>
      </c>
      <c r="C2652" s="2" t="s">
        <v>5147</v>
      </c>
      <c r="D2652" s="2">
        <v>169.0</v>
      </c>
      <c r="E2652" s="2">
        <v>1.0</v>
      </c>
      <c r="F2652" s="2">
        <v>75.0</v>
      </c>
      <c r="G2652" s="2">
        <v>128200.0</v>
      </c>
    </row>
    <row r="2653" ht="14.25" customHeight="1">
      <c r="A2653" s="2">
        <v>2652.0</v>
      </c>
      <c r="B2653" s="2" t="s">
        <v>2553</v>
      </c>
      <c r="C2653" s="2" t="s">
        <v>5148</v>
      </c>
      <c r="D2653" s="2">
        <v>187.0</v>
      </c>
      <c r="E2653" s="2">
        <v>1.0</v>
      </c>
      <c r="F2653" s="2">
        <v>100.0</v>
      </c>
      <c r="G2653" s="2">
        <v>128200.0</v>
      </c>
    </row>
    <row r="2654" ht="14.25" customHeight="1">
      <c r="A2654" s="2">
        <v>2653.0</v>
      </c>
      <c r="B2654" s="2" t="s">
        <v>2549</v>
      </c>
      <c r="C2654" s="2" t="s">
        <v>5149</v>
      </c>
      <c r="D2654" s="2">
        <v>115.0</v>
      </c>
      <c r="E2654" s="2">
        <v>1.0</v>
      </c>
      <c r="F2654" s="2">
        <v>100.0</v>
      </c>
      <c r="G2654" s="2">
        <v>127900.0</v>
      </c>
    </row>
    <row r="2655" ht="14.25" customHeight="1">
      <c r="A2655" s="2">
        <v>2654.0</v>
      </c>
      <c r="B2655" s="2" t="s">
        <v>2524</v>
      </c>
      <c r="C2655" s="2" t="s">
        <v>5150</v>
      </c>
      <c r="D2655" s="2">
        <v>331.0</v>
      </c>
      <c r="E2655" s="2">
        <v>1.0</v>
      </c>
      <c r="F2655" s="2">
        <v>50.0</v>
      </c>
      <c r="G2655" s="2">
        <v>127900.0</v>
      </c>
    </row>
    <row r="2656" ht="14.25" customHeight="1">
      <c r="A2656" s="2">
        <v>2655.0</v>
      </c>
      <c r="B2656" s="2" t="s">
        <v>2488</v>
      </c>
      <c r="C2656" s="2" t="s">
        <v>5151</v>
      </c>
      <c r="D2656" s="2">
        <v>333.0</v>
      </c>
      <c r="E2656" s="2">
        <v>1.0</v>
      </c>
      <c r="F2656" s="2">
        <v>90.0</v>
      </c>
      <c r="G2656" s="2">
        <v>127900.0</v>
      </c>
    </row>
    <row r="2657" ht="14.25" customHeight="1">
      <c r="A2657" s="2">
        <v>2656.0</v>
      </c>
      <c r="B2657" s="2" t="s">
        <v>2561</v>
      </c>
      <c r="C2657" s="2" t="s">
        <v>5152</v>
      </c>
      <c r="D2657" s="2">
        <v>162.0</v>
      </c>
      <c r="E2657" s="2">
        <v>1.0</v>
      </c>
      <c r="F2657" s="2">
        <v>50.0</v>
      </c>
      <c r="G2657" s="2">
        <v>127800.0</v>
      </c>
    </row>
    <row r="2658" ht="14.25" customHeight="1">
      <c r="A2658" s="2">
        <v>2657.0</v>
      </c>
      <c r="B2658" s="2" t="s">
        <v>2479</v>
      </c>
      <c r="C2658" s="2" t="s">
        <v>5153</v>
      </c>
      <c r="D2658" s="2">
        <v>182.0</v>
      </c>
      <c r="E2658" s="2">
        <v>1.0</v>
      </c>
      <c r="F2658" s="2">
        <v>50.0</v>
      </c>
      <c r="G2658" s="2">
        <v>127800.0</v>
      </c>
    </row>
    <row r="2659" ht="14.25" customHeight="1">
      <c r="A2659" s="2">
        <v>2658.0</v>
      </c>
      <c r="B2659" s="2" t="s">
        <v>2571</v>
      </c>
      <c r="C2659" s="2" t="s">
        <v>5154</v>
      </c>
      <c r="D2659" s="2">
        <v>185.0</v>
      </c>
      <c r="E2659" s="2">
        <v>1.0</v>
      </c>
      <c r="F2659" s="2">
        <v>45.0</v>
      </c>
      <c r="G2659" s="2">
        <v>127800.0</v>
      </c>
    </row>
    <row r="2660" ht="14.25" customHeight="1">
      <c r="A2660" s="2">
        <v>2659.0</v>
      </c>
      <c r="B2660" s="2" t="s">
        <v>2571</v>
      </c>
      <c r="C2660" s="2" t="s">
        <v>5155</v>
      </c>
      <c r="D2660" s="2">
        <v>185.0</v>
      </c>
      <c r="E2660" s="2">
        <v>1.0</v>
      </c>
      <c r="F2660" s="2">
        <v>100.0</v>
      </c>
      <c r="G2660" s="2">
        <v>127800.0</v>
      </c>
    </row>
    <row r="2661" ht="14.25" customHeight="1">
      <c r="A2661" s="2">
        <v>2660.0</v>
      </c>
      <c r="B2661" s="2" t="s">
        <v>2541</v>
      </c>
      <c r="C2661" s="2" t="s">
        <v>5156</v>
      </c>
      <c r="D2661" s="2">
        <v>195.0</v>
      </c>
      <c r="E2661" s="2">
        <v>1.0</v>
      </c>
      <c r="F2661" s="2">
        <v>70.0</v>
      </c>
      <c r="G2661" s="2">
        <v>127800.0</v>
      </c>
    </row>
    <row r="2662" ht="14.25" customHeight="1">
      <c r="A2662" s="2">
        <v>2661.0</v>
      </c>
      <c r="B2662" s="2" t="s">
        <v>2686</v>
      </c>
      <c r="C2662" s="2" t="s">
        <v>5157</v>
      </c>
      <c r="D2662" s="2">
        <v>127.0</v>
      </c>
      <c r="E2662" s="2">
        <v>1.0</v>
      </c>
      <c r="F2662" s="2">
        <v>132.0</v>
      </c>
      <c r="G2662" s="2">
        <v>127700.0</v>
      </c>
    </row>
    <row r="2663" ht="14.25" customHeight="1">
      <c r="A2663" s="2">
        <v>2662.0</v>
      </c>
      <c r="B2663" s="2" t="s">
        <v>2501</v>
      </c>
      <c r="C2663" s="2" t="s">
        <v>5158</v>
      </c>
      <c r="D2663" s="2">
        <v>199.0</v>
      </c>
      <c r="E2663" s="2">
        <v>1.0</v>
      </c>
      <c r="F2663" s="2">
        <v>57.0</v>
      </c>
      <c r="G2663" s="2">
        <v>127700.0</v>
      </c>
    </row>
    <row r="2664" ht="14.25" customHeight="1">
      <c r="A2664" s="2">
        <v>2663.0</v>
      </c>
      <c r="B2664" s="2" t="s">
        <v>2604</v>
      </c>
      <c r="C2664" s="2" t="s">
        <v>5159</v>
      </c>
      <c r="D2664" s="2">
        <v>200.0</v>
      </c>
      <c r="E2664" s="2">
        <v>1.0</v>
      </c>
      <c r="F2664" s="2">
        <v>100.0</v>
      </c>
      <c r="G2664" s="2">
        <v>127700.0</v>
      </c>
    </row>
    <row r="2665" ht="14.25" customHeight="1">
      <c r="A2665" s="2">
        <v>2664.0</v>
      </c>
      <c r="B2665" s="2" t="s">
        <v>2561</v>
      </c>
      <c r="C2665" s="2" t="s">
        <v>5160</v>
      </c>
      <c r="D2665" s="2">
        <v>162.0</v>
      </c>
      <c r="E2665" s="2">
        <v>1.0</v>
      </c>
      <c r="F2665" s="2">
        <v>100.0</v>
      </c>
      <c r="G2665" s="2">
        <v>127600.0</v>
      </c>
    </row>
    <row r="2666" ht="14.25" customHeight="1">
      <c r="A2666" s="2">
        <v>2665.0</v>
      </c>
      <c r="B2666" s="2" t="s">
        <v>2553</v>
      </c>
      <c r="C2666" s="2" t="s">
        <v>5161</v>
      </c>
      <c r="D2666" s="2">
        <v>187.0</v>
      </c>
      <c r="E2666" s="2">
        <v>1.0</v>
      </c>
      <c r="F2666" s="2">
        <v>60.0</v>
      </c>
      <c r="G2666" s="2">
        <v>127600.0</v>
      </c>
    </row>
    <row r="2667" ht="14.25" customHeight="1">
      <c r="A2667" s="2">
        <v>2666.0</v>
      </c>
      <c r="B2667" s="2" t="s">
        <v>2524</v>
      </c>
      <c r="C2667" s="2" t="s">
        <v>5162</v>
      </c>
      <c r="D2667" s="2">
        <v>331.0</v>
      </c>
      <c r="E2667" s="2">
        <v>1.0</v>
      </c>
      <c r="F2667" s="2">
        <v>75.0</v>
      </c>
      <c r="G2667" s="2">
        <v>127600.0</v>
      </c>
    </row>
    <row r="2668" ht="14.25" customHeight="1">
      <c r="A2668" s="2">
        <v>2667.0</v>
      </c>
      <c r="B2668" s="2" t="s">
        <v>2549</v>
      </c>
      <c r="C2668" s="2" t="s">
        <v>5163</v>
      </c>
      <c r="D2668" s="2">
        <v>115.0</v>
      </c>
      <c r="E2668" s="2">
        <v>1.0</v>
      </c>
      <c r="F2668" s="2">
        <v>100.0</v>
      </c>
      <c r="G2668" s="2">
        <v>127500.0</v>
      </c>
    </row>
    <row r="2669" ht="14.25" customHeight="1">
      <c r="A2669" s="2">
        <v>2668.0</v>
      </c>
      <c r="B2669" s="2" t="s">
        <v>2497</v>
      </c>
      <c r="C2669" s="2" t="s">
        <v>5164</v>
      </c>
      <c r="D2669" s="2">
        <v>151.0</v>
      </c>
      <c r="E2669" s="2">
        <v>1.0</v>
      </c>
      <c r="F2669" s="2">
        <v>70.0</v>
      </c>
      <c r="G2669" s="2">
        <v>127400.0</v>
      </c>
    </row>
    <row r="2670" ht="14.25" customHeight="1">
      <c r="A2670" s="2">
        <v>2669.0</v>
      </c>
      <c r="B2670" s="2" t="s">
        <v>2576</v>
      </c>
      <c r="C2670" s="2" t="s">
        <v>5165</v>
      </c>
      <c r="D2670" s="2">
        <v>197.0</v>
      </c>
      <c r="E2670" s="2">
        <v>1.0</v>
      </c>
      <c r="F2670" s="2">
        <v>75.0</v>
      </c>
      <c r="G2670" s="2">
        <v>127400.0</v>
      </c>
    </row>
    <row r="2671" ht="14.25" customHeight="1">
      <c r="A2671" s="2">
        <v>2670.0</v>
      </c>
      <c r="B2671" s="2" t="s">
        <v>2686</v>
      </c>
      <c r="C2671" s="2" t="s">
        <v>5166</v>
      </c>
      <c r="D2671" s="2">
        <v>127.0</v>
      </c>
      <c r="E2671" s="2">
        <v>1.0</v>
      </c>
      <c r="F2671" s="2">
        <v>75.0</v>
      </c>
      <c r="G2671" s="2">
        <v>127300.0</v>
      </c>
    </row>
    <row r="2672" ht="14.25" customHeight="1">
      <c r="A2672" s="2">
        <v>2671.0</v>
      </c>
      <c r="B2672" s="2" t="s">
        <v>2475</v>
      </c>
      <c r="C2672" s="2" t="s">
        <v>5167</v>
      </c>
      <c r="D2672" s="2">
        <v>143.0</v>
      </c>
      <c r="E2672" s="2">
        <v>1.0</v>
      </c>
      <c r="F2672" s="2">
        <v>60.0</v>
      </c>
      <c r="G2672" s="2">
        <v>127300.0</v>
      </c>
    </row>
    <row r="2673" ht="14.25" customHeight="1">
      <c r="A2673" s="2">
        <v>2672.0</v>
      </c>
      <c r="B2673" s="2" t="s">
        <v>2505</v>
      </c>
      <c r="C2673" s="2" t="s">
        <v>5168</v>
      </c>
      <c r="D2673" s="2">
        <v>429.0</v>
      </c>
      <c r="E2673" s="2">
        <v>1.0</v>
      </c>
      <c r="F2673" s="2">
        <v>100.0</v>
      </c>
      <c r="G2673" s="2">
        <v>127300.0</v>
      </c>
    </row>
    <row r="2674" ht="14.25" customHeight="1">
      <c r="A2674" s="2">
        <v>2673.0</v>
      </c>
      <c r="B2674" s="2" t="s">
        <v>2553</v>
      </c>
      <c r="C2674" s="2" t="s">
        <v>5169</v>
      </c>
      <c r="D2674" s="2">
        <v>187.0</v>
      </c>
      <c r="E2674" s="2">
        <v>1.0</v>
      </c>
      <c r="F2674" s="2">
        <v>70.0</v>
      </c>
      <c r="G2674" s="2">
        <v>127200.0</v>
      </c>
    </row>
    <row r="2675" ht="14.25" customHeight="1">
      <c r="A2675" s="2">
        <v>2674.0</v>
      </c>
      <c r="B2675" s="2" t="s">
        <v>2507</v>
      </c>
      <c r="C2675" s="2" t="s">
        <v>5170</v>
      </c>
      <c r="D2675" s="2">
        <v>205.0</v>
      </c>
      <c r="E2675" s="2">
        <v>1.0</v>
      </c>
      <c r="F2675" s="2">
        <v>100.0</v>
      </c>
      <c r="G2675" s="2">
        <v>127200.0</v>
      </c>
    </row>
    <row r="2676" ht="14.25" customHeight="1">
      <c r="A2676" s="2">
        <v>2675.0</v>
      </c>
      <c r="B2676" s="2" t="s">
        <v>2524</v>
      </c>
      <c r="C2676" s="2" t="s">
        <v>5171</v>
      </c>
      <c r="D2676" s="2">
        <v>331.0</v>
      </c>
      <c r="E2676" s="2">
        <v>1.0</v>
      </c>
      <c r="F2676" s="2">
        <v>100.0</v>
      </c>
      <c r="G2676" s="2">
        <v>127200.0</v>
      </c>
    </row>
    <row r="2677" ht="14.25" customHeight="1">
      <c r="A2677" s="2">
        <v>2676.0</v>
      </c>
      <c r="B2677" s="2" t="s">
        <v>2534</v>
      </c>
      <c r="C2677" s="2" t="s">
        <v>5172</v>
      </c>
      <c r="D2677" s="2">
        <v>188.0</v>
      </c>
      <c r="E2677" s="2">
        <v>1.0</v>
      </c>
      <c r="F2677" s="2">
        <v>150.0</v>
      </c>
      <c r="G2677" s="2">
        <v>127100.0</v>
      </c>
    </row>
    <row r="2678" ht="14.25" customHeight="1">
      <c r="A2678" s="2">
        <v>2677.0</v>
      </c>
      <c r="B2678" s="2" t="s">
        <v>2604</v>
      </c>
      <c r="C2678" s="2" t="s">
        <v>5173</v>
      </c>
      <c r="D2678" s="2">
        <v>200.0</v>
      </c>
      <c r="E2678" s="2">
        <v>1.0</v>
      </c>
      <c r="F2678" s="2">
        <v>100.0</v>
      </c>
      <c r="G2678" s="2">
        <v>127100.0</v>
      </c>
    </row>
    <row r="2679" ht="14.25" customHeight="1">
      <c r="A2679" s="2">
        <v>2678.0</v>
      </c>
      <c r="B2679" s="2" t="s">
        <v>2621</v>
      </c>
      <c r="C2679" s="2" t="s">
        <v>5174</v>
      </c>
      <c r="D2679" s="2">
        <v>403.0</v>
      </c>
      <c r="E2679" s="2">
        <v>1.0</v>
      </c>
      <c r="F2679" s="2">
        <v>100.0</v>
      </c>
      <c r="G2679" s="2">
        <v>127100.0</v>
      </c>
    </row>
    <row r="2680" ht="14.25" customHeight="1">
      <c r="A2680" s="2">
        <v>2679.0</v>
      </c>
      <c r="B2680" s="2" t="s">
        <v>2512</v>
      </c>
      <c r="C2680" s="2" t="s">
        <v>5175</v>
      </c>
      <c r="D2680" s="2">
        <v>153.0</v>
      </c>
      <c r="E2680" s="2">
        <v>1.0</v>
      </c>
      <c r="F2680" s="2">
        <v>75.0</v>
      </c>
      <c r="G2680" s="2">
        <v>126900.0</v>
      </c>
    </row>
    <row r="2681" ht="14.25" customHeight="1">
      <c r="A2681" s="2">
        <v>2680.0</v>
      </c>
      <c r="B2681" s="2" t="s">
        <v>2518</v>
      </c>
      <c r="C2681" s="2" t="s">
        <v>5176</v>
      </c>
      <c r="D2681" s="2">
        <v>161.0</v>
      </c>
      <c r="E2681" s="2">
        <v>1.0</v>
      </c>
      <c r="F2681" s="2">
        <v>100.0</v>
      </c>
      <c r="G2681" s="2">
        <v>126900.0</v>
      </c>
    </row>
    <row r="2682" ht="14.25" customHeight="1">
      <c r="A2682" s="2">
        <v>2681.0</v>
      </c>
      <c r="B2682" s="2" t="s">
        <v>2541</v>
      </c>
      <c r="C2682" s="2" t="s">
        <v>5177</v>
      </c>
      <c r="D2682" s="2">
        <v>195.0</v>
      </c>
      <c r="E2682" s="2">
        <v>1.0</v>
      </c>
      <c r="F2682" s="2">
        <v>55.0</v>
      </c>
      <c r="G2682" s="2">
        <v>126800.0</v>
      </c>
    </row>
    <row r="2683" ht="14.25" customHeight="1">
      <c r="A2683" s="2">
        <v>2682.0</v>
      </c>
      <c r="B2683" s="2" t="s">
        <v>2524</v>
      </c>
      <c r="C2683" s="2" t="s">
        <v>5178</v>
      </c>
      <c r="D2683" s="2">
        <v>331.0</v>
      </c>
      <c r="E2683" s="2">
        <v>1.0</v>
      </c>
      <c r="F2683" s="2">
        <v>80.0</v>
      </c>
      <c r="G2683" s="2">
        <v>126800.0</v>
      </c>
    </row>
    <row r="2684" ht="14.25" customHeight="1">
      <c r="A2684" s="2">
        <v>2683.0</v>
      </c>
      <c r="B2684" s="2" t="s">
        <v>2541</v>
      </c>
      <c r="C2684" s="2" t="s">
        <v>5179</v>
      </c>
      <c r="D2684" s="2">
        <v>195.0</v>
      </c>
      <c r="E2684" s="2">
        <v>1.0</v>
      </c>
      <c r="F2684" s="2">
        <v>50.0</v>
      </c>
      <c r="G2684" s="2">
        <v>126700.0</v>
      </c>
    </row>
    <row r="2685" ht="14.25" customHeight="1">
      <c r="A2685" s="2">
        <v>2684.0</v>
      </c>
      <c r="B2685" s="2" t="s">
        <v>2686</v>
      </c>
      <c r="C2685" s="2" t="s">
        <v>5180</v>
      </c>
      <c r="D2685" s="2">
        <v>127.0</v>
      </c>
      <c r="E2685" s="2">
        <v>1.0</v>
      </c>
      <c r="F2685" s="2">
        <v>75.0</v>
      </c>
      <c r="G2685" s="2">
        <v>126600.0</v>
      </c>
    </row>
    <row r="2686" ht="14.25" customHeight="1">
      <c r="A2686" s="2">
        <v>2685.0</v>
      </c>
      <c r="B2686" s="2" t="s">
        <v>2497</v>
      </c>
      <c r="C2686" s="2" t="s">
        <v>5181</v>
      </c>
      <c r="D2686" s="2">
        <v>151.0</v>
      </c>
      <c r="E2686" s="2">
        <v>1.0</v>
      </c>
      <c r="F2686" s="2">
        <v>66.0</v>
      </c>
      <c r="G2686" s="2">
        <v>126600.0</v>
      </c>
    </row>
    <row r="2687" ht="14.25" customHeight="1">
      <c r="A2687" s="2">
        <v>2686.0</v>
      </c>
      <c r="B2687" s="2" t="s">
        <v>2479</v>
      </c>
      <c r="C2687" s="2" t="s">
        <v>5182</v>
      </c>
      <c r="D2687" s="2">
        <v>182.0</v>
      </c>
      <c r="E2687" s="2">
        <v>1.0</v>
      </c>
      <c r="F2687" s="2">
        <v>50.0</v>
      </c>
      <c r="G2687" s="2">
        <v>126600.0</v>
      </c>
    </row>
    <row r="2688" ht="14.25" customHeight="1">
      <c r="A2688" s="2">
        <v>2687.0</v>
      </c>
      <c r="B2688" s="2" t="s">
        <v>2534</v>
      </c>
      <c r="C2688" s="2" t="s">
        <v>5183</v>
      </c>
      <c r="D2688" s="2">
        <v>188.0</v>
      </c>
      <c r="E2688" s="2">
        <v>1.0</v>
      </c>
      <c r="F2688" s="2">
        <v>100.0</v>
      </c>
      <c r="G2688" s="2">
        <v>126600.0</v>
      </c>
    </row>
    <row r="2689" ht="14.25" customHeight="1">
      <c r="A2689" s="2">
        <v>2688.0</v>
      </c>
      <c r="B2689" s="2" t="s">
        <v>2541</v>
      </c>
      <c r="C2689" s="2" t="s">
        <v>5184</v>
      </c>
      <c r="D2689" s="2">
        <v>195.0</v>
      </c>
      <c r="E2689" s="2">
        <v>1.0</v>
      </c>
      <c r="F2689" s="2">
        <v>100.0</v>
      </c>
      <c r="G2689" s="2">
        <v>126600.0</v>
      </c>
    </row>
    <row r="2690" ht="14.25" customHeight="1">
      <c r="A2690" s="2">
        <v>2689.0</v>
      </c>
      <c r="B2690" s="2" t="s">
        <v>2576</v>
      </c>
      <c r="C2690" s="2" t="s">
        <v>5185</v>
      </c>
      <c r="D2690" s="2">
        <v>197.0</v>
      </c>
      <c r="E2690" s="2">
        <v>1.0</v>
      </c>
      <c r="F2690" s="2">
        <v>75.0</v>
      </c>
      <c r="G2690" s="2">
        <v>126600.0</v>
      </c>
    </row>
    <row r="2691" ht="14.25" customHeight="1">
      <c r="A2691" s="2">
        <v>2690.0</v>
      </c>
      <c r="B2691" s="2" t="s">
        <v>2686</v>
      </c>
      <c r="C2691" s="2" t="s">
        <v>5186</v>
      </c>
      <c r="D2691" s="2">
        <v>127.0</v>
      </c>
      <c r="E2691" s="2">
        <v>1.0</v>
      </c>
      <c r="F2691" s="2">
        <v>90.0</v>
      </c>
      <c r="G2691" s="2">
        <v>126500.0</v>
      </c>
    </row>
    <row r="2692" ht="14.25" customHeight="1">
      <c r="A2692" s="2">
        <v>2691.0</v>
      </c>
      <c r="B2692" s="2" t="s">
        <v>2497</v>
      </c>
      <c r="C2692" s="2" t="s">
        <v>5187</v>
      </c>
      <c r="D2692" s="2">
        <v>151.0</v>
      </c>
      <c r="E2692" s="2">
        <v>1.0</v>
      </c>
      <c r="F2692" s="2">
        <v>60.0</v>
      </c>
      <c r="G2692" s="2">
        <v>126500.0</v>
      </c>
    </row>
    <row r="2693" ht="14.25" customHeight="1">
      <c r="A2693" s="2">
        <v>2692.0</v>
      </c>
      <c r="B2693" s="2" t="s">
        <v>2571</v>
      </c>
      <c r="C2693" s="2" t="s">
        <v>5188</v>
      </c>
      <c r="D2693" s="2">
        <v>185.0</v>
      </c>
      <c r="E2693" s="2">
        <v>1.0</v>
      </c>
      <c r="F2693" s="2">
        <v>50.0</v>
      </c>
      <c r="G2693" s="2">
        <v>126500.0</v>
      </c>
    </row>
    <row r="2694" ht="14.25" customHeight="1">
      <c r="A2694" s="2">
        <v>2693.0</v>
      </c>
      <c r="B2694" s="2" t="s">
        <v>2541</v>
      </c>
      <c r="C2694" s="2" t="s">
        <v>5189</v>
      </c>
      <c r="D2694" s="2">
        <v>195.0</v>
      </c>
      <c r="E2694" s="2">
        <v>1.0</v>
      </c>
      <c r="F2694" s="2">
        <v>60.0</v>
      </c>
      <c r="G2694" s="2">
        <v>126500.0</v>
      </c>
    </row>
    <row r="2695" ht="14.25" customHeight="1">
      <c r="A2695" s="2">
        <v>2694.0</v>
      </c>
      <c r="B2695" s="2" t="s">
        <v>2477</v>
      </c>
      <c r="C2695" s="2" t="s">
        <v>5190</v>
      </c>
      <c r="D2695" s="2">
        <v>152.0</v>
      </c>
      <c r="E2695" s="2">
        <v>1.0</v>
      </c>
      <c r="F2695" s="2">
        <v>65.0</v>
      </c>
      <c r="G2695" s="2">
        <v>126400.0</v>
      </c>
    </row>
    <row r="2696" ht="14.25" customHeight="1">
      <c r="A2696" s="2">
        <v>2695.0</v>
      </c>
      <c r="B2696" s="2" t="s">
        <v>2501</v>
      </c>
      <c r="C2696" s="2" t="s">
        <v>5191</v>
      </c>
      <c r="D2696" s="2">
        <v>199.0</v>
      </c>
      <c r="E2696" s="2">
        <v>1.0</v>
      </c>
      <c r="F2696" s="2">
        <v>120.0</v>
      </c>
      <c r="G2696" s="2">
        <v>126400.0</v>
      </c>
    </row>
    <row r="2697" ht="14.25" customHeight="1">
      <c r="A2697" s="2">
        <v>2696.0</v>
      </c>
      <c r="B2697" s="2" t="s">
        <v>2549</v>
      </c>
      <c r="C2697" s="2" t="s">
        <v>5192</v>
      </c>
      <c r="D2697" s="2">
        <v>115.0</v>
      </c>
      <c r="E2697" s="2">
        <v>1.0</v>
      </c>
      <c r="F2697" s="2">
        <v>100.0</v>
      </c>
      <c r="G2697" s="2">
        <v>126300.0</v>
      </c>
    </row>
    <row r="2698" ht="14.25" customHeight="1">
      <c r="A2698" s="2">
        <v>2697.0</v>
      </c>
      <c r="B2698" s="2" t="s">
        <v>2636</v>
      </c>
      <c r="C2698" s="2" t="s">
        <v>5193</v>
      </c>
      <c r="D2698" s="2">
        <v>145.0</v>
      </c>
      <c r="E2698" s="2">
        <v>1.0</v>
      </c>
      <c r="F2698" s="2">
        <v>100.0</v>
      </c>
      <c r="G2698" s="2">
        <v>126300.0</v>
      </c>
    </row>
    <row r="2699" ht="14.25" customHeight="1">
      <c r="A2699" s="2">
        <v>2698.0</v>
      </c>
      <c r="B2699" s="2" t="s">
        <v>2503</v>
      </c>
      <c r="C2699" s="2" t="s">
        <v>5194</v>
      </c>
      <c r="D2699" s="2">
        <v>105.0</v>
      </c>
      <c r="E2699" s="2">
        <v>1.0</v>
      </c>
      <c r="F2699" s="2">
        <v>80.0</v>
      </c>
      <c r="G2699" s="2">
        <v>126200.0</v>
      </c>
    </row>
    <row r="2700" ht="14.25" customHeight="1">
      <c r="A2700" s="2">
        <v>2699.0</v>
      </c>
      <c r="B2700" s="2" t="s">
        <v>2636</v>
      </c>
      <c r="C2700" s="2" t="s">
        <v>5195</v>
      </c>
      <c r="D2700" s="2">
        <v>145.0</v>
      </c>
      <c r="E2700" s="2">
        <v>1.0</v>
      </c>
      <c r="F2700" s="2">
        <v>100.0</v>
      </c>
      <c r="G2700" s="2">
        <v>126200.0</v>
      </c>
    </row>
    <row r="2701" ht="14.25" customHeight="1">
      <c r="A2701" s="2">
        <v>2700.0</v>
      </c>
      <c r="B2701" s="2" t="s">
        <v>2512</v>
      </c>
      <c r="C2701" s="2" t="s">
        <v>5196</v>
      </c>
      <c r="D2701" s="2">
        <v>153.0</v>
      </c>
      <c r="E2701" s="2">
        <v>1.0</v>
      </c>
      <c r="F2701" s="2">
        <v>50.0</v>
      </c>
      <c r="G2701" s="2">
        <v>126200.0</v>
      </c>
    </row>
    <row r="2702" ht="14.25" customHeight="1">
      <c r="A2702" s="2">
        <v>2701.0</v>
      </c>
      <c r="B2702" s="2" t="s">
        <v>2571</v>
      </c>
      <c r="C2702" s="2" t="s">
        <v>5197</v>
      </c>
      <c r="D2702" s="2">
        <v>185.0</v>
      </c>
      <c r="E2702" s="2">
        <v>1.0</v>
      </c>
      <c r="F2702" s="2">
        <v>125.0</v>
      </c>
      <c r="G2702" s="2">
        <v>126200.0</v>
      </c>
    </row>
    <row r="2703" ht="14.25" customHeight="1">
      <c r="A2703" s="2">
        <v>2702.0</v>
      </c>
      <c r="B2703" s="2" t="s">
        <v>2553</v>
      </c>
      <c r="C2703" s="2" t="s">
        <v>5198</v>
      </c>
      <c r="D2703" s="2">
        <v>187.0</v>
      </c>
      <c r="E2703" s="2">
        <v>1.0</v>
      </c>
      <c r="F2703" s="2">
        <v>85.0</v>
      </c>
      <c r="G2703" s="2">
        <v>126200.0</v>
      </c>
    </row>
    <row r="2704" ht="14.25" customHeight="1">
      <c r="A2704" s="2">
        <v>2703.0</v>
      </c>
      <c r="B2704" s="2" t="s">
        <v>2534</v>
      </c>
      <c r="C2704" s="2" t="s">
        <v>5199</v>
      </c>
      <c r="D2704" s="2">
        <v>188.0</v>
      </c>
      <c r="E2704" s="2">
        <v>1.0</v>
      </c>
      <c r="F2704" s="2">
        <v>100.0</v>
      </c>
      <c r="G2704" s="2">
        <v>126200.0</v>
      </c>
    </row>
    <row r="2705" ht="14.25" customHeight="1">
      <c r="A2705" s="2">
        <v>2704.0</v>
      </c>
      <c r="B2705" s="2" t="s">
        <v>2497</v>
      </c>
      <c r="C2705" s="2" t="s">
        <v>5200</v>
      </c>
      <c r="D2705" s="2">
        <v>151.0</v>
      </c>
      <c r="E2705" s="2">
        <v>1.0</v>
      </c>
      <c r="F2705" s="2">
        <v>75.0</v>
      </c>
      <c r="G2705" s="2">
        <v>126100.0</v>
      </c>
    </row>
    <row r="2706" ht="14.25" customHeight="1">
      <c r="A2706" s="2">
        <v>2705.0</v>
      </c>
      <c r="B2706" s="2" t="s">
        <v>2576</v>
      </c>
      <c r="C2706" s="2" t="s">
        <v>5201</v>
      </c>
      <c r="D2706" s="2">
        <v>197.0</v>
      </c>
      <c r="E2706" s="2">
        <v>1.0</v>
      </c>
      <c r="F2706" s="2">
        <v>150.0</v>
      </c>
      <c r="G2706" s="2">
        <v>126100.0</v>
      </c>
    </row>
    <row r="2707" ht="14.25" customHeight="1">
      <c r="A2707" s="2">
        <v>2706.0</v>
      </c>
      <c r="B2707" s="2" t="s">
        <v>2561</v>
      </c>
      <c r="C2707" s="2" t="s">
        <v>5202</v>
      </c>
      <c r="D2707" s="2">
        <v>162.0</v>
      </c>
      <c r="E2707" s="2">
        <v>1.0</v>
      </c>
      <c r="F2707" s="2">
        <v>62.5</v>
      </c>
      <c r="G2707" s="2">
        <v>126000.0</v>
      </c>
    </row>
    <row r="2708" ht="14.25" customHeight="1">
      <c r="A2708" s="2">
        <v>2707.0</v>
      </c>
      <c r="B2708" s="2" t="s">
        <v>2576</v>
      </c>
      <c r="C2708" s="2" t="s">
        <v>5203</v>
      </c>
      <c r="D2708" s="2">
        <v>197.0</v>
      </c>
      <c r="E2708" s="2">
        <v>1.0</v>
      </c>
      <c r="F2708" s="2">
        <v>100.0</v>
      </c>
      <c r="G2708" s="2">
        <v>126000.0</v>
      </c>
    </row>
    <row r="2709" ht="14.25" customHeight="1">
      <c r="A2709" s="2">
        <v>2708.0</v>
      </c>
      <c r="B2709" s="2" t="s">
        <v>2507</v>
      </c>
      <c r="C2709" s="2" t="s">
        <v>5204</v>
      </c>
      <c r="D2709" s="2">
        <v>205.0</v>
      </c>
      <c r="E2709" s="2">
        <v>1.0</v>
      </c>
      <c r="F2709" s="2">
        <v>70.0</v>
      </c>
      <c r="G2709" s="2">
        <v>125900.0</v>
      </c>
    </row>
    <row r="2710" ht="14.25" customHeight="1">
      <c r="A2710" s="2">
        <v>2709.0</v>
      </c>
      <c r="B2710" s="2" t="s">
        <v>2651</v>
      </c>
      <c r="C2710" s="2" t="s">
        <v>5205</v>
      </c>
      <c r="D2710" s="2">
        <v>347.0</v>
      </c>
      <c r="E2710" s="2">
        <v>1.0</v>
      </c>
      <c r="F2710" s="2">
        <v>55.0</v>
      </c>
      <c r="G2710" s="2">
        <v>125900.0</v>
      </c>
    </row>
    <row r="2711" ht="14.25" customHeight="1">
      <c r="A2711" s="2">
        <v>2710.0</v>
      </c>
      <c r="B2711" s="2" t="s">
        <v>2636</v>
      </c>
      <c r="C2711" s="2" t="s">
        <v>5206</v>
      </c>
      <c r="D2711" s="2">
        <v>145.0</v>
      </c>
      <c r="E2711" s="2">
        <v>1.0</v>
      </c>
      <c r="F2711" s="2">
        <v>50.0</v>
      </c>
      <c r="G2711" s="2">
        <v>125800.0</v>
      </c>
    </row>
    <row r="2712" ht="14.25" customHeight="1">
      <c r="A2712" s="2">
        <v>2711.0</v>
      </c>
      <c r="B2712" s="2" t="s">
        <v>2744</v>
      </c>
      <c r="C2712" s="2" t="s">
        <v>5207</v>
      </c>
      <c r="D2712" s="2">
        <v>169.0</v>
      </c>
      <c r="E2712" s="2">
        <v>1.0</v>
      </c>
      <c r="F2712" s="2">
        <v>100.0</v>
      </c>
      <c r="G2712" s="2">
        <v>125800.0</v>
      </c>
    </row>
    <row r="2713" ht="14.25" customHeight="1">
      <c r="A2713" s="2">
        <v>2712.0</v>
      </c>
      <c r="B2713" s="2" t="s">
        <v>2518</v>
      </c>
      <c r="C2713" s="2" t="s">
        <v>5208</v>
      </c>
      <c r="D2713" s="2">
        <v>161.0</v>
      </c>
      <c r="E2713" s="2">
        <v>1.0</v>
      </c>
      <c r="F2713" s="2">
        <v>55.0</v>
      </c>
      <c r="G2713" s="2">
        <v>125700.0</v>
      </c>
    </row>
    <row r="2714" ht="14.25" customHeight="1">
      <c r="A2714" s="2">
        <v>2713.0</v>
      </c>
      <c r="B2714" s="2" t="s">
        <v>2524</v>
      </c>
      <c r="C2714" s="2" t="s">
        <v>5209</v>
      </c>
      <c r="D2714" s="2">
        <v>331.0</v>
      </c>
      <c r="E2714" s="2">
        <v>1.0</v>
      </c>
      <c r="F2714" s="2">
        <v>65.0</v>
      </c>
      <c r="G2714" s="2">
        <v>125700.0</v>
      </c>
    </row>
    <row r="2715" ht="14.25" customHeight="1">
      <c r="A2715" s="2">
        <v>2714.0</v>
      </c>
      <c r="B2715" s="2" t="s">
        <v>2497</v>
      </c>
      <c r="C2715" s="2" t="s">
        <v>5210</v>
      </c>
      <c r="D2715" s="2">
        <v>151.0</v>
      </c>
      <c r="E2715" s="2">
        <v>1.0</v>
      </c>
      <c r="F2715" s="2">
        <v>66.0</v>
      </c>
      <c r="G2715" s="2">
        <v>125600.0</v>
      </c>
    </row>
    <row r="2716" ht="14.25" customHeight="1">
      <c r="A2716" s="2">
        <v>2715.0</v>
      </c>
      <c r="B2716" s="2" t="s">
        <v>2512</v>
      </c>
      <c r="C2716" s="2" t="s">
        <v>5211</v>
      </c>
      <c r="D2716" s="2">
        <v>153.0</v>
      </c>
      <c r="E2716" s="2">
        <v>1.0</v>
      </c>
      <c r="F2716" s="2">
        <v>103.0</v>
      </c>
      <c r="G2716" s="2">
        <v>125600.0</v>
      </c>
    </row>
    <row r="2717" ht="14.25" customHeight="1">
      <c r="A2717" s="2">
        <v>2716.0</v>
      </c>
      <c r="B2717" s="2" t="s">
        <v>2518</v>
      </c>
      <c r="C2717" s="2" t="s">
        <v>5212</v>
      </c>
      <c r="D2717" s="2">
        <v>161.0</v>
      </c>
      <c r="E2717" s="2">
        <v>1.0</v>
      </c>
      <c r="F2717" s="2">
        <v>100.0</v>
      </c>
      <c r="G2717" s="2">
        <v>125600.0</v>
      </c>
    </row>
    <row r="2718" ht="14.25" customHeight="1">
      <c r="A2718" s="2">
        <v>2717.0</v>
      </c>
      <c r="B2718" s="2" t="s">
        <v>2744</v>
      </c>
      <c r="C2718" s="2" t="s">
        <v>5213</v>
      </c>
      <c r="D2718" s="2">
        <v>169.0</v>
      </c>
      <c r="E2718" s="2">
        <v>1.0</v>
      </c>
      <c r="F2718" s="2">
        <v>75.0</v>
      </c>
      <c r="G2718" s="2">
        <v>125600.0</v>
      </c>
    </row>
    <row r="2719" ht="14.25" customHeight="1">
      <c r="A2719" s="2">
        <v>2718.0</v>
      </c>
      <c r="B2719" s="2" t="s">
        <v>2477</v>
      </c>
      <c r="C2719" s="2" t="s">
        <v>5214</v>
      </c>
      <c r="D2719" s="2">
        <v>152.0</v>
      </c>
      <c r="E2719" s="2">
        <v>1.0</v>
      </c>
      <c r="F2719" s="2">
        <v>100.0</v>
      </c>
      <c r="G2719" s="2">
        <v>125500.0</v>
      </c>
    </row>
    <row r="2720" ht="14.25" customHeight="1">
      <c r="A2720" s="2">
        <v>2719.0</v>
      </c>
      <c r="B2720" s="2" t="s">
        <v>2534</v>
      </c>
      <c r="C2720" s="2" t="s">
        <v>5215</v>
      </c>
      <c r="D2720" s="2">
        <v>188.0</v>
      </c>
      <c r="E2720" s="2">
        <v>1.0</v>
      </c>
      <c r="F2720" s="2">
        <v>100.0</v>
      </c>
      <c r="G2720" s="2">
        <v>125500.0</v>
      </c>
    </row>
    <row r="2721" ht="14.25" customHeight="1">
      <c r="A2721" s="2">
        <v>2720.0</v>
      </c>
      <c r="B2721" s="2" t="s">
        <v>2576</v>
      </c>
      <c r="C2721" s="2" t="s">
        <v>5216</v>
      </c>
      <c r="D2721" s="2">
        <v>197.0</v>
      </c>
      <c r="E2721" s="2">
        <v>1.0</v>
      </c>
      <c r="F2721" s="2">
        <v>50.0</v>
      </c>
      <c r="G2721" s="2">
        <v>125500.0</v>
      </c>
    </row>
    <row r="2722" ht="14.25" customHeight="1">
      <c r="A2722" s="2">
        <v>2721.0</v>
      </c>
      <c r="B2722" s="2" t="s">
        <v>2503</v>
      </c>
      <c r="C2722" s="2" t="s">
        <v>5217</v>
      </c>
      <c r="D2722" s="2">
        <v>105.0</v>
      </c>
      <c r="E2722" s="2">
        <v>1.0</v>
      </c>
      <c r="F2722" s="2">
        <v>66.0</v>
      </c>
      <c r="G2722" s="2">
        <v>125400.0</v>
      </c>
    </row>
    <row r="2723" ht="14.25" customHeight="1">
      <c r="A2723" s="2">
        <v>2722.0</v>
      </c>
      <c r="B2723" s="2" t="s">
        <v>2475</v>
      </c>
      <c r="C2723" s="2" t="s">
        <v>5218</v>
      </c>
      <c r="D2723" s="2">
        <v>143.0</v>
      </c>
      <c r="E2723" s="2">
        <v>1.0</v>
      </c>
      <c r="F2723" s="2">
        <v>60.0</v>
      </c>
      <c r="G2723" s="2">
        <v>125400.0</v>
      </c>
    </row>
    <row r="2724" ht="14.25" customHeight="1">
      <c r="A2724" s="2">
        <v>2723.0</v>
      </c>
      <c r="B2724" s="2" t="s">
        <v>2477</v>
      </c>
      <c r="C2724" s="2" t="s">
        <v>5219</v>
      </c>
      <c r="D2724" s="2">
        <v>152.0</v>
      </c>
      <c r="E2724" s="2">
        <v>1.0</v>
      </c>
      <c r="F2724" s="2">
        <v>50.0</v>
      </c>
      <c r="G2724" s="2">
        <v>125400.0</v>
      </c>
    </row>
    <row r="2725" ht="14.25" customHeight="1">
      <c r="A2725" s="2">
        <v>2724.0</v>
      </c>
      <c r="B2725" s="2" t="s">
        <v>2561</v>
      </c>
      <c r="C2725" s="2" t="s">
        <v>5220</v>
      </c>
      <c r="D2725" s="2">
        <v>162.0</v>
      </c>
      <c r="E2725" s="2">
        <v>1.0</v>
      </c>
      <c r="F2725" s="2">
        <v>100.0</v>
      </c>
      <c r="G2725" s="2">
        <v>125400.0</v>
      </c>
    </row>
    <row r="2726" ht="14.25" customHeight="1">
      <c r="A2726" s="2">
        <v>2725.0</v>
      </c>
      <c r="B2726" s="2" t="s">
        <v>2744</v>
      </c>
      <c r="C2726" s="2" t="s">
        <v>5221</v>
      </c>
      <c r="D2726" s="2">
        <v>169.0</v>
      </c>
      <c r="E2726" s="2">
        <v>1.0</v>
      </c>
      <c r="F2726" s="2">
        <v>70.0</v>
      </c>
      <c r="G2726" s="2">
        <v>125400.0</v>
      </c>
    </row>
    <row r="2727" ht="14.25" customHeight="1">
      <c r="A2727" s="2">
        <v>2726.0</v>
      </c>
      <c r="B2727" s="2" t="s">
        <v>2534</v>
      </c>
      <c r="C2727" s="2" t="s">
        <v>5222</v>
      </c>
      <c r="D2727" s="2">
        <v>188.0</v>
      </c>
      <c r="E2727" s="2">
        <v>1.0</v>
      </c>
      <c r="F2727" s="2">
        <v>62.5</v>
      </c>
      <c r="G2727" s="2">
        <v>125400.0</v>
      </c>
    </row>
    <row r="2728" ht="14.25" customHeight="1">
      <c r="A2728" s="2">
        <v>2727.0</v>
      </c>
      <c r="B2728" s="2" t="s">
        <v>2651</v>
      </c>
      <c r="C2728" s="2" t="s">
        <v>5223</v>
      </c>
      <c r="D2728" s="2">
        <v>347.0</v>
      </c>
      <c r="E2728" s="2">
        <v>1.0</v>
      </c>
      <c r="F2728" s="2">
        <v>60.0</v>
      </c>
      <c r="G2728" s="2">
        <v>125400.0</v>
      </c>
    </row>
    <row r="2729" ht="14.25" customHeight="1">
      <c r="A2729" s="2">
        <v>2728.0</v>
      </c>
      <c r="B2729" s="2" t="s">
        <v>2507</v>
      </c>
      <c r="C2729" s="2" t="s">
        <v>5224</v>
      </c>
      <c r="D2729" s="2">
        <v>205.0</v>
      </c>
      <c r="E2729" s="2">
        <v>1.0</v>
      </c>
      <c r="F2729" s="2">
        <v>70.0</v>
      </c>
      <c r="G2729" s="2">
        <v>125300.0</v>
      </c>
    </row>
    <row r="2730" ht="14.25" customHeight="1">
      <c r="A2730" s="2">
        <v>2729.0</v>
      </c>
      <c r="B2730" s="2" t="s">
        <v>2686</v>
      </c>
      <c r="C2730" s="2" t="s">
        <v>5225</v>
      </c>
      <c r="D2730" s="2">
        <v>127.0</v>
      </c>
      <c r="E2730" s="2">
        <v>1.0</v>
      </c>
      <c r="F2730" s="2">
        <v>60.0</v>
      </c>
      <c r="G2730" s="2">
        <v>125200.0</v>
      </c>
    </row>
    <row r="2731" ht="14.25" customHeight="1">
      <c r="A2731" s="2">
        <v>2730.0</v>
      </c>
      <c r="B2731" s="2" t="s">
        <v>2636</v>
      </c>
      <c r="C2731" s="2" t="s">
        <v>5226</v>
      </c>
      <c r="D2731" s="2">
        <v>145.0</v>
      </c>
      <c r="E2731" s="2">
        <v>1.0</v>
      </c>
      <c r="F2731" s="2">
        <v>100.0</v>
      </c>
      <c r="G2731" s="2">
        <v>125100.0</v>
      </c>
    </row>
    <row r="2732" ht="14.25" customHeight="1">
      <c r="A2732" s="2">
        <v>2731.0</v>
      </c>
      <c r="B2732" s="2" t="s">
        <v>2744</v>
      </c>
      <c r="C2732" s="2" t="s">
        <v>5227</v>
      </c>
      <c r="D2732" s="2">
        <v>169.0</v>
      </c>
      <c r="E2732" s="2">
        <v>1.0</v>
      </c>
      <c r="F2732" s="2">
        <v>100.0</v>
      </c>
      <c r="G2732" s="2">
        <v>125100.0</v>
      </c>
    </row>
    <row r="2733" ht="14.25" customHeight="1">
      <c r="A2733" s="2">
        <v>2732.0</v>
      </c>
      <c r="B2733" s="2" t="s">
        <v>2479</v>
      </c>
      <c r="C2733" s="2" t="s">
        <v>5228</v>
      </c>
      <c r="D2733" s="2">
        <v>182.0</v>
      </c>
      <c r="E2733" s="2">
        <v>1.0</v>
      </c>
      <c r="F2733" s="2">
        <v>50.0</v>
      </c>
      <c r="G2733" s="2">
        <v>125100.0</v>
      </c>
    </row>
    <row r="2734" ht="14.25" customHeight="1">
      <c r="A2734" s="2">
        <v>2733.0</v>
      </c>
      <c r="B2734" s="2" t="s">
        <v>2488</v>
      </c>
      <c r="C2734" s="2" t="s">
        <v>5229</v>
      </c>
      <c r="D2734" s="2">
        <v>333.0</v>
      </c>
      <c r="E2734" s="2">
        <v>1.0</v>
      </c>
      <c r="F2734" s="2">
        <v>50.0</v>
      </c>
      <c r="G2734" s="2">
        <v>125100.0</v>
      </c>
    </row>
    <row r="2735" ht="14.25" customHeight="1">
      <c r="A2735" s="2">
        <v>2734.0</v>
      </c>
      <c r="B2735" s="2" t="s">
        <v>2488</v>
      </c>
      <c r="C2735" s="2" t="s">
        <v>5230</v>
      </c>
      <c r="D2735" s="2">
        <v>333.0</v>
      </c>
      <c r="E2735" s="2">
        <v>1.0</v>
      </c>
      <c r="F2735" s="2">
        <v>50.0</v>
      </c>
      <c r="G2735" s="2">
        <v>125100.0</v>
      </c>
    </row>
    <row r="2736" ht="14.25" customHeight="1">
      <c r="A2736" s="2">
        <v>2735.0</v>
      </c>
      <c r="B2736" s="2" t="s">
        <v>2651</v>
      </c>
      <c r="C2736" s="2" t="s">
        <v>5231</v>
      </c>
      <c r="D2736" s="2">
        <v>347.0</v>
      </c>
      <c r="E2736" s="2">
        <v>1.0</v>
      </c>
      <c r="F2736" s="2">
        <v>75.0</v>
      </c>
      <c r="G2736" s="2">
        <v>125100.0</v>
      </c>
    </row>
    <row r="2737" ht="14.25" customHeight="1">
      <c r="A2737" s="2">
        <v>2736.0</v>
      </c>
      <c r="B2737" s="2" t="s">
        <v>2518</v>
      </c>
      <c r="C2737" s="2" t="s">
        <v>5232</v>
      </c>
      <c r="D2737" s="2">
        <v>161.0</v>
      </c>
      <c r="E2737" s="2">
        <v>1.0</v>
      </c>
      <c r="F2737" s="2">
        <v>150.0</v>
      </c>
      <c r="G2737" s="2">
        <v>125000.0</v>
      </c>
    </row>
    <row r="2738" ht="14.25" customHeight="1">
      <c r="A2738" s="2">
        <v>2737.0</v>
      </c>
      <c r="B2738" s="2" t="s">
        <v>2561</v>
      </c>
      <c r="C2738" s="2" t="s">
        <v>5233</v>
      </c>
      <c r="D2738" s="2">
        <v>162.0</v>
      </c>
      <c r="E2738" s="2">
        <v>1.0</v>
      </c>
      <c r="F2738" s="2">
        <v>90.0</v>
      </c>
      <c r="G2738" s="2">
        <v>125000.0</v>
      </c>
    </row>
    <row r="2739" ht="14.25" customHeight="1">
      <c r="A2739" s="2">
        <v>2738.0</v>
      </c>
      <c r="B2739" s="2" t="s">
        <v>2582</v>
      </c>
      <c r="C2739" s="2" t="s">
        <v>5234</v>
      </c>
      <c r="D2739" s="2">
        <v>183.0</v>
      </c>
      <c r="E2739" s="2">
        <v>1.0</v>
      </c>
      <c r="F2739" s="2">
        <v>85.0</v>
      </c>
      <c r="G2739" s="2">
        <v>125000.0</v>
      </c>
    </row>
    <row r="2740" ht="14.25" customHeight="1">
      <c r="A2740" s="2">
        <v>2739.0</v>
      </c>
      <c r="B2740" s="2" t="s">
        <v>2594</v>
      </c>
      <c r="C2740" s="2" t="s">
        <v>5235</v>
      </c>
      <c r="D2740" s="2">
        <v>184.0</v>
      </c>
      <c r="E2740" s="2">
        <v>1.0</v>
      </c>
      <c r="F2740" s="2">
        <v>75.0</v>
      </c>
      <c r="G2740" s="2">
        <v>125000.0</v>
      </c>
    </row>
    <row r="2741" ht="14.25" customHeight="1">
      <c r="A2741" s="2">
        <v>2740.0</v>
      </c>
      <c r="B2741" s="2" t="s">
        <v>2576</v>
      </c>
      <c r="C2741" s="2" t="s">
        <v>5236</v>
      </c>
      <c r="D2741" s="2">
        <v>197.0</v>
      </c>
      <c r="E2741" s="2">
        <v>1.0</v>
      </c>
      <c r="F2741" s="2">
        <v>132.0</v>
      </c>
      <c r="G2741" s="2">
        <v>125000.0</v>
      </c>
    </row>
    <row r="2742" ht="14.25" customHeight="1">
      <c r="A2742" s="2">
        <v>2741.0</v>
      </c>
      <c r="B2742" s="2" t="s">
        <v>2945</v>
      </c>
      <c r="C2742" s="2" t="s">
        <v>5237</v>
      </c>
      <c r="D2742" s="2">
        <v>619.0</v>
      </c>
      <c r="E2742" s="2">
        <v>1.0</v>
      </c>
      <c r="F2742" s="2">
        <v>70.0</v>
      </c>
      <c r="G2742" s="2">
        <v>125000.0</v>
      </c>
    </row>
    <row r="2743" ht="14.25" customHeight="1">
      <c r="A2743" s="2">
        <v>2742.0</v>
      </c>
      <c r="B2743" s="2" t="s">
        <v>2512</v>
      </c>
      <c r="C2743" s="2" t="s">
        <v>5238</v>
      </c>
      <c r="D2743" s="2">
        <v>153.0</v>
      </c>
      <c r="E2743" s="2">
        <v>1.0</v>
      </c>
      <c r="F2743" s="2">
        <v>100.0</v>
      </c>
      <c r="G2743" s="2">
        <v>124900.0</v>
      </c>
    </row>
    <row r="2744" ht="14.25" customHeight="1">
      <c r="A2744" s="2">
        <v>2743.0</v>
      </c>
      <c r="B2744" s="2" t="s">
        <v>2518</v>
      </c>
      <c r="C2744" s="2" t="s">
        <v>5239</v>
      </c>
      <c r="D2744" s="2">
        <v>161.0</v>
      </c>
      <c r="E2744" s="2">
        <v>1.0</v>
      </c>
      <c r="F2744" s="2">
        <v>75.0</v>
      </c>
      <c r="G2744" s="2">
        <v>124900.0</v>
      </c>
    </row>
    <row r="2745" ht="14.25" customHeight="1">
      <c r="A2745" s="2">
        <v>2744.0</v>
      </c>
      <c r="B2745" s="2" t="s">
        <v>2497</v>
      </c>
      <c r="C2745" s="2" t="s">
        <v>5240</v>
      </c>
      <c r="D2745" s="2">
        <v>151.0</v>
      </c>
      <c r="E2745" s="2">
        <v>1.0</v>
      </c>
      <c r="F2745" s="2">
        <v>100.0</v>
      </c>
      <c r="G2745" s="2">
        <v>124800.0</v>
      </c>
    </row>
    <row r="2746" ht="14.25" customHeight="1">
      <c r="A2746" s="2">
        <v>2745.0</v>
      </c>
      <c r="B2746" s="2" t="s">
        <v>2479</v>
      </c>
      <c r="C2746" s="2" t="s">
        <v>5241</v>
      </c>
      <c r="D2746" s="2">
        <v>182.0</v>
      </c>
      <c r="E2746" s="2">
        <v>1.0</v>
      </c>
      <c r="F2746" s="2">
        <v>50.0</v>
      </c>
      <c r="G2746" s="2">
        <v>124800.0</v>
      </c>
    </row>
    <row r="2747" ht="14.25" customHeight="1">
      <c r="A2747" s="2">
        <v>2746.0</v>
      </c>
      <c r="B2747" s="2" t="s">
        <v>2524</v>
      </c>
      <c r="C2747" s="2" t="s">
        <v>5242</v>
      </c>
      <c r="D2747" s="2">
        <v>331.0</v>
      </c>
      <c r="E2747" s="2">
        <v>1.0</v>
      </c>
      <c r="F2747" s="2">
        <v>50.0</v>
      </c>
      <c r="G2747" s="2">
        <v>124800.0</v>
      </c>
    </row>
    <row r="2748" ht="14.25" customHeight="1">
      <c r="A2748" s="2">
        <v>2747.0</v>
      </c>
      <c r="B2748" s="2" t="s">
        <v>2621</v>
      </c>
      <c r="C2748" s="2" t="s">
        <v>5243</v>
      </c>
      <c r="D2748" s="2">
        <v>403.0</v>
      </c>
      <c r="E2748" s="2">
        <v>1.0</v>
      </c>
      <c r="F2748" s="2">
        <v>66.0</v>
      </c>
      <c r="G2748" s="2">
        <v>124800.0</v>
      </c>
    </row>
    <row r="2749" ht="14.25" customHeight="1">
      <c r="A2749" s="2">
        <v>2748.0</v>
      </c>
      <c r="B2749" s="2" t="s">
        <v>2503</v>
      </c>
      <c r="C2749" s="2" t="s">
        <v>5244</v>
      </c>
      <c r="D2749" s="2">
        <v>105.0</v>
      </c>
      <c r="E2749" s="2">
        <v>1.0</v>
      </c>
      <c r="F2749" s="2">
        <v>75.0</v>
      </c>
      <c r="G2749" s="2">
        <v>124700.0</v>
      </c>
    </row>
    <row r="2750" ht="14.25" customHeight="1">
      <c r="A2750" s="2">
        <v>2749.0</v>
      </c>
      <c r="B2750" s="2" t="s">
        <v>2497</v>
      </c>
      <c r="C2750" s="2" t="s">
        <v>5245</v>
      </c>
      <c r="D2750" s="2">
        <v>151.0</v>
      </c>
      <c r="E2750" s="2">
        <v>1.0</v>
      </c>
      <c r="F2750" s="2">
        <v>88.0</v>
      </c>
      <c r="G2750" s="2">
        <v>124700.0</v>
      </c>
    </row>
    <row r="2751" ht="14.25" customHeight="1">
      <c r="A2751" s="2">
        <v>2750.0</v>
      </c>
      <c r="B2751" s="2" t="s">
        <v>2571</v>
      </c>
      <c r="C2751" s="2" t="s">
        <v>5246</v>
      </c>
      <c r="D2751" s="2">
        <v>185.0</v>
      </c>
      <c r="E2751" s="2">
        <v>1.0</v>
      </c>
      <c r="F2751" s="2">
        <v>100.0</v>
      </c>
      <c r="G2751" s="2">
        <v>124700.0</v>
      </c>
    </row>
    <row r="2752" ht="14.25" customHeight="1">
      <c r="A2752" s="2">
        <v>2751.0</v>
      </c>
      <c r="B2752" s="2" t="s">
        <v>2503</v>
      </c>
      <c r="C2752" s="2" t="s">
        <v>5247</v>
      </c>
      <c r="D2752" s="2">
        <v>105.0</v>
      </c>
      <c r="E2752" s="2">
        <v>1.0</v>
      </c>
      <c r="F2752" s="2">
        <v>50.0</v>
      </c>
      <c r="G2752" s="2">
        <v>124600.0</v>
      </c>
    </row>
    <row r="2753" ht="14.25" customHeight="1">
      <c r="A2753" s="2">
        <v>2752.0</v>
      </c>
      <c r="B2753" s="2" t="s">
        <v>2497</v>
      </c>
      <c r="C2753" s="2" t="s">
        <v>5248</v>
      </c>
      <c r="D2753" s="2">
        <v>151.0</v>
      </c>
      <c r="E2753" s="2">
        <v>1.0</v>
      </c>
      <c r="F2753" s="2">
        <v>100.0</v>
      </c>
      <c r="G2753" s="2">
        <v>124600.0</v>
      </c>
    </row>
    <row r="2754" ht="14.25" customHeight="1">
      <c r="A2754" s="2">
        <v>2753.0</v>
      </c>
      <c r="B2754" s="2" t="s">
        <v>2582</v>
      </c>
      <c r="C2754" s="2" t="s">
        <v>5249</v>
      </c>
      <c r="D2754" s="2">
        <v>183.0</v>
      </c>
      <c r="E2754" s="2">
        <v>1.0</v>
      </c>
      <c r="F2754" s="2">
        <v>50.0</v>
      </c>
      <c r="G2754" s="2">
        <v>124600.0</v>
      </c>
    </row>
    <row r="2755" ht="14.25" customHeight="1">
      <c r="A2755" s="2">
        <v>2754.0</v>
      </c>
      <c r="B2755" s="2" t="s">
        <v>2571</v>
      </c>
      <c r="C2755" s="2" t="s">
        <v>5250</v>
      </c>
      <c r="D2755" s="2">
        <v>185.0</v>
      </c>
      <c r="E2755" s="2">
        <v>1.0</v>
      </c>
      <c r="F2755" s="2">
        <v>100.0</v>
      </c>
      <c r="G2755" s="2">
        <v>124600.0</v>
      </c>
    </row>
    <row r="2756" ht="14.25" customHeight="1">
      <c r="A2756" s="2">
        <v>2755.0</v>
      </c>
      <c r="B2756" s="2" t="s">
        <v>2505</v>
      </c>
      <c r="C2756" s="2" t="s">
        <v>5251</v>
      </c>
      <c r="D2756" s="2">
        <v>429.0</v>
      </c>
      <c r="E2756" s="2">
        <v>1.0</v>
      </c>
      <c r="F2756" s="2">
        <v>80.0</v>
      </c>
      <c r="G2756" s="2">
        <v>124600.0</v>
      </c>
    </row>
    <row r="2757" ht="14.25" customHeight="1">
      <c r="A2757" s="2">
        <v>2756.0</v>
      </c>
      <c r="B2757" s="2" t="s">
        <v>2686</v>
      </c>
      <c r="C2757" s="2" t="s">
        <v>5252</v>
      </c>
      <c r="D2757" s="2">
        <v>127.0</v>
      </c>
      <c r="E2757" s="2">
        <v>1.0</v>
      </c>
      <c r="F2757" s="2">
        <v>75.0</v>
      </c>
      <c r="G2757" s="2">
        <v>124500.0</v>
      </c>
    </row>
    <row r="2758" ht="14.25" customHeight="1">
      <c r="A2758" s="2">
        <v>2757.0</v>
      </c>
      <c r="B2758" s="2" t="s">
        <v>2686</v>
      </c>
      <c r="C2758" s="2" t="s">
        <v>5253</v>
      </c>
      <c r="D2758" s="2">
        <v>127.0</v>
      </c>
      <c r="E2758" s="2">
        <v>1.0</v>
      </c>
      <c r="F2758" s="2">
        <v>100.0</v>
      </c>
      <c r="G2758" s="2">
        <v>124500.0</v>
      </c>
    </row>
    <row r="2759" ht="14.25" customHeight="1">
      <c r="A2759" s="2">
        <v>2758.0</v>
      </c>
      <c r="B2759" s="2" t="s">
        <v>2636</v>
      </c>
      <c r="C2759" s="2" t="s">
        <v>5254</v>
      </c>
      <c r="D2759" s="2">
        <v>145.0</v>
      </c>
      <c r="E2759" s="2">
        <v>1.0</v>
      </c>
      <c r="F2759" s="2">
        <v>70.0</v>
      </c>
      <c r="G2759" s="2">
        <v>124500.0</v>
      </c>
    </row>
    <row r="2760" ht="14.25" customHeight="1">
      <c r="A2760" s="2">
        <v>2759.0</v>
      </c>
      <c r="B2760" s="2" t="s">
        <v>2477</v>
      </c>
      <c r="C2760" s="2" t="s">
        <v>5255</v>
      </c>
      <c r="D2760" s="2">
        <v>152.0</v>
      </c>
      <c r="E2760" s="2">
        <v>1.0</v>
      </c>
      <c r="F2760" s="2">
        <v>100.0</v>
      </c>
      <c r="G2760" s="2">
        <v>124500.0</v>
      </c>
    </row>
    <row r="2761" ht="14.25" customHeight="1">
      <c r="A2761" s="2">
        <v>2760.0</v>
      </c>
      <c r="B2761" s="2" t="s">
        <v>2604</v>
      </c>
      <c r="C2761" s="2" t="s">
        <v>3813</v>
      </c>
      <c r="D2761" s="2">
        <v>200.0</v>
      </c>
      <c r="E2761" s="2">
        <v>1.0</v>
      </c>
      <c r="F2761" s="2">
        <v>75.0</v>
      </c>
      <c r="G2761" s="2">
        <v>124500.0</v>
      </c>
    </row>
    <row r="2762" ht="14.25" customHeight="1">
      <c r="A2762" s="2">
        <v>2761.0</v>
      </c>
      <c r="B2762" s="2" t="s">
        <v>2651</v>
      </c>
      <c r="C2762" s="2" t="s">
        <v>5256</v>
      </c>
      <c r="D2762" s="2">
        <v>347.0</v>
      </c>
      <c r="E2762" s="2">
        <v>1.0</v>
      </c>
      <c r="F2762" s="2">
        <v>60.0</v>
      </c>
      <c r="G2762" s="2">
        <v>124400.0</v>
      </c>
    </row>
    <row r="2763" ht="14.25" customHeight="1">
      <c r="A2763" s="2">
        <v>2762.0</v>
      </c>
      <c r="B2763" s="2" t="s">
        <v>2621</v>
      </c>
      <c r="C2763" s="2" t="s">
        <v>5257</v>
      </c>
      <c r="D2763" s="2">
        <v>403.0</v>
      </c>
      <c r="E2763" s="2">
        <v>1.0</v>
      </c>
      <c r="F2763" s="2">
        <v>75.0</v>
      </c>
      <c r="G2763" s="2">
        <v>124400.0</v>
      </c>
    </row>
    <row r="2764" ht="14.25" customHeight="1">
      <c r="A2764" s="2">
        <v>2763.0</v>
      </c>
      <c r="B2764" s="2" t="s">
        <v>2505</v>
      </c>
      <c r="C2764" s="2" t="s">
        <v>5258</v>
      </c>
      <c r="D2764" s="2">
        <v>429.0</v>
      </c>
      <c r="E2764" s="2">
        <v>1.0</v>
      </c>
      <c r="F2764" s="2">
        <v>100.0</v>
      </c>
      <c r="G2764" s="2">
        <v>124400.0</v>
      </c>
    </row>
    <row r="2765" ht="14.25" customHeight="1">
      <c r="A2765" s="2">
        <v>2764.0</v>
      </c>
      <c r="B2765" s="2" t="s">
        <v>2576</v>
      </c>
      <c r="C2765" s="2" t="s">
        <v>5259</v>
      </c>
      <c r="D2765" s="2">
        <v>197.0</v>
      </c>
      <c r="E2765" s="2">
        <v>1.0</v>
      </c>
      <c r="F2765" s="2">
        <v>150.0</v>
      </c>
      <c r="G2765" s="2">
        <v>124300.0</v>
      </c>
    </row>
    <row r="2766" ht="14.25" customHeight="1">
      <c r="A2766" s="2">
        <v>2765.0</v>
      </c>
      <c r="B2766" s="2" t="s">
        <v>2488</v>
      </c>
      <c r="C2766" s="2" t="s">
        <v>5260</v>
      </c>
      <c r="D2766" s="2">
        <v>333.0</v>
      </c>
      <c r="E2766" s="2">
        <v>1.0</v>
      </c>
      <c r="F2766" s="2">
        <v>75.0</v>
      </c>
      <c r="G2766" s="2">
        <v>124300.0</v>
      </c>
    </row>
    <row r="2767" ht="14.25" customHeight="1">
      <c r="A2767" s="2">
        <v>2766.0</v>
      </c>
      <c r="B2767" s="2" t="s">
        <v>2501</v>
      </c>
      <c r="C2767" s="2" t="s">
        <v>5261</v>
      </c>
      <c r="D2767" s="2">
        <v>199.0</v>
      </c>
      <c r="E2767" s="2">
        <v>1.0</v>
      </c>
      <c r="F2767" s="2">
        <v>75.0</v>
      </c>
      <c r="G2767" s="2">
        <v>124200.0</v>
      </c>
    </row>
    <row r="2768" ht="14.25" customHeight="1">
      <c r="A2768" s="2">
        <v>2767.0</v>
      </c>
      <c r="B2768" s="2" t="s">
        <v>2744</v>
      </c>
      <c r="C2768" s="2" t="s">
        <v>5262</v>
      </c>
      <c r="D2768" s="2">
        <v>169.0</v>
      </c>
      <c r="E2768" s="2">
        <v>1.0</v>
      </c>
      <c r="F2768" s="2">
        <v>50.0</v>
      </c>
      <c r="G2768" s="2">
        <v>124100.0</v>
      </c>
    </row>
    <row r="2769" ht="14.25" customHeight="1">
      <c r="A2769" s="2">
        <v>2768.0</v>
      </c>
      <c r="B2769" s="2" t="s">
        <v>2651</v>
      </c>
      <c r="C2769" s="2" t="s">
        <v>5263</v>
      </c>
      <c r="D2769" s="2">
        <v>347.0</v>
      </c>
      <c r="E2769" s="2">
        <v>1.0</v>
      </c>
      <c r="F2769" s="2">
        <v>55.0</v>
      </c>
      <c r="G2769" s="2">
        <v>124100.0</v>
      </c>
    </row>
    <row r="2770" ht="14.25" customHeight="1">
      <c r="A2770" s="2">
        <v>2769.0</v>
      </c>
      <c r="B2770" s="2" t="s">
        <v>2505</v>
      </c>
      <c r="C2770" s="2" t="s">
        <v>5264</v>
      </c>
      <c r="D2770" s="2">
        <v>429.0</v>
      </c>
      <c r="E2770" s="2">
        <v>1.0</v>
      </c>
      <c r="F2770" s="2">
        <v>65.0</v>
      </c>
      <c r="G2770" s="2">
        <v>124100.0</v>
      </c>
    </row>
    <row r="2771" ht="14.25" customHeight="1">
      <c r="A2771" s="2">
        <v>2770.0</v>
      </c>
      <c r="B2771" s="2" t="s">
        <v>2549</v>
      </c>
      <c r="C2771" s="2" t="s">
        <v>5265</v>
      </c>
      <c r="D2771" s="2">
        <v>115.0</v>
      </c>
      <c r="E2771" s="2">
        <v>1.0</v>
      </c>
      <c r="F2771" s="2">
        <v>50.0</v>
      </c>
      <c r="G2771" s="2">
        <v>124000.0</v>
      </c>
    </row>
    <row r="2772" ht="14.25" customHeight="1">
      <c r="A2772" s="2">
        <v>2771.0</v>
      </c>
      <c r="B2772" s="2" t="s">
        <v>2636</v>
      </c>
      <c r="C2772" s="2" t="s">
        <v>5266</v>
      </c>
      <c r="D2772" s="2">
        <v>145.0</v>
      </c>
      <c r="E2772" s="2">
        <v>1.0</v>
      </c>
      <c r="F2772" s="2">
        <v>75.0</v>
      </c>
      <c r="G2772" s="2">
        <v>124000.0</v>
      </c>
    </row>
    <row r="2773" ht="14.25" customHeight="1">
      <c r="A2773" s="2">
        <v>2772.0</v>
      </c>
      <c r="B2773" s="2" t="s">
        <v>2479</v>
      </c>
      <c r="C2773" s="2" t="s">
        <v>5267</v>
      </c>
      <c r="D2773" s="2">
        <v>182.0</v>
      </c>
      <c r="E2773" s="2">
        <v>1.0</v>
      </c>
      <c r="F2773" s="2">
        <v>50.0</v>
      </c>
      <c r="G2773" s="2">
        <v>124000.0</v>
      </c>
    </row>
    <row r="2774" ht="14.25" customHeight="1">
      <c r="A2774" s="2">
        <v>2773.0</v>
      </c>
      <c r="B2774" s="2" t="s">
        <v>2604</v>
      </c>
      <c r="C2774" s="2" t="s">
        <v>5268</v>
      </c>
      <c r="D2774" s="2">
        <v>200.0</v>
      </c>
      <c r="E2774" s="2">
        <v>1.0</v>
      </c>
      <c r="F2774" s="2">
        <v>75.0</v>
      </c>
      <c r="G2774" s="2">
        <v>124000.0</v>
      </c>
    </row>
    <row r="2775" ht="14.25" customHeight="1">
      <c r="A2775" s="2">
        <v>2774.0</v>
      </c>
      <c r="B2775" s="2" t="s">
        <v>2582</v>
      </c>
      <c r="C2775" s="2" t="s">
        <v>5269</v>
      </c>
      <c r="D2775" s="2">
        <v>183.0</v>
      </c>
      <c r="E2775" s="2">
        <v>1.0</v>
      </c>
      <c r="F2775" s="2">
        <v>75.0</v>
      </c>
      <c r="G2775" s="2">
        <v>123900.0</v>
      </c>
    </row>
    <row r="2776" ht="14.25" customHeight="1">
      <c r="A2776" s="2">
        <v>2775.0</v>
      </c>
      <c r="B2776" s="2" t="s">
        <v>2534</v>
      </c>
      <c r="C2776" s="2" t="s">
        <v>5270</v>
      </c>
      <c r="D2776" s="2">
        <v>188.0</v>
      </c>
      <c r="E2776" s="2">
        <v>1.0</v>
      </c>
      <c r="F2776" s="2">
        <v>75.0</v>
      </c>
      <c r="G2776" s="2">
        <v>123900.0</v>
      </c>
    </row>
    <row r="2777" ht="14.25" customHeight="1">
      <c r="A2777" s="2">
        <v>2776.0</v>
      </c>
      <c r="B2777" s="2" t="s">
        <v>2503</v>
      </c>
      <c r="C2777" s="2" t="s">
        <v>5271</v>
      </c>
      <c r="D2777" s="2">
        <v>105.0</v>
      </c>
      <c r="E2777" s="2">
        <v>1.0</v>
      </c>
      <c r="F2777" s="2">
        <v>66.0</v>
      </c>
      <c r="G2777" s="2">
        <v>123800.0</v>
      </c>
    </row>
    <row r="2778" ht="14.25" customHeight="1">
      <c r="A2778" s="2">
        <v>2777.0</v>
      </c>
      <c r="B2778" s="2" t="s">
        <v>2518</v>
      </c>
      <c r="C2778" s="2" t="s">
        <v>5272</v>
      </c>
      <c r="D2778" s="2">
        <v>161.0</v>
      </c>
      <c r="E2778" s="2">
        <v>1.0</v>
      </c>
      <c r="F2778" s="2">
        <v>100.0</v>
      </c>
      <c r="G2778" s="2">
        <v>123800.0</v>
      </c>
    </row>
    <row r="2779" ht="14.25" customHeight="1">
      <c r="A2779" s="2">
        <v>2778.0</v>
      </c>
      <c r="B2779" s="2" t="s">
        <v>2479</v>
      </c>
      <c r="C2779" s="2" t="s">
        <v>5273</v>
      </c>
      <c r="D2779" s="2">
        <v>182.0</v>
      </c>
      <c r="E2779" s="2">
        <v>1.0</v>
      </c>
      <c r="F2779" s="2">
        <v>50.0</v>
      </c>
      <c r="G2779" s="2">
        <v>123800.0</v>
      </c>
    </row>
    <row r="2780" ht="14.25" customHeight="1">
      <c r="A2780" s="2">
        <v>2779.0</v>
      </c>
      <c r="B2780" s="2" t="s">
        <v>2744</v>
      </c>
      <c r="C2780" s="2" t="s">
        <v>5274</v>
      </c>
      <c r="D2780" s="2">
        <v>169.0</v>
      </c>
      <c r="E2780" s="2">
        <v>1.0</v>
      </c>
      <c r="F2780" s="2">
        <v>50.0</v>
      </c>
      <c r="G2780" s="2">
        <v>123700.0</v>
      </c>
    </row>
    <row r="2781" ht="14.25" customHeight="1">
      <c r="A2781" s="2">
        <v>2780.0</v>
      </c>
      <c r="B2781" s="2" t="s">
        <v>2553</v>
      </c>
      <c r="C2781" s="2" t="s">
        <v>5275</v>
      </c>
      <c r="D2781" s="2">
        <v>187.0</v>
      </c>
      <c r="E2781" s="2">
        <v>1.0</v>
      </c>
      <c r="F2781" s="2">
        <v>50.0</v>
      </c>
      <c r="G2781" s="2">
        <v>123700.0</v>
      </c>
    </row>
    <row r="2782" ht="14.25" customHeight="1">
      <c r="A2782" s="2">
        <v>2781.0</v>
      </c>
      <c r="B2782" s="2" t="s">
        <v>2604</v>
      </c>
      <c r="C2782" s="2" t="s">
        <v>5276</v>
      </c>
      <c r="D2782" s="2">
        <v>200.0</v>
      </c>
      <c r="E2782" s="2">
        <v>1.0</v>
      </c>
      <c r="F2782" s="2">
        <v>100.0</v>
      </c>
      <c r="G2782" s="2">
        <v>123700.0</v>
      </c>
    </row>
    <row r="2783" ht="14.25" customHeight="1">
      <c r="A2783" s="2">
        <v>2782.0</v>
      </c>
      <c r="B2783" s="2" t="s">
        <v>2503</v>
      </c>
      <c r="C2783" s="2" t="s">
        <v>5277</v>
      </c>
      <c r="D2783" s="2">
        <v>105.0</v>
      </c>
      <c r="E2783" s="2">
        <v>1.0</v>
      </c>
      <c r="F2783" s="2">
        <v>75.0</v>
      </c>
      <c r="G2783" s="2">
        <v>123600.0</v>
      </c>
    </row>
    <row r="2784" ht="14.25" customHeight="1">
      <c r="A2784" s="2">
        <v>2783.0</v>
      </c>
      <c r="B2784" s="2" t="s">
        <v>2479</v>
      </c>
      <c r="C2784" s="2" t="s">
        <v>5278</v>
      </c>
      <c r="D2784" s="2">
        <v>182.0</v>
      </c>
      <c r="E2784" s="2">
        <v>1.0</v>
      </c>
      <c r="F2784" s="2">
        <v>50.0</v>
      </c>
      <c r="G2784" s="2">
        <v>123600.0</v>
      </c>
    </row>
    <row r="2785" ht="14.25" customHeight="1">
      <c r="A2785" s="2">
        <v>2784.0</v>
      </c>
      <c r="B2785" s="2" t="s">
        <v>2534</v>
      </c>
      <c r="C2785" s="2" t="s">
        <v>5279</v>
      </c>
      <c r="D2785" s="2">
        <v>188.0</v>
      </c>
      <c r="E2785" s="2">
        <v>1.0</v>
      </c>
      <c r="F2785" s="2">
        <v>150.0</v>
      </c>
      <c r="G2785" s="2">
        <v>123600.0</v>
      </c>
    </row>
    <row r="2786" ht="14.25" customHeight="1">
      <c r="A2786" s="2">
        <v>2785.0</v>
      </c>
      <c r="B2786" s="2" t="s">
        <v>2507</v>
      </c>
      <c r="C2786" s="2" t="s">
        <v>5280</v>
      </c>
      <c r="D2786" s="2">
        <v>205.0</v>
      </c>
      <c r="E2786" s="2">
        <v>1.0</v>
      </c>
      <c r="F2786" s="2">
        <v>75.0</v>
      </c>
      <c r="G2786" s="2">
        <v>123600.0</v>
      </c>
    </row>
    <row r="2787" ht="14.25" customHeight="1">
      <c r="A2787" s="2">
        <v>2786.0</v>
      </c>
      <c r="B2787" s="2" t="s">
        <v>2518</v>
      </c>
      <c r="C2787" s="2" t="s">
        <v>5281</v>
      </c>
      <c r="D2787" s="2">
        <v>161.0</v>
      </c>
      <c r="E2787" s="2">
        <v>1.0</v>
      </c>
      <c r="F2787" s="2">
        <v>100.0</v>
      </c>
      <c r="G2787" s="2">
        <v>123500.0</v>
      </c>
    </row>
    <row r="2788" ht="14.25" customHeight="1">
      <c r="A2788" s="2">
        <v>2787.0</v>
      </c>
      <c r="B2788" s="2" t="s">
        <v>2479</v>
      </c>
      <c r="C2788" s="2" t="s">
        <v>5282</v>
      </c>
      <c r="D2788" s="2">
        <v>182.0</v>
      </c>
      <c r="E2788" s="2">
        <v>1.0</v>
      </c>
      <c r="F2788" s="2">
        <v>100.0</v>
      </c>
      <c r="G2788" s="2">
        <v>123500.0</v>
      </c>
    </row>
    <row r="2789" ht="14.25" customHeight="1">
      <c r="A2789" s="2">
        <v>2788.0</v>
      </c>
      <c r="B2789" s="2" t="s">
        <v>2576</v>
      </c>
      <c r="C2789" s="2" t="s">
        <v>5283</v>
      </c>
      <c r="D2789" s="2">
        <v>197.0</v>
      </c>
      <c r="E2789" s="2">
        <v>1.0</v>
      </c>
      <c r="F2789" s="2">
        <v>150.0</v>
      </c>
      <c r="G2789" s="2">
        <v>123500.0</v>
      </c>
    </row>
    <row r="2790" ht="14.25" customHeight="1">
      <c r="A2790" s="2">
        <v>2789.0</v>
      </c>
      <c r="B2790" s="2" t="s">
        <v>2604</v>
      </c>
      <c r="C2790" s="2" t="s">
        <v>4992</v>
      </c>
      <c r="D2790" s="2">
        <v>200.0</v>
      </c>
      <c r="E2790" s="2">
        <v>1.0</v>
      </c>
      <c r="F2790" s="2">
        <v>50.0</v>
      </c>
      <c r="G2790" s="2">
        <v>123500.0</v>
      </c>
    </row>
    <row r="2791" ht="14.25" customHeight="1">
      <c r="A2791" s="2">
        <v>2790.0</v>
      </c>
      <c r="B2791" s="2" t="s">
        <v>2507</v>
      </c>
      <c r="C2791" s="2" t="s">
        <v>5284</v>
      </c>
      <c r="D2791" s="2">
        <v>205.0</v>
      </c>
      <c r="E2791" s="2">
        <v>1.0</v>
      </c>
      <c r="F2791" s="2">
        <v>100.0</v>
      </c>
      <c r="G2791" s="2">
        <v>123500.0</v>
      </c>
    </row>
    <row r="2792" ht="14.25" customHeight="1">
      <c r="A2792" s="2">
        <v>2791.0</v>
      </c>
      <c r="B2792" s="2" t="s">
        <v>2488</v>
      </c>
      <c r="C2792" s="2" t="s">
        <v>5285</v>
      </c>
      <c r="D2792" s="2">
        <v>333.0</v>
      </c>
      <c r="E2792" s="2">
        <v>1.0</v>
      </c>
      <c r="F2792" s="2">
        <v>75.0</v>
      </c>
      <c r="G2792" s="2">
        <v>123500.0</v>
      </c>
    </row>
    <row r="2793" ht="14.25" customHeight="1">
      <c r="A2793" s="2">
        <v>2792.0</v>
      </c>
      <c r="B2793" s="2" t="s">
        <v>2651</v>
      </c>
      <c r="C2793" s="2" t="s">
        <v>5286</v>
      </c>
      <c r="D2793" s="2">
        <v>347.0</v>
      </c>
      <c r="E2793" s="2">
        <v>1.0</v>
      </c>
      <c r="F2793" s="2">
        <v>60.0</v>
      </c>
      <c r="G2793" s="2">
        <v>123500.0</v>
      </c>
    </row>
    <row r="2794" ht="14.25" customHeight="1">
      <c r="A2794" s="2">
        <v>2793.0</v>
      </c>
      <c r="B2794" s="2" t="s">
        <v>2505</v>
      </c>
      <c r="C2794" s="2" t="s">
        <v>5287</v>
      </c>
      <c r="D2794" s="2">
        <v>429.0</v>
      </c>
      <c r="E2794" s="2">
        <v>1.0</v>
      </c>
      <c r="F2794" s="2">
        <v>75.0</v>
      </c>
      <c r="G2794" s="2">
        <v>123500.0</v>
      </c>
    </row>
    <row r="2795" ht="14.25" customHeight="1">
      <c r="A2795" s="2">
        <v>2794.0</v>
      </c>
      <c r="B2795" s="2" t="s">
        <v>2582</v>
      </c>
      <c r="C2795" s="2" t="s">
        <v>5288</v>
      </c>
      <c r="D2795" s="2">
        <v>183.0</v>
      </c>
      <c r="E2795" s="2">
        <v>1.0</v>
      </c>
      <c r="F2795" s="2">
        <v>80.0</v>
      </c>
      <c r="G2795" s="2">
        <v>123400.0</v>
      </c>
    </row>
    <row r="2796" ht="14.25" customHeight="1">
      <c r="A2796" s="2">
        <v>2795.0</v>
      </c>
      <c r="B2796" s="2" t="s">
        <v>2507</v>
      </c>
      <c r="C2796" s="2" t="s">
        <v>5289</v>
      </c>
      <c r="D2796" s="2">
        <v>205.0</v>
      </c>
      <c r="E2796" s="2">
        <v>1.0</v>
      </c>
      <c r="F2796" s="2">
        <v>100.0</v>
      </c>
      <c r="G2796" s="2">
        <v>123400.0</v>
      </c>
    </row>
    <row r="2797" ht="14.25" customHeight="1">
      <c r="A2797" s="2">
        <v>2796.0</v>
      </c>
      <c r="B2797" s="2" t="s">
        <v>2503</v>
      </c>
      <c r="C2797" s="2" t="s">
        <v>5290</v>
      </c>
      <c r="D2797" s="2">
        <v>105.0</v>
      </c>
      <c r="E2797" s="2">
        <v>1.0</v>
      </c>
      <c r="F2797" s="2">
        <v>100.0</v>
      </c>
      <c r="G2797" s="2">
        <v>123300.0</v>
      </c>
    </row>
    <row r="2798" ht="14.25" customHeight="1">
      <c r="A2798" s="2">
        <v>2797.0</v>
      </c>
      <c r="B2798" s="2" t="s">
        <v>2549</v>
      </c>
      <c r="C2798" s="2" t="s">
        <v>5291</v>
      </c>
      <c r="D2798" s="2">
        <v>115.0</v>
      </c>
      <c r="E2798" s="2">
        <v>1.0</v>
      </c>
      <c r="F2798" s="2">
        <v>100.0</v>
      </c>
      <c r="G2798" s="2">
        <v>123300.0</v>
      </c>
    </row>
    <row r="2799" ht="14.25" customHeight="1">
      <c r="A2799" s="2">
        <v>2798.0</v>
      </c>
      <c r="B2799" s="2" t="s">
        <v>2686</v>
      </c>
      <c r="C2799" s="2" t="s">
        <v>5292</v>
      </c>
      <c r="D2799" s="2">
        <v>127.0</v>
      </c>
      <c r="E2799" s="2">
        <v>1.0</v>
      </c>
      <c r="F2799" s="2">
        <v>105.0</v>
      </c>
      <c r="G2799" s="2">
        <v>123300.0</v>
      </c>
    </row>
    <row r="2800" ht="14.25" customHeight="1">
      <c r="A2800" s="2">
        <v>2799.0</v>
      </c>
      <c r="B2800" s="2" t="s">
        <v>2512</v>
      </c>
      <c r="C2800" s="2" t="s">
        <v>5293</v>
      </c>
      <c r="D2800" s="2">
        <v>153.0</v>
      </c>
      <c r="E2800" s="2">
        <v>1.0</v>
      </c>
      <c r="F2800" s="2">
        <v>75.0</v>
      </c>
      <c r="G2800" s="2">
        <v>123300.0</v>
      </c>
    </row>
    <row r="2801" ht="14.25" customHeight="1">
      <c r="A2801" s="2">
        <v>2800.0</v>
      </c>
      <c r="B2801" s="2" t="s">
        <v>2479</v>
      </c>
      <c r="C2801" s="2" t="s">
        <v>5294</v>
      </c>
      <c r="D2801" s="2">
        <v>182.0</v>
      </c>
      <c r="E2801" s="2">
        <v>1.0</v>
      </c>
      <c r="F2801" s="2">
        <v>100.0</v>
      </c>
      <c r="G2801" s="2">
        <v>123300.0</v>
      </c>
    </row>
    <row r="2802" ht="14.25" customHeight="1">
      <c r="A2802" s="2">
        <v>2801.0</v>
      </c>
      <c r="B2802" s="2" t="s">
        <v>2501</v>
      </c>
      <c r="C2802" s="2" t="s">
        <v>5295</v>
      </c>
      <c r="D2802" s="2">
        <v>199.0</v>
      </c>
      <c r="E2802" s="2">
        <v>1.0</v>
      </c>
      <c r="F2802" s="2">
        <v>100.0</v>
      </c>
      <c r="G2802" s="2">
        <v>123300.0</v>
      </c>
    </row>
    <row r="2803" ht="14.25" customHeight="1">
      <c r="A2803" s="2">
        <v>2802.0</v>
      </c>
      <c r="B2803" s="2" t="s">
        <v>2505</v>
      </c>
      <c r="C2803" s="2" t="s">
        <v>5296</v>
      </c>
      <c r="D2803" s="2">
        <v>429.0</v>
      </c>
      <c r="E2803" s="2">
        <v>1.0</v>
      </c>
      <c r="F2803" s="2">
        <v>85.0</v>
      </c>
      <c r="G2803" s="2">
        <v>123300.0</v>
      </c>
    </row>
    <row r="2804" ht="14.25" customHeight="1">
      <c r="A2804" s="2">
        <v>2803.0</v>
      </c>
      <c r="B2804" s="2" t="s">
        <v>2945</v>
      </c>
      <c r="C2804" s="2" t="s">
        <v>5297</v>
      </c>
      <c r="D2804" s="2">
        <v>619.0</v>
      </c>
      <c r="E2804" s="2">
        <v>1.0</v>
      </c>
      <c r="F2804" s="2">
        <v>55.0</v>
      </c>
      <c r="G2804" s="2">
        <v>123300.0</v>
      </c>
    </row>
    <row r="2805" ht="14.25" customHeight="1">
      <c r="A2805" s="2">
        <v>2804.0</v>
      </c>
      <c r="B2805" s="2" t="s">
        <v>2512</v>
      </c>
      <c r="C2805" s="2" t="s">
        <v>5298</v>
      </c>
      <c r="D2805" s="2">
        <v>153.0</v>
      </c>
      <c r="E2805" s="2">
        <v>1.0</v>
      </c>
      <c r="F2805" s="2">
        <v>50.0</v>
      </c>
      <c r="G2805" s="2">
        <v>123200.0</v>
      </c>
    </row>
    <row r="2806" ht="14.25" customHeight="1">
      <c r="A2806" s="2">
        <v>2805.0</v>
      </c>
      <c r="B2806" s="2" t="s">
        <v>2561</v>
      </c>
      <c r="C2806" s="2" t="s">
        <v>5299</v>
      </c>
      <c r="D2806" s="2">
        <v>162.0</v>
      </c>
      <c r="E2806" s="2">
        <v>1.0</v>
      </c>
      <c r="F2806" s="2">
        <v>100.0</v>
      </c>
      <c r="G2806" s="2">
        <v>123200.0</v>
      </c>
    </row>
    <row r="2807" ht="14.25" customHeight="1">
      <c r="A2807" s="2">
        <v>2806.0</v>
      </c>
      <c r="B2807" s="2" t="s">
        <v>2651</v>
      </c>
      <c r="C2807" s="2" t="s">
        <v>5300</v>
      </c>
      <c r="D2807" s="2">
        <v>347.0</v>
      </c>
      <c r="E2807" s="2">
        <v>1.0</v>
      </c>
      <c r="F2807" s="2">
        <v>132.0</v>
      </c>
      <c r="G2807" s="2">
        <v>123200.0</v>
      </c>
    </row>
    <row r="2808" ht="14.25" customHeight="1">
      <c r="A2808" s="2">
        <v>2807.0</v>
      </c>
      <c r="B2808" s="2" t="s">
        <v>2549</v>
      </c>
      <c r="C2808" s="2" t="s">
        <v>5301</v>
      </c>
      <c r="D2808" s="2">
        <v>115.0</v>
      </c>
      <c r="E2808" s="2">
        <v>1.0</v>
      </c>
      <c r="F2808" s="2">
        <v>50.0</v>
      </c>
      <c r="G2808" s="2">
        <v>123100.0</v>
      </c>
    </row>
    <row r="2809" ht="14.25" customHeight="1">
      <c r="A2809" s="2">
        <v>2808.0</v>
      </c>
      <c r="B2809" s="2" t="s">
        <v>2475</v>
      </c>
      <c r="C2809" s="2" t="s">
        <v>5302</v>
      </c>
      <c r="D2809" s="2">
        <v>143.0</v>
      </c>
      <c r="E2809" s="2">
        <v>1.0</v>
      </c>
      <c r="F2809" s="2">
        <v>60.0</v>
      </c>
      <c r="G2809" s="2">
        <v>123000.0</v>
      </c>
    </row>
    <row r="2810" ht="14.25" customHeight="1">
      <c r="A2810" s="2">
        <v>2809.0</v>
      </c>
      <c r="B2810" s="2" t="s">
        <v>2518</v>
      </c>
      <c r="C2810" s="2" t="s">
        <v>5303</v>
      </c>
      <c r="D2810" s="2">
        <v>161.0</v>
      </c>
      <c r="E2810" s="2">
        <v>1.0</v>
      </c>
      <c r="F2810" s="2">
        <v>50.0</v>
      </c>
      <c r="G2810" s="2">
        <v>123000.0</v>
      </c>
    </row>
    <row r="2811" ht="14.25" customHeight="1">
      <c r="A2811" s="2">
        <v>2810.0</v>
      </c>
      <c r="B2811" s="2" t="s">
        <v>2604</v>
      </c>
      <c r="C2811" s="2" t="s">
        <v>5304</v>
      </c>
      <c r="D2811" s="2">
        <v>200.0</v>
      </c>
      <c r="E2811" s="2">
        <v>1.0</v>
      </c>
      <c r="F2811" s="2">
        <v>130.0</v>
      </c>
      <c r="G2811" s="2">
        <v>123000.0</v>
      </c>
    </row>
    <row r="2812" ht="14.25" customHeight="1">
      <c r="A2812" s="2">
        <v>2811.0</v>
      </c>
      <c r="B2812" s="2" t="s">
        <v>2477</v>
      </c>
      <c r="C2812" s="2" t="s">
        <v>5305</v>
      </c>
      <c r="D2812" s="2">
        <v>152.0</v>
      </c>
      <c r="E2812" s="2">
        <v>1.0</v>
      </c>
      <c r="F2812" s="2">
        <v>50.0</v>
      </c>
      <c r="G2812" s="2">
        <v>122900.0</v>
      </c>
    </row>
    <row r="2813" ht="14.25" customHeight="1">
      <c r="A2813" s="2">
        <v>2812.0</v>
      </c>
      <c r="B2813" s="2" t="s">
        <v>2518</v>
      </c>
      <c r="C2813" s="2" t="s">
        <v>5306</v>
      </c>
      <c r="D2813" s="2">
        <v>161.0</v>
      </c>
      <c r="E2813" s="2">
        <v>1.0</v>
      </c>
      <c r="F2813" s="2">
        <v>60.0</v>
      </c>
      <c r="G2813" s="2">
        <v>122900.0</v>
      </c>
    </row>
    <row r="2814" ht="14.25" customHeight="1">
      <c r="A2814" s="2">
        <v>2813.0</v>
      </c>
      <c r="B2814" s="2" t="s">
        <v>2524</v>
      </c>
      <c r="C2814" s="2" t="s">
        <v>5307</v>
      </c>
      <c r="D2814" s="2">
        <v>331.0</v>
      </c>
      <c r="E2814" s="2">
        <v>1.0</v>
      </c>
      <c r="F2814" s="2">
        <v>65.0</v>
      </c>
      <c r="G2814" s="2">
        <v>122900.0</v>
      </c>
    </row>
    <row r="2815" ht="14.25" customHeight="1">
      <c r="A2815" s="2">
        <v>2814.0</v>
      </c>
      <c r="B2815" s="2" t="s">
        <v>2488</v>
      </c>
      <c r="C2815" s="2" t="s">
        <v>5308</v>
      </c>
      <c r="D2815" s="2">
        <v>333.0</v>
      </c>
      <c r="E2815" s="2">
        <v>1.0</v>
      </c>
      <c r="F2815" s="2">
        <v>50.0</v>
      </c>
      <c r="G2815" s="2">
        <v>122900.0</v>
      </c>
    </row>
    <row r="2816" ht="14.25" customHeight="1">
      <c r="A2816" s="2">
        <v>2815.0</v>
      </c>
      <c r="B2816" s="2" t="s">
        <v>2561</v>
      </c>
      <c r="C2816" s="2" t="s">
        <v>5309</v>
      </c>
      <c r="D2816" s="2">
        <v>162.0</v>
      </c>
      <c r="E2816" s="2">
        <v>1.0</v>
      </c>
      <c r="F2816" s="2">
        <v>70.0</v>
      </c>
      <c r="G2816" s="2">
        <v>122800.0</v>
      </c>
    </row>
    <row r="2817" ht="14.25" customHeight="1">
      <c r="A2817" s="2">
        <v>2816.0</v>
      </c>
      <c r="B2817" s="2" t="s">
        <v>2594</v>
      </c>
      <c r="C2817" s="2" t="s">
        <v>5310</v>
      </c>
      <c r="D2817" s="2">
        <v>184.0</v>
      </c>
      <c r="E2817" s="2">
        <v>1.0</v>
      </c>
      <c r="F2817" s="2">
        <v>50.0</v>
      </c>
      <c r="G2817" s="2">
        <v>122800.0</v>
      </c>
    </row>
    <row r="2818" ht="14.25" customHeight="1">
      <c r="A2818" s="2">
        <v>2817.0</v>
      </c>
      <c r="B2818" s="2" t="s">
        <v>2541</v>
      </c>
      <c r="C2818" s="2" t="s">
        <v>5311</v>
      </c>
      <c r="D2818" s="2">
        <v>195.0</v>
      </c>
      <c r="E2818" s="2">
        <v>1.0</v>
      </c>
      <c r="F2818" s="2">
        <v>75.0</v>
      </c>
      <c r="G2818" s="2">
        <v>122800.0</v>
      </c>
    </row>
    <row r="2819" ht="14.25" customHeight="1">
      <c r="A2819" s="2">
        <v>2818.0</v>
      </c>
      <c r="B2819" s="2" t="s">
        <v>2505</v>
      </c>
      <c r="C2819" s="2" t="s">
        <v>5312</v>
      </c>
      <c r="D2819" s="2">
        <v>429.0</v>
      </c>
      <c r="E2819" s="2">
        <v>1.0</v>
      </c>
      <c r="F2819" s="2">
        <v>50.0</v>
      </c>
      <c r="G2819" s="2">
        <v>122800.0</v>
      </c>
    </row>
    <row r="2820" ht="14.25" customHeight="1">
      <c r="A2820" s="2">
        <v>2819.0</v>
      </c>
      <c r="B2820" s="2" t="s">
        <v>2479</v>
      </c>
      <c r="C2820" s="2" t="s">
        <v>5313</v>
      </c>
      <c r="D2820" s="2">
        <v>182.0</v>
      </c>
      <c r="E2820" s="2">
        <v>1.0</v>
      </c>
      <c r="F2820" s="2">
        <v>50.0</v>
      </c>
      <c r="G2820" s="2">
        <v>122700.0</v>
      </c>
    </row>
    <row r="2821" ht="14.25" customHeight="1">
      <c r="A2821" s="2">
        <v>2820.0</v>
      </c>
      <c r="B2821" s="2" t="s">
        <v>2534</v>
      </c>
      <c r="C2821" s="2" t="s">
        <v>5314</v>
      </c>
      <c r="D2821" s="2">
        <v>188.0</v>
      </c>
      <c r="E2821" s="2">
        <v>1.0</v>
      </c>
      <c r="F2821" s="2">
        <v>100.0</v>
      </c>
      <c r="G2821" s="2">
        <v>122700.0</v>
      </c>
    </row>
    <row r="2822" ht="14.25" customHeight="1">
      <c r="A2822" s="2">
        <v>2821.0</v>
      </c>
      <c r="B2822" s="2" t="s">
        <v>2507</v>
      </c>
      <c r="C2822" s="2" t="s">
        <v>5315</v>
      </c>
      <c r="D2822" s="2">
        <v>205.0</v>
      </c>
      <c r="E2822" s="2">
        <v>1.0</v>
      </c>
      <c r="F2822" s="2">
        <v>100.0</v>
      </c>
      <c r="G2822" s="2">
        <v>122600.0</v>
      </c>
    </row>
    <row r="2823" ht="14.25" customHeight="1">
      <c r="A2823" s="2">
        <v>2822.0</v>
      </c>
      <c r="B2823" s="2" t="s">
        <v>2505</v>
      </c>
      <c r="C2823" s="2" t="s">
        <v>5316</v>
      </c>
      <c r="D2823" s="2">
        <v>429.0</v>
      </c>
      <c r="E2823" s="2">
        <v>1.0</v>
      </c>
      <c r="F2823" s="2">
        <v>100.0</v>
      </c>
      <c r="G2823" s="2">
        <v>122600.0</v>
      </c>
    </row>
    <row r="2824" ht="14.25" customHeight="1">
      <c r="A2824" s="2">
        <v>2823.0</v>
      </c>
      <c r="B2824" s="2" t="s">
        <v>2549</v>
      </c>
      <c r="C2824" s="2" t="s">
        <v>5317</v>
      </c>
      <c r="D2824" s="2">
        <v>115.0</v>
      </c>
      <c r="E2824" s="2">
        <v>1.0</v>
      </c>
      <c r="F2824" s="2">
        <v>100.0</v>
      </c>
      <c r="G2824" s="2">
        <v>122500.0</v>
      </c>
    </row>
    <row r="2825" ht="14.25" customHeight="1">
      <c r="A2825" s="2">
        <v>2824.0</v>
      </c>
      <c r="B2825" s="2" t="s">
        <v>2636</v>
      </c>
      <c r="C2825" s="2" t="s">
        <v>5318</v>
      </c>
      <c r="D2825" s="2">
        <v>145.0</v>
      </c>
      <c r="E2825" s="2">
        <v>1.0</v>
      </c>
      <c r="F2825" s="2">
        <v>100.0</v>
      </c>
      <c r="G2825" s="2">
        <v>122500.0</v>
      </c>
    </row>
    <row r="2826" ht="14.25" customHeight="1">
      <c r="A2826" s="2">
        <v>2825.0</v>
      </c>
      <c r="B2826" s="2" t="s">
        <v>2497</v>
      </c>
      <c r="C2826" s="2" t="s">
        <v>5319</v>
      </c>
      <c r="D2826" s="2">
        <v>151.0</v>
      </c>
      <c r="E2826" s="2">
        <v>1.0</v>
      </c>
      <c r="F2826" s="2">
        <v>70.0</v>
      </c>
      <c r="G2826" s="2">
        <v>122500.0</v>
      </c>
    </row>
    <row r="2827" ht="14.25" customHeight="1">
      <c r="A2827" s="2">
        <v>2826.0</v>
      </c>
      <c r="B2827" s="2" t="s">
        <v>2604</v>
      </c>
      <c r="C2827" s="2" t="s">
        <v>5320</v>
      </c>
      <c r="D2827" s="2">
        <v>200.0</v>
      </c>
      <c r="E2827" s="2">
        <v>1.0</v>
      </c>
      <c r="F2827" s="2">
        <v>100.0</v>
      </c>
      <c r="G2827" s="2">
        <v>122500.0</v>
      </c>
    </row>
    <row r="2828" ht="14.25" customHeight="1">
      <c r="A2828" s="2">
        <v>2827.0</v>
      </c>
      <c r="B2828" s="2" t="s">
        <v>2621</v>
      </c>
      <c r="C2828" s="2" t="s">
        <v>5321</v>
      </c>
      <c r="D2828" s="2">
        <v>403.0</v>
      </c>
      <c r="E2828" s="2">
        <v>1.0</v>
      </c>
      <c r="F2828" s="2">
        <v>75.0</v>
      </c>
      <c r="G2828" s="2">
        <v>122500.0</v>
      </c>
    </row>
    <row r="2829" ht="14.25" customHeight="1">
      <c r="A2829" s="2">
        <v>2828.0</v>
      </c>
      <c r="B2829" s="2" t="s">
        <v>2503</v>
      </c>
      <c r="C2829" s="2" t="s">
        <v>5322</v>
      </c>
      <c r="D2829" s="2">
        <v>105.0</v>
      </c>
      <c r="E2829" s="2">
        <v>1.0</v>
      </c>
      <c r="F2829" s="2">
        <v>75.0</v>
      </c>
      <c r="G2829" s="2">
        <v>122400.0</v>
      </c>
    </row>
    <row r="2830" ht="14.25" customHeight="1">
      <c r="A2830" s="2">
        <v>2829.0</v>
      </c>
      <c r="B2830" s="2" t="s">
        <v>2475</v>
      </c>
      <c r="C2830" s="2" t="s">
        <v>5323</v>
      </c>
      <c r="D2830" s="2">
        <v>143.0</v>
      </c>
      <c r="E2830" s="2">
        <v>1.0</v>
      </c>
      <c r="F2830" s="2">
        <v>250.0</v>
      </c>
      <c r="G2830" s="2">
        <v>122400.0</v>
      </c>
    </row>
    <row r="2831" ht="14.25" customHeight="1">
      <c r="A2831" s="2">
        <v>2830.0</v>
      </c>
      <c r="B2831" s="2" t="s">
        <v>2561</v>
      </c>
      <c r="C2831" s="2" t="s">
        <v>5324</v>
      </c>
      <c r="D2831" s="2">
        <v>162.0</v>
      </c>
      <c r="E2831" s="2">
        <v>1.0</v>
      </c>
      <c r="F2831" s="2">
        <v>100.0</v>
      </c>
      <c r="G2831" s="2">
        <v>122400.0</v>
      </c>
    </row>
    <row r="2832" ht="14.25" customHeight="1">
      <c r="A2832" s="2">
        <v>2831.0</v>
      </c>
      <c r="B2832" s="2" t="s">
        <v>2534</v>
      </c>
      <c r="C2832" s="2" t="s">
        <v>5325</v>
      </c>
      <c r="D2832" s="2">
        <v>188.0</v>
      </c>
      <c r="E2832" s="2">
        <v>1.0</v>
      </c>
      <c r="F2832" s="2">
        <v>75.0</v>
      </c>
      <c r="G2832" s="2">
        <v>122400.0</v>
      </c>
    </row>
    <row r="2833" ht="14.25" customHeight="1">
      <c r="A2833" s="2">
        <v>2832.0</v>
      </c>
      <c r="B2833" s="2" t="s">
        <v>2501</v>
      </c>
      <c r="C2833" s="2" t="s">
        <v>5326</v>
      </c>
      <c r="D2833" s="2">
        <v>199.0</v>
      </c>
      <c r="E2833" s="2">
        <v>1.0</v>
      </c>
      <c r="F2833" s="2">
        <v>75.0</v>
      </c>
      <c r="G2833" s="2">
        <v>122400.0</v>
      </c>
    </row>
    <row r="2834" ht="14.25" customHeight="1">
      <c r="A2834" s="2">
        <v>2833.0</v>
      </c>
      <c r="B2834" s="2" t="s">
        <v>2507</v>
      </c>
      <c r="C2834" s="2" t="s">
        <v>5327</v>
      </c>
      <c r="D2834" s="2">
        <v>205.0</v>
      </c>
      <c r="E2834" s="2">
        <v>1.0</v>
      </c>
      <c r="F2834" s="2">
        <v>160.0</v>
      </c>
      <c r="G2834" s="2">
        <v>122400.0</v>
      </c>
    </row>
    <row r="2835" ht="14.25" customHeight="1">
      <c r="A2835" s="2">
        <v>2834.0</v>
      </c>
      <c r="B2835" s="2" t="s">
        <v>2507</v>
      </c>
      <c r="C2835" s="2" t="s">
        <v>5328</v>
      </c>
      <c r="D2835" s="2">
        <v>205.0</v>
      </c>
      <c r="E2835" s="2">
        <v>1.0</v>
      </c>
      <c r="F2835" s="2">
        <v>105.0</v>
      </c>
      <c r="G2835" s="2">
        <v>122400.0</v>
      </c>
    </row>
    <row r="2836" ht="14.25" customHeight="1">
      <c r="A2836" s="2">
        <v>2835.0</v>
      </c>
      <c r="B2836" s="2" t="s">
        <v>2651</v>
      </c>
      <c r="C2836" s="2" t="s">
        <v>5329</v>
      </c>
      <c r="D2836" s="2">
        <v>347.0</v>
      </c>
      <c r="E2836" s="2">
        <v>1.0</v>
      </c>
      <c r="F2836" s="2">
        <v>90.0</v>
      </c>
      <c r="G2836" s="2">
        <v>122400.0</v>
      </c>
    </row>
    <row r="2837" ht="14.25" customHeight="1">
      <c r="A2837" s="2">
        <v>2836.0</v>
      </c>
      <c r="B2837" s="2" t="s">
        <v>2505</v>
      </c>
      <c r="C2837" s="2" t="s">
        <v>5330</v>
      </c>
      <c r="D2837" s="2">
        <v>429.0</v>
      </c>
      <c r="E2837" s="2">
        <v>1.0</v>
      </c>
      <c r="F2837" s="2">
        <v>100.0</v>
      </c>
      <c r="G2837" s="2">
        <v>122400.0</v>
      </c>
    </row>
    <row r="2838" ht="14.25" customHeight="1">
      <c r="A2838" s="2">
        <v>2837.0</v>
      </c>
      <c r="B2838" s="2" t="s">
        <v>2553</v>
      </c>
      <c r="C2838" s="2" t="s">
        <v>5331</v>
      </c>
      <c r="D2838" s="2">
        <v>187.0</v>
      </c>
      <c r="E2838" s="2">
        <v>1.0</v>
      </c>
      <c r="F2838" s="2">
        <v>100.0</v>
      </c>
      <c r="G2838" s="2">
        <v>122300.0</v>
      </c>
    </row>
    <row r="2839" ht="14.25" customHeight="1">
      <c r="A2839" s="2">
        <v>2838.0</v>
      </c>
      <c r="B2839" s="2" t="s">
        <v>2686</v>
      </c>
      <c r="C2839" s="2" t="s">
        <v>5332</v>
      </c>
      <c r="D2839" s="2">
        <v>127.0</v>
      </c>
      <c r="E2839" s="2">
        <v>1.0</v>
      </c>
      <c r="F2839" s="2">
        <v>65.0</v>
      </c>
      <c r="G2839" s="2">
        <v>122200.0</v>
      </c>
    </row>
    <row r="2840" ht="14.25" customHeight="1">
      <c r="A2840" s="2">
        <v>2839.0</v>
      </c>
      <c r="B2840" s="2" t="s">
        <v>2488</v>
      </c>
      <c r="C2840" s="2" t="s">
        <v>5333</v>
      </c>
      <c r="D2840" s="2">
        <v>333.0</v>
      </c>
      <c r="E2840" s="2">
        <v>1.0</v>
      </c>
      <c r="F2840" s="2">
        <v>50.0</v>
      </c>
      <c r="G2840" s="2">
        <v>122200.0</v>
      </c>
    </row>
    <row r="2841" ht="14.25" customHeight="1">
      <c r="A2841" s="2">
        <v>2840.0</v>
      </c>
      <c r="B2841" s="2" t="s">
        <v>2651</v>
      </c>
      <c r="C2841" s="2" t="s">
        <v>5334</v>
      </c>
      <c r="D2841" s="2">
        <v>347.0</v>
      </c>
      <c r="E2841" s="2">
        <v>1.0</v>
      </c>
      <c r="F2841" s="2">
        <v>90.0</v>
      </c>
      <c r="G2841" s="2">
        <v>122200.0</v>
      </c>
    </row>
    <row r="2842" ht="14.25" customHeight="1">
      <c r="A2842" s="2">
        <v>2841.0</v>
      </c>
      <c r="B2842" s="2" t="s">
        <v>2505</v>
      </c>
      <c r="C2842" s="2" t="s">
        <v>5335</v>
      </c>
      <c r="D2842" s="2">
        <v>429.0</v>
      </c>
      <c r="E2842" s="2">
        <v>1.0</v>
      </c>
      <c r="F2842" s="2">
        <v>60.0</v>
      </c>
      <c r="G2842" s="2">
        <v>122200.0</v>
      </c>
    </row>
    <row r="2843" ht="14.25" customHeight="1">
      <c r="A2843" s="2">
        <v>2842.0</v>
      </c>
      <c r="B2843" s="2" t="s">
        <v>2549</v>
      </c>
      <c r="C2843" s="2" t="s">
        <v>5336</v>
      </c>
      <c r="D2843" s="2">
        <v>115.0</v>
      </c>
      <c r="E2843" s="2">
        <v>1.0</v>
      </c>
      <c r="F2843" s="2">
        <v>100.1</v>
      </c>
      <c r="G2843" s="2">
        <v>122100.0</v>
      </c>
    </row>
    <row r="2844" ht="14.25" customHeight="1">
      <c r="A2844" s="2">
        <v>2843.0</v>
      </c>
      <c r="B2844" s="2" t="s">
        <v>2636</v>
      </c>
      <c r="C2844" s="2" t="s">
        <v>5337</v>
      </c>
      <c r="D2844" s="2">
        <v>145.0</v>
      </c>
      <c r="E2844" s="2">
        <v>1.0</v>
      </c>
      <c r="F2844" s="2">
        <v>75.0</v>
      </c>
      <c r="G2844" s="2">
        <v>122100.0</v>
      </c>
    </row>
    <row r="2845" ht="14.25" customHeight="1">
      <c r="A2845" s="2">
        <v>2844.0</v>
      </c>
      <c r="B2845" s="2" t="s">
        <v>2636</v>
      </c>
      <c r="C2845" s="2" t="s">
        <v>5338</v>
      </c>
      <c r="D2845" s="2">
        <v>145.0</v>
      </c>
      <c r="E2845" s="2">
        <v>1.0</v>
      </c>
      <c r="F2845" s="2">
        <v>100.0</v>
      </c>
      <c r="G2845" s="2">
        <v>122100.0</v>
      </c>
    </row>
    <row r="2846" ht="14.25" customHeight="1">
      <c r="A2846" s="2">
        <v>2845.0</v>
      </c>
      <c r="B2846" s="2" t="s">
        <v>2518</v>
      </c>
      <c r="C2846" s="2" t="s">
        <v>5339</v>
      </c>
      <c r="D2846" s="2">
        <v>161.0</v>
      </c>
      <c r="E2846" s="2">
        <v>1.0</v>
      </c>
      <c r="F2846" s="2">
        <v>75.0</v>
      </c>
      <c r="G2846" s="2">
        <v>122100.0</v>
      </c>
    </row>
    <row r="2847" ht="14.25" customHeight="1">
      <c r="A2847" s="2">
        <v>2846.0</v>
      </c>
      <c r="B2847" s="2" t="s">
        <v>2505</v>
      </c>
      <c r="C2847" s="2" t="s">
        <v>5340</v>
      </c>
      <c r="D2847" s="2">
        <v>429.0</v>
      </c>
      <c r="E2847" s="2">
        <v>1.0</v>
      </c>
      <c r="F2847" s="2">
        <v>85.0</v>
      </c>
      <c r="G2847" s="2">
        <v>122100.0</v>
      </c>
    </row>
    <row r="2848" ht="14.25" customHeight="1">
      <c r="A2848" s="2">
        <v>2847.0</v>
      </c>
      <c r="B2848" s="2" t="s">
        <v>2549</v>
      </c>
      <c r="C2848" s="2" t="s">
        <v>5341</v>
      </c>
      <c r="D2848" s="2">
        <v>115.0</v>
      </c>
      <c r="E2848" s="2">
        <v>1.0</v>
      </c>
      <c r="F2848" s="2">
        <v>50.0</v>
      </c>
      <c r="G2848" s="2">
        <v>122000.0</v>
      </c>
    </row>
    <row r="2849" ht="14.25" customHeight="1">
      <c r="A2849" s="2">
        <v>2848.0</v>
      </c>
      <c r="B2849" s="2" t="s">
        <v>2686</v>
      </c>
      <c r="C2849" s="2" t="s">
        <v>5342</v>
      </c>
      <c r="D2849" s="2">
        <v>127.0</v>
      </c>
      <c r="E2849" s="2">
        <v>1.0</v>
      </c>
      <c r="F2849" s="2">
        <v>75.0</v>
      </c>
      <c r="G2849" s="2">
        <v>122000.0</v>
      </c>
    </row>
    <row r="2850" ht="14.25" customHeight="1">
      <c r="A2850" s="2">
        <v>2849.0</v>
      </c>
      <c r="B2850" s="2" t="s">
        <v>2604</v>
      </c>
      <c r="C2850" s="2" t="s">
        <v>5343</v>
      </c>
      <c r="D2850" s="2">
        <v>200.0</v>
      </c>
      <c r="E2850" s="2">
        <v>1.0</v>
      </c>
      <c r="F2850" s="2">
        <v>150.0</v>
      </c>
      <c r="G2850" s="2">
        <v>122000.0</v>
      </c>
    </row>
    <row r="2851" ht="14.25" customHeight="1">
      <c r="A2851" s="2">
        <v>2850.0</v>
      </c>
      <c r="B2851" s="2" t="s">
        <v>2636</v>
      </c>
      <c r="C2851" s="2" t="s">
        <v>5344</v>
      </c>
      <c r="D2851" s="2">
        <v>145.0</v>
      </c>
      <c r="E2851" s="2">
        <v>1.0</v>
      </c>
      <c r="F2851" s="2">
        <v>130.0</v>
      </c>
      <c r="G2851" s="2">
        <v>121900.0</v>
      </c>
    </row>
    <row r="2852" ht="14.25" customHeight="1">
      <c r="A2852" s="2">
        <v>2851.0</v>
      </c>
      <c r="B2852" s="2" t="s">
        <v>2512</v>
      </c>
      <c r="C2852" s="2" t="s">
        <v>5345</v>
      </c>
      <c r="D2852" s="2">
        <v>153.0</v>
      </c>
      <c r="E2852" s="2">
        <v>1.0</v>
      </c>
      <c r="F2852" s="2">
        <v>50.0</v>
      </c>
      <c r="G2852" s="2">
        <v>121900.0</v>
      </c>
    </row>
    <row r="2853" ht="14.25" customHeight="1">
      <c r="A2853" s="2">
        <v>2852.0</v>
      </c>
      <c r="B2853" s="2" t="s">
        <v>2582</v>
      </c>
      <c r="C2853" s="2" t="s">
        <v>5346</v>
      </c>
      <c r="D2853" s="2">
        <v>183.0</v>
      </c>
      <c r="E2853" s="2">
        <v>1.0</v>
      </c>
      <c r="F2853" s="2">
        <v>99.0</v>
      </c>
      <c r="G2853" s="2">
        <v>121900.0</v>
      </c>
    </row>
    <row r="2854" ht="14.25" customHeight="1">
      <c r="A2854" s="2">
        <v>2853.0</v>
      </c>
      <c r="B2854" s="2" t="s">
        <v>2576</v>
      </c>
      <c r="C2854" s="2" t="s">
        <v>5347</v>
      </c>
      <c r="D2854" s="2">
        <v>197.0</v>
      </c>
      <c r="E2854" s="2">
        <v>1.0</v>
      </c>
      <c r="F2854" s="2">
        <v>132.0</v>
      </c>
      <c r="G2854" s="2">
        <v>121900.0</v>
      </c>
    </row>
    <row r="2855" ht="14.25" customHeight="1">
      <c r="A2855" s="2">
        <v>2854.0</v>
      </c>
      <c r="B2855" s="2" t="s">
        <v>2524</v>
      </c>
      <c r="C2855" s="2" t="s">
        <v>5348</v>
      </c>
      <c r="D2855" s="2">
        <v>331.0</v>
      </c>
      <c r="E2855" s="2">
        <v>1.0</v>
      </c>
      <c r="F2855" s="2">
        <v>120.0</v>
      </c>
      <c r="G2855" s="2">
        <v>121900.0</v>
      </c>
    </row>
    <row r="2856" ht="14.25" customHeight="1">
      <c r="A2856" s="2">
        <v>2855.0</v>
      </c>
      <c r="B2856" s="2" t="s">
        <v>2621</v>
      </c>
      <c r="C2856" s="2" t="s">
        <v>5349</v>
      </c>
      <c r="D2856" s="2">
        <v>403.0</v>
      </c>
      <c r="E2856" s="2">
        <v>1.0</v>
      </c>
      <c r="F2856" s="2">
        <v>77.5</v>
      </c>
      <c r="G2856" s="2">
        <v>121900.0</v>
      </c>
    </row>
    <row r="2857" ht="14.25" customHeight="1">
      <c r="A2857" s="2">
        <v>2856.0</v>
      </c>
      <c r="B2857" s="2" t="s">
        <v>2505</v>
      </c>
      <c r="C2857" s="2" t="s">
        <v>5350</v>
      </c>
      <c r="D2857" s="2">
        <v>429.0</v>
      </c>
      <c r="E2857" s="2">
        <v>1.0</v>
      </c>
      <c r="F2857" s="2">
        <v>50.0</v>
      </c>
      <c r="G2857" s="2">
        <v>121900.0</v>
      </c>
    </row>
    <row r="2858" ht="14.25" customHeight="1">
      <c r="A2858" s="2">
        <v>2857.0</v>
      </c>
      <c r="B2858" s="2" t="s">
        <v>2503</v>
      </c>
      <c r="C2858" s="2" t="s">
        <v>5351</v>
      </c>
      <c r="D2858" s="2">
        <v>105.0</v>
      </c>
      <c r="E2858" s="2">
        <v>1.0</v>
      </c>
      <c r="F2858" s="2">
        <v>100.0</v>
      </c>
      <c r="G2858" s="2">
        <v>121800.0</v>
      </c>
    </row>
    <row r="2859" ht="14.25" customHeight="1">
      <c r="A2859" s="2">
        <v>2858.0</v>
      </c>
      <c r="B2859" s="2" t="s">
        <v>2503</v>
      </c>
      <c r="C2859" s="2" t="s">
        <v>5352</v>
      </c>
      <c r="D2859" s="2">
        <v>105.0</v>
      </c>
      <c r="E2859" s="2">
        <v>1.0</v>
      </c>
      <c r="F2859" s="2">
        <v>66.0</v>
      </c>
      <c r="G2859" s="2">
        <v>121800.0</v>
      </c>
    </row>
    <row r="2860" ht="14.25" customHeight="1">
      <c r="A2860" s="2">
        <v>2859.0</v>
      </c>
      <c r="B2860" s="2" t="s">
        <v>2534</v>
      </c>
      <c r="C2860" s="2" t="s">
        <v>5353</v>
      </c>
      <c r="D2860" s="2">
        <v>188.0</v>
      </c>
      <c r="E2860" s="2">
        <v>1.0</v>
      </c>
      <c r="F2860" s="2">
        <v>75.0</v>
      </c>
      <c r="G2860" s="2">
        <v>121800.0</v>
      </c>
    </row>
    <row r="2861" ht="14.25" customHeight="1">
      <c r="A2861" s="2">
        <v>2860.0</v>
      </c>
      <c r="B2861" s="2" t="s">
        <v>2541</v>
      </c>
      <c r="C2861" s="2" t="s">
        <v>5354</v>
      </c>
      <c r="D2861" s="2">
        <v>195.0</v>
      </c>
      <c r="E2861" s="2">
        <v>1.0</v>
      </c>
      <c r="F2861" s="2">
        <v>50.0</v>
      </c>
      <c r="G2861" s="2">
        <v>121800.0</v>
      </c>
    </row>
    <row r="2862" ht="14.25" customHeight="1">
      <c r="A2862" s="2">
        <v>2861.0</v>
      </c>
      <c r="B2862" s="2" t="s">
        <v>2488</v>
      </c>
      <c r="C2862" s="2" t="s">
        <v>5355</v>
      </c>
      <c r="D2862" s="2">
        <v>333.0</v>
      </c>
      <c r="E2862" s="2">
        <v>1.0</v>
      </c>
      <c r="F2862" s="2">
        <v>50.0</v>
      </c>
      <c r="G2862" s="2">
        <v>121800.0</v>
      </c>
    </row>
    <row r="2863" ht="14.25" customHeight="1">
      <c r="A2863" s="2">
        <v>2862.0</v>
      </c>
      <c r="B2863" s="2" t="s">
        <v>2604</v>
      </c>
      <c r="C2863" s="2" t="s">
        <v>5356</v>
      </c>
      <c r="D2863" s="2">
        <v>200.0</v>
      </c>
      <c r="E2863" s="2">
        <v>1.0</v>
      </c>
      <c r="F2863" s="2">
        <v>100.1</v>
      </c>
      <c r="G2863" s="2">
        <v>121700.0</v>
      </c>
    </row>
    <row r="2864" ht="14.25" customHeight="1">
      <c r="A2864" s="2">
        <v>2863.0</v>
      </c>
      <c r="B2864" s="2" t="s">
        <v>2594</v>
      </c>
      <c r="C2864" s="2" t="s">
        <v>5357</v>
      </c>
      <c r="D2864" s="2">
        <v>184.0</v>
      </c>
      <c r="E2864" s="2">
        <v>1.0</v>
      </c>
      <c r="F2864" s="2">
        <v>66.0</v>
      </c>
      <c r="G2864" s="2">
        <v>121600.0</v>
      </c>
    </row>
    <row r="2865" ht="14.25" customHeight="1">
      <c r="A2865" s="2">
        <v>2864.0</v>
      </c>
      <c r="B2865" s="2" t="s">
        <v>2594</v>
      </c>
      <c r="C2865" s="2" t="s">
        <v>5358</v>
      </c>
      <c r="D2865" s="2">
        <v>184.0</v>
      </c>
      <c r="E2865" s="2">
        <v>1.0</v>
      </c>
      <c r="F2865" s="2">
        <v>50.0</v>
      </c>
      <c r="G2865" s="2">
        <v>121600.0</v>
      </c>
    </row>
    <row r="2866" ht="14.25" customHeight="1">
      <c r="A2866" s="2">
        <v>2865.0</v>
      </c>
      <c r="B2866" s="2" t="s">
        <v>2534</v>
      </c>
      <c r="C2866" s="2" t="s">
        <v>5359</v>
      </c>
      <c r="D2866" s="2">
        <v>188.0</v>
      </c>
      <c r="E2866" s="2">
        <v>1.0</v>
      </c>
      <c r="F2866" s="2">
        <v>75.0</v>
      </c>
      <c r="G2866" s="2">
        <v>121600.0</v>
      </c>
    </row>
    <row r="2867" ht="14.25" customHeight="1">
      <c r="A2867" s="2">
        <v>2866.0</v>
      </c>
      <c r="B2867" s="2" t="s">
        <v>2501</v>
      </c>
      <c r="C2867" s="2" t="s">
        <v>5360</v>
      </c>
      <c r="D2867" s="2">
        <v>199.0</v>
      </c>
      <c r="E2867" s="2">
        <v>1.0</v>
      </c>
      <c r="F2867" s="2">
        <v>90.0</v>
      </c>
      <c r="G2867" s="2">
        <v>121600.0</v>
      </c>
    </row>
    <row r="2868" ht="14.25" customHeight="1">
      <c r="A2868" s="2">
        <v>2867.0</v>
      </c>
      <c r="B2868" s="2" t="s">
        <v>2524</v>
      </c>
      <c r="C2868" s="2" t="s">
        <v>5361</v>
      </c>
      <c r="D2868" s="2">
        <v>331.0</v>
      </c>
      <c r="E2868" s="2">
        <v>1.0</v>
      </c>
      <c r="F2868" s="2">
        <v>100.0</v>
      </c>
      <c r="G2868" s="2">
        <v>121600.0</v>
      </c>
    </row>
    <row r="2869" ht="14.25" customHeight="1">
      <c r="A2869" s="2">
        <v>2868.0</v>
      </c>
      <c r="B2869" s="2" t="s">
        <v>2488</v>
      </c>
      <c r="C2869" s="2" t="s">
        <v>5362</v>
      </c>
      <c r="D2869" s="2">
        <v>333.0</v>
      </c>
      <c r="E2869" s="2">
        <v>1.0</v>
      </c>
      <c r="F2869" s="2">
        <v>100.0</v>
      </c>
      <c r="G2869" s="2">
        <v>121600.0</v>
      </c>
    </row>
    <row r="2870" ht="14.25" customHeight="1">
      <c r="A2870" s="2">
        <v>2869.0</v>
      </c>
      <c r="B2870" s="2" t="s">
        <v>2636</v>
      </c>
      <c r="C2870" s="2" t="s">
        <v>5363</v>
      </c>
      <c r="D2870" s="2">
        <v>145.0</v>
      </c>
      <c r="E2870" s="2">
        <v>1.0</v>
      </c>
      <c r="F2870" s="2">
        <v>75.0</v>
      </c>
      <c r="G2870" s="2">
        <v>121500.0</v>
      </c>
    </row>
    <row r="2871" ht="14.25" customHeight="1">
      <c r="A2871" s="2">
        <v>2870.0</v>
      </c>
      <c r="B2871" s="2" t="s">
        <v>2497</v>
      </c>
      <c r="C2871" s="2" t="s">
        <v>5364</v>
      </c>
      <c r="D2871" s="2">
        <v>151.0</v>
      </c>
      <c r="E2871" s="2">
        <v>1.0</v>
      </c>
      <c r="F2871" s="2">
        <v>66.0</v>
      </c>
      <c r="G2871" s="2">
        <v>121500.0</v>
      </c>
    </row>
    <row r="2872" ht="14.25" customHeight="1">
      <c r="A2872" s="2">
        <v>2871.0</v>
      </c>
      <c r="B2872" s="2" t="s">
        <v>2541</v>
      </c>
      <c r="C2872" s="2" t="s">
        <v>5365</v>
      </c>
      <c r="D2872" s="2">
        <v>195.0</v>
      </c>
      <c r="E2872" s="2">
        <v>1.0</v>
      </c>
      <c r="F2872" s="2">
        <v>75.0</v>
      </c>
      <c r="G2872" s="2">
        <v>121500.0</v>
      </c>
    </row>
    <row r="2873" ht="14.25" customHeight="1">
      <c r="A2873" s="2">
        <v>2872.0</v>
      </c>
      <c r="B2873" s="2" t="s">
        <v>2576</v>
      </c>
      <c r="C2873" s="2" t="s">
        <v>5366</v>
      </c>
      <c r="D2873" s="2">
        <v>197.0</v>
      </c>
      <c r="E2873" s="2">
        <v>1.0</v>
      </c>
      <c r="F2873" s="2">
        <v>65.0</v>
      </c>
      <c r="G2873" s="2">
        <v>121500.0</v>
      </c>
    </row>
    <row r="2874" ht="14.25" customHeight="1">
      <c r="A2874" s="2">
        <v>2873.0</v>
      </c>
      <c r="B2874" s="2" t="s">
        <v>2604</v>
      </c>
      <c r="C2874" s="2" t="s">
        <v>5367</v>
      </c>
      <c r="D2874" s="2">
        <v>200.0</v>
      </c>
      <c r="E2874" s="2">
        <v>1.0</v>
      </c>
      <c r="F2874" s="2">
        <v>100.0</v>
      </c>
      <c r="G2874" s="2">
        <v>121500.0</v>
      </c>
    </row>
    <row r="2875" ht="14.25" customHeight="1">
      <c r="A2875" s="2">
        <v>2874.0</v>
      </c>
      <c r="B2875" s="2" t="s">
        <v>2604</v>
      </c>
      <c r="C2875" s="2" t="s">
        <v>5368</v>
      </c>
      <c r="D2875" s="2">
        <v>200.0</v>
      </c>
      <c r="E2875" s="2">
        <v>1.0</v>
      </c>
      <c r="F2875" s="2">
        <v>50.0</v>
      </c>
      <c r="G2875" s="2">
        <v>121500.0</v>
      </c>
    </row>
    <row r="2876" ht="14.25" customHeight="1">
      <c r="A2876" s="2">
        <v>2875.0</v>
      </c>
      <c r="B2876" s="2" t="s">
        <v>2524</v>
      </c>
      <c r="C2876" s="2" t="s">
        <v>5369</v>
      </c>
      <c r="D2876" s="2">
        <v>331.0</v>
      </c>
      <c r="E2876" s="2">
        <v>1.0</v>
      </c>
      <c r="F2876" s="2">
        <v>55.0</v>
      </c>
      <c r="G2876" s="2">
        <v>121500.0</v>
      </c>
    </row>
    <row r="2877" ht="14.25" customHeight="1">
      <c r="A2877" s="2">
        <v>2876.0</v>
      </c>
      <c r="B2877" s="2" t="s">
        <v>2636</v>
      </c>
      <c r="C2877" s="2" t="s">
        <v>5370</v>
      </c>
      <c r="D2877" s="2">
        <v>145.0</v>
      </c>
      <c r="E2877" s="2">
        <v>1.0</v>
      </c>
      <c r="F2877" s="2">
        <v>100.0</v>
      </c>
      <c r="G2877" s="2">
        <v>121400.0</v>
      </c>
    </row>
    <row r="2878" ht="14.25" customHeight="1">
      <c r="A2878" s="2">
        <v>2877.0</v>
      </c>
      <c r="B2878" s="2" t="s">
        <v>2594</v>
      </c>
      <c r="C2878" s="2" t="s">
        <v>5371</v>
      </c>
      <c r="D2878" s="2">
        <v>184.0</v>
      </c>
      <c r="E2878" s="2">
        <v>1.0</v>
      </c>
      <c r="F2878" s="2">
        <v>66.0</v>
      </c>
      <c r="G2878" s="2">
        <v>121400.0</v>
      </c>
    </row>
    <row r="2879" ht="14.25" customHeight="1">
      <c r="A2879" s="2">
        <v>2878.0</v>
      </c>
      <c r="B2879" s="2" t="s">
        <v>2553</v>
      </c>
      <c r="C2879" s="2" t="s">
        <v>5372</v>
      </c>
      <c r="D2879" s="2">
        <v>187.0</v>
      </c>
      <c r="E2879" s="2">
        <v>1.0</v>
      </c>
      <c r="F2879" s="2">
        <v>70.0</v>
      </c>
      <c r="G2879" s="2">
        <v>121400.0</v>
      </c>
    </row>
    <row r="2880" ht="14.25" customHeight="1">
      <c r="A2880" s="2">
        <v>2879.0</v>
      </c>
      <c r="B2880" s="2" t="s">
        <v>2576</v>
      </c>
      <c r="C2880" s="2" t="s">
        <v>5373</v>
      </c>
      <c r="D2880" s="2">
        <v>197.0</v>
      </c>
      <c r="E2880" s="2">
        <v>1.0</v>
      </c>
      <c r="F2880" s="2">
        <v>75.0</v>
      </c>
      <c r="G2880" s="2">
        <v>121400.0</v>
      </c>
    </row>
    <row r="2881" ht="14.25" customHeight="1">
      <c r="A2881" s="2">
        <v>2880.0</v>
      </c>
      <c r="B2881" s="2" t="s">
        <v>2651</v>
      </c>
      <c r="C2881" s="2" t="s">
        <v>5374</v>
      </c>
      <c r="D2881" s="2">
        <v>347.0</v>
      </c>
      <c r="E2881" s="2">
        <v>1.0</v>
      </c>
      <c r="F2881" s="2">
        <v>75.0</v>
      </c>
      <c r="G2881" s="2">
        <v>121400.0</v>
      </c>
    </row>
    <row r="2882" ht="14.25" customHeight="1">
      <c r="A2882" s="2">
        <v>2881.0</v>
      </c>
      <c r="B2882" s="2" t="s">
        <v>2549</v>
      </c>
      <c r="C2882" s="2" t="s">
        <v>5375</v>
      </c>
      <c r="D2882" s="2">
        <v>115.0</v>
      </c>
      <c r="E2882" s="2">
        <v>1.0</v>
      </c>
      <c r="F2882" s="2">
        <v>100.0</v>
      </c>
      <c r="G2882" s="2">
        <v>121300.0</v>
      </c>
    </row>
    <row r="2883" ht="14.25" customHeight="1">
      <c r="A2883" s="2">
        <v>2882.0</v>
      </c>
      <c r="B2883" s="2" t="s">
        <v>2479</v>
      </c>
      <c r="C2883" s="2" t="s">
        <v>3562</v>
      </c>
      <c r="D2883" s="2">
        <v>182.0</v>
      </c>
      <c r="E2883" s="2">
        <v>1.0</v>
      </c>
      <c r="F2883" s="2">
        <v>75.0</v>
      </c>
      <c r="G2883" s="2">
        <v>121300.0</v>
      </c>
    </row>
    <row r="2884" ht="14.25" customHeight="1">
      <c r="A2884" s="2">
        <v>2883.0</v>
      </c>
      <c r="B2884" s="2" t="s">
        <v>2534</v>
      </c>
      <c r="C2884" s="2" t="s">
        <v>5376</v>
      </c>
      <c r="D2884" s="2">
        <v>188.0</v>
      </c>
      <c r="E2884" s="2">
        <v>1.0</v>
      </c>
      <c r="F2884" s="2">
        <v>200.0</v>
      </c>
      <c r="G2884" s="2">
        <v>121300.0</v>
      </c>
    </row>
    <row r="2885" ht="14.25" customHeight="1">
      <c r="A2885" s="2">
        <v>2884.0</v>
      </c>
      <c r="B2885" s="2" t="s">
        <v>2604</v>
      </c>
      <c r="C2885" s="2" t="s">
        <v>5377</v>
      </c>
      <c r="D2885" s="2">
        <v>200.0</v>
      </c>
      <c r="E2885" s="2">
        <v>1.0</v>
      </c>
      <c r="F2885" s="2">
        <v>105.0</v>
      </c>
      <c r="G2885" s="2">
        <v>121300.0</v>
      </c>
    </row>
    <row r="2886" ht="14.25" customHeight="1">
      <c r="A2886" s="2">
        <v>2885.0</v>
      </c>
      <c r="B2886" s="2" t="s">
        <v>2621</v>
      </c>
      <c r="C2886" s="2" t="s">
        <v>5378</v>
      </c>
      <c r="D2886" s="2">
        <v>403.0</v>
      </c>
      <c r="E2886" s="2">
        <v>1.0</v>
      </c>
      <c r="F2886" s="2">
        <v>62.5</v>
      </c>
      <c r="G2886" s="2">
        <v>121300.0</v>
      </c>
    </row>
    <row r="2887" ht="14.25" customHeight="1">
      <c r="A2887" s="2">
        <v>2886.0</v>
      </c>
      <c r="B2887" s="2" t="s">
        <v>2503</v>
      </c>
      <c r="C2887" s="2" t="s">
        <v>5379</v>
      </c>
      <c r="D2887" s="2">
        <v>105.0</v>
      </c>
      <c r="E2887" s="2">
        <v>1.0</v>
      </c>
      <c r="F2887" s="2">
        <v>75.0</v>
      </c>
      <c r="G2887" s="2">
        <v>121200.0</v>
      </c>
    </row>
    <row r="2888" ht="14.25" customHeight="1">
      <c r="A2888" s="2">
        <v>2887.0</v>
      </c>
      <c r="B2888" s="2" t="s">
        <v>2686</v>
      </c>
      <c r="C2888" s="2" t="s">
        <v>5380</v>
      </c>
      <c r="D2888" s="2">
        <v>127.0</v>
      </c>
      <c r="E2888" s="2">
        <v>1.0</v>
      </c>
      <c r="F2888" s="2">
        <v>60.0</v>
      </c>
      <c r="G2888" s="2">
        <v>121200.0</v>
      </c>
    </row>
    <row r="2889" ht="14.25" customHeight="1">
      <c r="A2889" s="2">
        <v>2888.0</v>
      </c>
      <c r="B2889" s="2" t="s">
        <v>2576</v>
      </c>
      <c r="C2889" s="2" t="s">
        <v>5381</v>
      </c>
      <c r="D2889" s="2">
        <v>197.0</v>
      </c>
      <c r="E2889" s="2">
        <v>1.0</v>
      </c>
      <c r="F2889" s="2">
        <v>100.0</v>
      </c>
      <c r="G2889" s="2">
        <v>121200.0</v>
      </c>
    </row>
    <row r="2890" ht="14.25" customHeight="1">
      <c r="A2890" s="2">
        <v>2889.0</v>
      </c>
      <c r="B2890" s="2" t="s">
        <v>2503</v>
      </c>
      <c r="C2890" s="2" t="s">
        <v>5382</v>
      </c>
      <c r="D2890" s="2">
        <v>105.0</v>
      </c>
      <c r="E2890" s="2">
        <v>1.0</v>
      </c>
      <c r="F2890" s="2">
        <v>100.0</v>
      </c>
      <c r="G2890" s="2">
        <v>121100.0</v>
      </c>
    </row>
    <row r="2891" ht="14.25" customHeight="1">
      <c r="A2891" s="2">
        <v>2890.0</v>
      </c>
      <c r="B2891" s="2" t="s">
        <v>2594</v>
      </c>
      <c r="C2891" s="2" t="s">
        <v>5383</v>
      </c>
      <c r="D2891" s="2">
        <v>184.0</v>
      </c>
      <c r="E2891" s="2">
        <v>1.0</v>
      </c>
      <c r="F2891" s="2">
        <v>100.0</v>
      </c>
      <c r="G2891" s="2">
        <v>121100.0</v>
      </c>
    </row>
    <row r="2892" ht="14.25" customHeight="1">
      <c r="A2892" s="2">
        <v>2891.0</v>
      </c>
      <c r="B2892" s="2" t="s">
        <v>2524</v>
      </c>
      <c r="C2892" s="2" t="s">
        <v>5384</v>
      </c>
      <c r="D2892" s="2">
        <v>331.0</v>
      </c>
      <c r="E2892" s="2">
        <v>1.0</v>
      </c>
      <c r="F2892" s="2">
        <v>100.0</v>
      </c>
      <c r="G2892" s="2">
        <v>121100.0</v>
      </c>
    </row>
    <row r="2893" ht="14.25" customHeight="1">
      <c r="A2893" s="2">
        <v>2892.0</v>
      </c>
      <c r="B2893" s="2" t="s">
        <v>2505</v>
      </c>
      <c r="C2893" s="2" t="s">
        <v>5385</v>
      </c>
      <c r="D2893" s="2">
        <v>429.0</v>
      </c>
      <c r="E2893" s="2">
        <v>1.0</v>
      </c>
      <c r="F2893" s="2">
        <v>66.0</v>
      </c>
      <c r="G2893" s="2">
        <v>121100.0</v>
      </c>
    </row>
    <row r="2894" ht="14.25" customHeight="1">
      <c r="A2894" s="2">
        <v>2893.0</v>
      </c>
      <c r="B2894" s="2" t="s">
        <v>2491</v>
      </c>
      <c r="C2894" s="2" t="s">
        <v>5386</v>
      </c>
      <c r="D2894" s="2">
        <v>116.0</v>
      </c>
      <c r="E2894" s="2">
        <v>1.0</v>
      </c>
      <c r="F2894" s="2">
        <v>100.0</v>
      </c>
      <c r="G2894" s="2">
        <v>121000.0</v>
      </c>
    </row>
    <row r="2895" ht="14.25" customHeight="1">
      <c r="A2895" s="2">
        <v>2894.0</v>
      </c>
      <c r="B2895" s="2" t="s">
        <v>2512</v>
      </c>
      <c r="C2895" s="2" t="s">
        <v>5387</v>
      </c>
      <c r="D2895" s="2">
        <v>153.0</v>
      </c>
      <c r="E2895" s="2">
        <v>1.0</v>
      </c>
      <c r="F2895" s="2">
        <v>50.0</v>
      </c>
      <c r="G2895" s="2">
        <v>121000.0</v>
      </c>
    </row>
    <row r="2896" ht="14.25" customHeight="1">
      <c r="A2896" s="2">
        <v>2895.0</v>
      </c>
      <c r="B2896" s="2" t="s">
        <v>2744</v>
      </c>
      <c r="C2896" s="2" t="s">
        <v>5388</v>
      </c>
      <c r="D2896" s="2">
        <v>169.0</v>
      </c>
      <c r="E2896" s="2">
        <v>1.0</v>
      </c>
      <c r="F2896" s="2">
        <v>100.0</v>
      </c>
      <c r="G2896" s="2">
        <v>121000.0</v>
      </c>
    </row>
    <row r="2897" ht="14.25" customHeight="1">
      <c r="A2897" s="2">
        <v>2896.0</v>
      </c>
      <c r="B2897" s="2" t="s">
        <v>2594</v>
      </c>
      <c r="C2897" s="2" t="s">
        <v>5389</v>
      </c>
      <c r="D2897" s="2">
        <v>184.0</v>
      </c>
      <c r="E2897" s="2">
        <v>1.0</v>
      </c>
      <c r="F2897" s="2">
        <v>66.0</v>
      </c>
      <c r="G2897" s="2">
        <v>121000.0</v>
      </c>
    </row>
    <row r="2898" ht="14.25" customHeight="1">
      <c r="A2898" s="2">
        <v>2897.0</v>
      </c>
      <c r="B2898" s="2" t="s">
        <v>2534</v>
      </c>
      <c r="C2898" s="2" t="s">
        <v>5390</v>
      </c>
      <c r="D2898" s="2">
        <v>188.0</v>
      </c>
      <c r="E2898" s="2">
        <v>1.0</v>
      </c>
      <c r="F2898" s="2">
        <v>100.0</v>
      </c>
      <c r="G2898" s="2">
        <v>121000.0</v>
      </c>
    </row>
    <row r="2899" ht="14.25" customHeight="1">
      <c r="A2899" s="2">
        <v>2898.0</v>
      </c>
      <c r="B2899" s="2" t="s">
        <v>2651</v>
      </c>
      <c r="C2899" s="2" t="s">
        <v>5391</v>
      </c>
      <c r="D2899" s="2">
        <v>347.0</v>
      </c>
      <c r="E2899" s="2">
        <v>1.0</v>
      </c>
      <c r="F2899" s="2">
        <v>57.0</v>
      </c>
      <c r="G2899" s="2">
        <v>121000.0</v>
      </c>
    </row>
    <row r="2900" ht="14.25" customHeight="1">
      <c r="A2900" s="2">
        <v>2899.0</v>
      </c>
      <c r="B2900" s="2" t="s">
        <v>2621</v>
      </c>
      <c r="C2900" s="2" t="s">
        <v>5392</v>
      </c>
      <c r="D2900" s="2">
        <v>403.0</v>
      </c>
      <c r="E2900" s="2">
        <v>1.0</v>
      </c>
      <c r="F2900" s="2">
        <v>75.0</v>
      </c>
      <c r="G2900" s="2">
        <v>121000.0</v>
      </c>
    </row>
    <row r="2901" ht="14.25" customHeight="1">
      <c r="A2901" s="2">
        <v>2900.0</v>
      </c>
      <c r="B2901" s="2" t="s">
        <v>2549</v>
      </c>
      <c r="C2901" s="2" t="s">
        <v>5393</v>
      </c>
      <c r="D2901" s="2">
        <v>115.0</v>
      </c>
      <c r="E2901" s="2">
        <v>1.0</v>
      </c>
      <c r="F2901" s="2">
        <v>66.0</v>
      </c>
      <c r="G2901" s="2">
        <v>120900.0</v>
      </c>
    </row>
    <row r="2902" ht="14.25" customHeight="1">
      <c r="A2902" s="2">
        <v>2901.0</v>
      </c>
      <c r="B2902" s="2" t="s">
        <v>2744</v>
      </c>
      <c r="C2902" s="2" t="s">
        <v>5394</v>
      </c>
      <c r="D2902" s="2">
        <v>169.0</v>
      </c>
      <c r="E2902" s="2">
        <v>1.0</v>
      </c>
      <c r="F2902" s="2">
        <v>50.0</v>
      </c>
      <c r="G2902" s="2">
        <v>120900.0</v>
      </c>
    </row>
    <row r="2903" ht="14.25" customHeight="1">
      <c r="A2903" s="2">
        <v>2902.0</v>
      </c>
      <c r="B2903" s="2" t="s">
        <v>2604</v>
      </c>
      <c r="C2903" s="2" t="s">
        <v>5395</v>
      </c>
      <c r="D2903" s="2">
        <v>200.0</v>
      </c>
      <c r="E2903" s="2">
        <v>1.0</v>
      </c>
      <c r="F2903" s="2">
        <v>65.0</v>
      </c>
      <c r="G2903" s="2">
        <v>120900.0</v>
      </c>
    </row>
    <row r="2904" ht="14.25" customHeight="1">
      <c r="A2904" s="2">
        <v>2903.0</v>
      </c>
      <c r="B2904" s="2" t="s">
        <v>2651</v>
      </c>
      <c r="C2904" s="2" t="s">
        <v>5396</v>
      </c>
      <c r="D2904" s="2">
        <v>347.0</v>
      </c>
      <c r="E2904" s="2">
        <v>1.0</v>
      </c>
      <c r="F2904" s="2">
        <v>55.0</v>
      </c>
      <c r="G2904" s="2">
        <v>120900.0</v>
      </c>
    </row>
    <row r="2905" ht="14.25" customHeight="1">
      <c r="A2905" s="2">
        <v>2904.0</v>
      </c>
      <c r="B2905" s="2" t="s">
        <v>2553</v>
      </c>
      <c r="C2905" s="2" t="s">
        <v>5397</v>
      </c>
      <c r="D2905" s="2">
        <v>187.0</v>
      </c>
      <c r="E2905" s="2">
        <v>1.0</v>
      </c>
      <c r="F2905" s="2">
        <v>50.0</v>
      </c>
      <c r="G2905" s="2">
        <v>120800.0</v>
      </c>
    </row>
    <row r="2906" ht="14.25" customHeight="1">
      <c r="A2906" s="2">
        <v>2905.0</v>
      </c>
      <c r="B2906" s="2" t="s">
        <v>2507</v>
      </c>
      <c r="C2906" s="2" t="s">
        <v>5398</v>
      </c>
      <c r="D2906" s="2">
        <v>205.0</v>
      </c>
      <c r="E2906" s="2">
        <v>1.0</v>
      </c>
      <c r="F2906" s="2">
        <v>100.0</v>
      </c>
      <c r="G2906" s="2">
        <v>120800.0</v>
      </c>
    </row>
    <row r="2907" ht="14.25" customHeight="1">
      <c r="A2907" s="2">
        <v>2906.0</v>
      </c>
      <c r="B2907" s="2" t="s">
        <v>2686</v>
      </c>
      <c r="C2907" s="2" t="s">
        <v>5399</v>
      </c>
      <c r="D2907" s="2">
        <v>127.0</v>
      </c>
      <c r="E2907" s="2">
        <v>1.0</v>
      </c>
      <c r="F2907" s="2">
        <v>132.0</v>
      </c>
      <c r="G2907" s="2">
        <v>120700.0</v>
      </c>
    </row>
    <row r="2908" ht="14.25" customHeight="1">
      <c r="A2908" s="2">
        <v>2907.0</v>
      </c>
      <c r="B2908" s="2" t="s">
        <v>2518</v>
      </c>
      <c r="C2908" s="2" t="s">
        <v>5400</v>
      </c>
      <c r="D2908" s="2">
        <v>161.0</v>
      </c>
      <c r="E2908" s="2">
        <v>1.0</v>
      </c>
      <c r="F2908" s="2">
        <v>50.0</v>
      </c>
      <c r="G2908" s="2">
        <v>120600.0</v>
      </c>
    </row>
    <row r="2909" ht="14.25" customHeight="1">
      <c r="A2909" s="2">
        <v>2908.0</v>
      </c>
      <c r="B2909" s="2" t="s">
        <v>2571</v>
      </c>
      <c r="C2909" s="2" t="s">
        <v>5401</v>
      </c>
      <c r="D2909" s="2">
        <v>185.0</v>
      </c>
      <c r="E2909" s="2">
        <v>1.0</v>
      </c>
      <c r="F2909" s="2">
        <v>120.0</v>
      </c>
      <c r="G2909" s="2">
        <v>120600.0</v>
      </c>
    </row>
    <row r="2910" ht="14.25" customHeight="1">
      <c r="A2910" s="2">
        <v>2909.0</v>
      </c>
      <c r="B2910" s="2" t="s">
        <v>2571</v>
      </c>
      <c r="C2910" s="2" t="s">
        <v>5402</v>
      </c>
      <c r="D2910" s="2">
        <v>185.0</v>
      </c>
      <c r="E2910" s="2">
        <v>1.0</v>
      </c>
      <c r="F2910" s="2">
        <v>75.0</v>
      </c>
      <c r="G2910" s="2">
        <v>120600.0</v>
      </c>
    </row>
    <row r="2911" ht="14.25" customHeight="1">
      <c r="A2911" s="2">
        <v>2910.0</v>
      </c>
      <c r="B2911" s="2" t="s">
        <v>2553</v>
      </c>
      <c r="C2911" s="2" t="s">
        <v>5403</v>
      </c>
      <c r="D2911" s="2">
        <v>187.0</v>
      </c>
      <c r="E2911" s="2">
        <v>1.0</v>
      </c>
      <c r="F2911" s="2">
        <v>100.0</v>
      </c>
      <c r="G2911" s="2">
        <v>120600.0</v>
      </c>
    </row>
    <row r="2912" ht="14.25" customHeight="1">
      <c r="A2912" s="2">
        <v>2911.0</v>
      </c>
      <c r="B2912" s="2" t="s">
        <v>2534</v>
      </c>
      <c r="C2912" s="2" t="s">
        <v>5404</v>
      </c>
      <c r="D2912" s="2">
        <v>188.0</v>
      </c>
      <c r="E2912" s="2">
        <v>1.0</v>
      </c>
      <c r="F2912" s="2">
        <v>70.0</v>
      </c>
      <c r="G2912" s="2">
        <v>120600.0</v>
      </c>
    </row>
    <row r="2913" ht="14.25" customHeight="1">
      <c r="A2913" s="2">
        <v>2912.0</v>
      </c>
      <c r="B2913" s="2" t="s">
        <v>2501</v>
      </c>
      <c r="C2913" s="2" t="s">
        <v>5405</v>
      </c>
      <c r="D2913" s="2">
        <v>199.0</v>
      </c>
      <c r="E2913" s="2">
        <v>1.0</v>
      </c>
      <c r="F2913" s="2">
        <v>200.0</v>
      </c>
      <c r="G2913" s="2">
        <v>120600.0</v>
      </c>
    </row>
    <row r="2914" ht="14.25" customHeight="1">
      <c r="A2914" s="2">
        <v>2913.0</v>
      </c>
      <c r="B2914" s="2" t="s">
        <v>2501</v>
      </c>
      <c r="C2914" s="2" t="s">
        <v>5406</v>
      </c>
      <c r="D2914" s="2">
        <v>199.0</v>
      </c>
      <c r="E2914" s="2">
        <v>1.0</v>
      </c>
      <c r="F2914" s="2">
        <v>100.0</v>
      </c>
      <c r="G2914" s="2">
        <v>120600.0</v>
      </c>
    </row>
    <row r="2915" ht="14.25" customHeight="1">
      <c r="A2915" s="2">
        <v>2914.0</v>
      </c>
      <c r="B2915" s="2" t="s">
        <v>2636</v>
      </c>
      <c r="C2915" s="2" t="s">
        <v>5407</v>
      </c>
      <c r="D2915" s="2">
        <v>145.0</v>
      </c>
      <c r="E2915" s="2">
        <v>1.0</v>
      </c>
      <c r="F2915" s="2">
        <v>100.0</v>
      </c>
      <c r="G2915" s="2">
        <v>120500.0</v>
      </c>
    </row>
    <row r="2916" ht="14.25" customHeight="1">
      <c r="A2916" s="2">
        <v>2915.0</v>
      </c>
      <c r="B2916" s="2" t="s">
        <v>2479</v>
      </c>
      <c r="C2916" s="2" t="s">
        <v>5408</v>
      </c>
      <c r="D2916" s="2">
        <v>182.0</v>
      </c>
      <c r="E2916" s="2">
        <v>1.0</v>
      </c>
      <c r="F2916" s="2">
        <v>75.0</v>
      </c>
      <c r="G2916" s="2">
        <v>120500.0</v>
      </c>
    </row>
    <row r="2917" ht="14.25" customHeight="1">
      <c r="A2917" s="2">
        <v>2916.0</v>
      </c>
      <c r="B2917" s="2" t="s">
        <v>2571</v>
      </c>
      <c r="C2917" s="2" t="s">
        <v>5409</v>
      </c>
      <c r="D2917" s="2">
        <v>185.0</v>
      </c>
      <c r="E2917" s="2">
        <v>1.0</v>
      </c>
      <c r="F2917" s="2">
        <v>100.0</v>
      </c>
      <c r="G2917" s="2">
        <v>120500.0</v>
      </c>
    </row>
    <row r="2918" ht="14.25" customHeight="1">
      <c r="A2918" s="2">
        <v>2917.0</v>
      </c>
      <c r="B2918" s="2" t="s">
        <v>2571</v>
      </c>
      <c r="C2918" s="2" t="s">
        <v>5410</v>
      </c>
      <c r="D2918" s="2">
        <v>185.0</v>
      </c>
      <c r="E2918" s="2">
        <v>1.0</v>
      </c>
      <c r="F2918" s="2">
        <v>66.0</v>
      </c>
      <c r="G2918" s="2">
        <v>120500.0</v>
      </c>
    </row>
    <row r="2919" ht="14.25" customHeight="1">
      <c r="A2919" s="2">
        <v>2918.0</v>
      </c>
      <c r="B2919" s="2" t="s">
        <v>2553</v>
      </c>
      <c r="C2919" s="2" t="s">
        <v>5411</v>
      </c>
      <c r="D2919" s="2">
        <v>187.0</v>
      </c>
      <c r="E2919" s="2">
        <v>1.0</v>
      </c>
      <c r="F2919" s="2">
        <v>100.0</v>
      </c>
      <c r="G2919" s="2">
        <v>120500.0</v>
      </c>
    </row>
    <row r="2920" ht="14.25" customHeight="1">
      <c r="A2920" s="2">
        <v>2919.0</v>
      </c>
      <c r="B2920" s="2" t="s">
        <v>2576</v>
      </c>
      <c r="C2920" s="2" t="s">
        <v>5412</v>
      </c>
      <c r="D2920" s="2">
        <v>197.0</v>
      </c>
      <c r="E2920" s="2">
        <v>1.0</v>
      </c>
      <c r="F2920" s="2">
        <v>50.0</v>
      </c>
      <c r="G2920" s="2">
        <v>120500.0</v>
      </c>
    </row>
    <row r="2921" ht="14.25" customHeight="1">
      <c r="A2921" s="2">
        <v>2920.0</v>
      </c>
      <c r="B2921" s="2" t="s">
        <v>2505</v>
      </c>
      <c r="C2921" s="2" t="s">
        <v>5413</v>
      </c>
      <c r="D2921" s="2">
        <v>429.0</v>
      </c>
      <c r="E2921" s="2">
        <v>1.0</v>
      </c>
      <c r="F2921" s="2">
        <v>125.0</v>
      </c>
      <c r="G2921" s="2">
        <v>120500.0</v>
      </c>
    </row>
    <row r="2922" ht="14.25" customHeight="1">
      <c r="A2922" s="2">
        <v>2921.0</v>
      </c>
      <c r="B2922" s="2" t="s">
        <v>2744</v>
      </c>
      <c r="C2922" s="2" t="s">
        <v>5414</v>
      </c>
      <c r="D2922" s="2">
        <v>169.0</v>
      </c>
      <c r="E2922" s="2">
        <v>1.0</v>
      </c>
      <c r="F2922" s="2">
        <v>50.0</v>
      </c>
      <c r="G2922" s="2">
        <v>120400.0</v>
      </c>
    </row>
    <row r="2923" ht="14.25" customHeight="1">
      <c r="A2923" s="2">
        <v>2922.0</v>
      </c>
      <c r="B2923" s="2" t="s">
        <v>2582</v>
      </c>
      <c r="C2923" s="2" t="s">
        <v>5415</v>
      </c>
      <c r="D2923" s="2">
        <v>183.0</v>
      </c>
      <c r="E2923" s="2">
        <v>1.0</v>
      </c>
      <c r="F2923" s="2">
        <v>55.0</v>
      </c>
      <c r="G2923" s="2">
        <v>120400.0</v>
      </c>
    </row>
    <row r="2924" ht="14.25" customHeight="1">
      <c r="A2924" s="2">
        <v>2923.0</v>
      </c>
      <c r="B2924" s="2" t="s">
        <v>2488</v>
      </c>
      <c r="C2924" s="2" t="s">
        <v>5416</v>
      </c>
      <c r="D2924" s="2">
        <v>333.0</v>
      </c>
      <c r="E2924" s="2">
        <v>1.0</v>
      </c>
      <c r="F2924" s="2">
        <v>52.0</v>
      </c>
      <c r="G2924" s="2">
        <v>120400.0</v>
      </c>
    </row>
    <row r="2925" ht="14.25" customHeight="1">
      <c r="A2925" s="2">
        <v>2924.0</v>
      </c>
      <c r="B2925" s="2" t="s">
        <v>2549</v>
      </c>
      <c r="C2925" s="2" t="s">
        <v>5417</v>
      </c>
      <c r="D2925" s="2">
        <v>115.0</v>
      </c>
      <c r="E2925" s="2">
        <v>1.0</v>
      </c>
      <c r="F2925" s="2">
        <v>100.0</v>
      </c>
      <c r="G2925" s="2">
        <v>120300.0</v>
      </c>
    </row>
    <row r="2926" ht="14.25" customHeight="1">
      <c r="A2926" s="2">
        <v>2925.0</v>
      </c>
      <c r="B2926" s="2" t="s">
        <v>2549</v>
      </c>
      <c r="C2926" s="2" t="s">
        <v>5418</v>
      </c>
      <c r="D2926" s="2">
        <v>115.0</v>
      </c>
      <c r="E2926" s="2">
        <v>1.0</v>
      </c>
      <c r="F2926" s="2">
        <v>50.0</v>
      </c>
      <c r="G2926" s="2">
        <v>120300.0</v>
      </c>
    </row>
    <row r="2927" ht="14.25" customHeight="1">
      <c r="A2927" s="2">
        <v>2926.0</v>
      </c>
      <c r="B2927" s="2" t="s">
        <v>2497</v>
      </c>
      <c r="C2927" s="2" t="s">
        <v>5419</v>
      </c>
      <c r="D2927" s="2">
        <v>151.0</v>
      </c>
      <c r="E2927" s="2">
        <v>1.0</v>
      </c>
      <c r="F2927" s="2">
        <v>160.0</v>
      </c>
      <c r="G2927" s="2">
        <v>120300.0</v>
      </c>
    </row>
    <row r="2928" ht="14.25" customHeight="1">
      <c r="A2928" s="2">
        <v>2927.0</v>
      </c>
      <c r="B2928" s="2" t="s">
        <v>2512</v>
      </c>
      <c r="C2928" s="2" t="s">
        <v>5420</v>
      </c>
      <c r="D2928" s="2">
        <v>153.0</v>
      </c>
      <c r="E2928" s="2">
        <v>1.0</v>
      </c>
      <c r="F2928" s="2">
        <v>50.0</v>
      </c>
      <c r="G2928" s="2">
        <v>120300.0</v>
      </c>
    </row>
    <row r="2929" ht="14.25" customHeight="1">
      <c r="A2929" s="2">
        <v>2928.0</v>
      </c>
      <c r="B2929" s="2" t="s">
        <v>2744</v>
      </c>
      <c r="C2929" s="2" t="s">
        <v>5421</v>
      </c>
      <c r="D2929" s="2">
        <v>169.0</v>
      </c>
      <c r="E2929" s="2">
        <v>1.0</v>
      </c>
      <c r="F2929" s="2">
        <v>75.0</v>
      </c>
      <c r="G2929" s="2">
        <v>120300.0</v>
      </c>
    </row>
    <row r="2930" ht="14.25" customHeight="1">
      <c r="A2930" s="2">
        <v>2929.0</v>
      </c>
      <c r="B2930" s="2" t="s">
        <v>2541</v>
      </c>
      <c r="C2930" s="2" t="s">
        <v>5422</v>
      </c>
      <c r="D2930" s="2">
        <v>195.0</v>
      </c>
      <c r="E2930" s="2">
        <v>1.0</v>
      </c>
      <c r="F2930" s="2">
        <v>100.0</v>
      </c>
      <c r="G2930" s="2">
        <v>120300.0</v>
      </c>
    </row>
    <row r="2931" ht="14.25" customHeight="1">
      <c r="A2931" s="2">
        <v>2930.0</v>
      </c>
      <c r="B2931" s="2" t="s">
        <v>2524</v>
      </c>
      <c r="C2931" s="2" t="s">
        <v>5423</v>
      </c>
      <c r="D2931" s="2">
        <v>331.0</v>
      </c>
      <c r="E2931" s="2">
        <v>1.0</v>
      </c>
      <c r="F2931" s="2">
        <v>90.0</v>
      </c>
      <c r="G2931" s="2">
        <v>120300.0</v>
      </c>
    </row>
    <row r="2932" ht="14.25" customHeight="1">
      <c r="A2932" s="2">
        <v>2931.0</v>
      </c>
      <c r="B2932" s="2" t="s">
        <v>2651</v>
      </c>
      <c r="C2932" s="2" t="s">
        <v>5424</v>
      </c>
      <c r="D2932" s="2">
        <v>347.0</v>
      </c>
      <c r="E2932" s="2">
        <v>1.0</v>
      </c>
      <c r="F2932" s="2">
        <v>120.0</v>
      </c>
      <c r="G2932" s="2">
        <v>120300.0</v>
      </c>
    </row>
    <row r="2933" ht="14.25" customHeight="1">
      <c r="A2933" s="2">
        <v>2932.0</v>
      </c>
      <c r="B2933" s="2" t="s">
        <v>2503</v>
      </c>
      <c r="C2933" s="2" t="s">
        <v>5425</v>
      </c>
      <c r="D2933" s="2">
        <v>105.0</v>
      </c>
      <c r="E2933" s="2">
        <v>1.0</v>
      </c>
      <c r="F2933" s="2">
        <v>100.0</v>
      </c>
      <c r="G2933" s="2">
        <v>120100.0</v>
      </c>
    </row>
    <row r="2934" ht="14.25" customHeight="1">
      <c r="A2934" s="2">
        <v>2933.0</v>
      </c>
      <c r="B2934" s="2" t="s">
        <v>2497</v>
      </c>
      <c r="C2934" s="2" t="s">
        <v>5426</v>
      </c>
      <c r="D2934" s="2">
        <v>151.0</v>
      </c>
      <c r="E2934" s="2">
        <v>1.0</v>
      </c>
      <c r="F2934" s="2">
        <v>100.0</v>
      </c>
      <c r="G2934" s="2">
        <v>120100.0</v>
      </c>
    </row>
    <row r="2935" ht="14.25" customHeight="1">
      <c r="A2935" s="2">
        <v>2934.0</v>
      </c>
      <c r="B2935" s="2" t="s">
        <v>2497</v>
      </c>
      <c r="C2935" s="2" t="s">
        <v>5427</v>
      </c>
      <c r="D2935" s="2">
        <v>151.0</v>
      </c>
      <c r="E2935" s="2">
        <v>1.0</v>
      </c>
      <c r="F2935" s="2">
        <v>66.0</v>
      </c>
      <c r="G2935" s="2">
        <v>120100.0</v>
      </c>
    </row>
    <row r="2936" ht="14.25" customHeight="1">
      <c r="A2936" s="2">
        <v>2935.0</v>
      </c>
      <c r="B2936" s="2" t="s">
        <v>2571</v>
      </c>
      <c r="C2936" s="2" t="s">
        <v>5428</v>
      </c>
      <c r="D2936" s="2">
        <v>185.0</v>
      </c>
      <c r="E2936" s="2">
        <v>1.0</v>
      </c>
      <c r="F2936" s="2">
        <v>100.0</v>
      </c>
      <c r="G2936" s="2">
        <v>120100.0</v>
      </c>
    </row>
    <row r="2937" ht="14.25" customHeight="1">
      <c r="A2937" s="2">
        <v>2936.0</v>
      </c>
      <c r="B2937" s="2" t="s">
        <v>2507</v>
      </c>
      <c r="C2937" s="2" t="s">
        <v>5429</v>
      </c>
      <c r="D2937" s="2">
        <v>205.0</v>
      </c>
      <c r="E2937" s="2">
        <v>1.0</v>
      </c>
      <c r="F2937" s="2">
        <v>80.0</v>
      </c>
      <c r="G2937" s="2">
        <v>120100.0</v>
      </c>
    </row>
    <row r="2938" ht="14.25" customHeight="1">
      <c r="A2938" s="2">
        <v>2937.0</v>
      </c>
      <c r="B2938" s="2" t="s">
        <v>2503</v>
      </c>
      <c r="C2938" s="2" t="s">
        <v>5430</v>
      </c>
      <c r="D2938" s="2">
        <v>105.0</v>
      </c>
      <c r="E2938" s="2">
        <v>1.0</v>
      </c>
      <c r="F2938" s="2">
        <v>66.0</v>
      </c>
      <c r="G2938" s="2">
        <v>120000.0</v>
      </c>
    </row>
    <row r="2939" ht="14.25" customHeight="1">
      <c r="A2939" s="2">
        <v>2938.0</v>
      </c>
      <c r="B2939" s="2" t="s">
        <v>2636</v>
      </c>
      <c r="C2939" s="2" t="s">
        <v>5431</v>
      </c>
      <c r="D2939" s="2">
        <v>145.0</v>
      </c>
      <c r="E2939" s="2">
        <v>1.0</v>
      </c>
      <c r="F2939" s="2">
        <v>85.0</v>
      </c>
      <c r="G2939" s="2">
        <v>120000.0</v>
      </c>
    </row>
    <row r="2940" ht="14.25" customHeight="1">
      <c r="A2940" s="2">
        <v>2939.0</v>
      </c>
      <c r="B2940" s="2" t="s">
        <v>2744</v>
      </c>
      <c r="C2940" s="2" t="s">
        <v>5432</v>
      </c>
      <c r="D2940" s="2">
        <v>169.0</v>
      </c>
      <c r="E2940" s="2">
        <v>1.0</v>
      </c>
      <c r="F2940" s="2">
        <v>80.0</v>
      </c>
      <c r="G2940" s="2">
        <v>120000.0</v>
      </c>
    </row>
    <row r="2941" ht="14.25" customHeight="1">
      <c r="A2941" s="2">
        <v>2940.0</v>
      </c>
      <c r="B2941" s="2" t="s">
        <v>2479</v>
      </c>
      <c r="C2941" s="2" t="s">
        <v>5433</v>
      </c>
      <c r="D2941" s="2">
        <v>182.0</v>
      </c>
      <c r="E2941" s="2">
        <v>1.0</v>
      </c>
      <c r="F2941" s="2">
        <v>100.0</v>
      </c>
      <c r="G2941" s="2">
        <v>120000.0</v>
      </c>
    </row>
    <row r="2942" ht="14.25" customHeight="1">
      <c r="A2942" s="2">
        <v>2941.0</v>
      </c>
      <c r="B2942" s="2" t="s">
        <v>2553</v>
      </c>
      <c r="C2942" s="2" t="s">
        <v>5434</v>
      </c>
      <c r="D2942" s="2">
        <v>187.0</v>
      </c>
      <c r="E2942" s="2">
        <v>1.0</v>
      </c>
      <c r="F2942" s="2">
        <v>70.0</v>
      </c>
      <c r="G2942" s="2">
        <v>120000.0</v>
      </c>
    </row>
    <row r="2943" ht="14.25" customHeight="1">
      <c r="A2943" s="2">
        <v>2942.0</v>
      </c>
      <c r="B2943" s="2" t="s">
        <v>2604</v>
      </c>
      <c r="C2943" s="2" t="s">
        <v>5435</v>
      </c>
      <c r="D2943" s="2">
        <v>200.0</v>
      </c>
      <c r="E2943" s="2">
        <v>1.0</v>
      </c>
      <c r="F2943" s="2">
        <v>125.0</v>
      </c>
      <c r="G2943" s="2">
        <v>120000.0</v>
      </c>
    </row>
    <row r="2944" ht="14.25" customHeight="1">
      <c r="A2944" s="2">
        <v>2943.0</v>
      </c>
      <c r="B2944" s="2" t="s">
        <v>2651</v>
      </c>
      <c r="C2944" s="2" t="s">
        <v>5436</v>
      </c>
      <c r="D2944" s="2">
        <v>347.0</v>
      </c>
      <c r="E2944" s="2">
        <v>1.0</v>
      </c>
      <c r="F2944" s="2">
        <v>80.0</v>
      </c>
      <c r="G2944" s="2">
        <v>120000.0</v>
      </c>
    </row>
    <row r="2945" ht="14.25" customHeight="1">
      <c r="A2945" s="2">
        <v>2944.0</v>
      </c>
      <c r="B2945" s="2" t="s">
        <v>2491</v>
      </c>
      <c r="C2945" s="2" t="s">
        <v>5437</v>
      </c>
      <c r="D2945" s="2">
        <v>116.0</v>
      </c>
      <c r="E2945" s="2">
        <v>1.0</v>
      </c>
      <c r="F2945" s="2">
        <v>120.0</v>
      </c>
      <c r="G2945" s="2">
        <v>119900.0</v>
      </c>
    </row>
    <row r="2946" ht="14.25" customHeight="1">
      <c r="A2946" s="2">
        <v>2945.0</v>
      </c>
      <c r="B2946" s="2" t="s">
        <v>2594</v>
      </c>
      <c r="C2946" s="2" t="s">
        <v>5438</v>
      </c>
      <c r="D2946" s="2">
        <v>184.0</v>
      </c>
      <c r="E2946" s="2">
        <v>1.0</v>
      </c>
      <c r="F2946" s="2">
        <v>66.0</v>
      </c>
      <c r="G2946" s="2">
        <v>119900.0</v>
      </c>
    </row>
    <row r="2947" ht="14.25" customHeight="1">
      <c r="A2947" s="2">
        <v>2946.0</v>
      </c>
      <c r="B2947" s="2" t="s">
        <v>2594</v>
      </c>
      <c r="C2947" s="2" t="s">
        <v>5439</v>
      </c>
      <c r="D2947" s="2">
        <v>184.0</v>
      </c>
      <c r="E2947" s="2">
        <v>1.0</v>
      </c>
      <c r="F2947" s="2">
        <v>50.0</v>
      </c>
      <c r="G2947" s="2">
        <v>119900.0</v>
      </c>
    </row>
    <row r="2948" ht="14.25" customHeight="1">
      <c r="A2948" s="2">
        <v>2947.0</v>
      </c>
      <c r="B2948" s="2" t="s">
        <v>2604</v>
      </c>
      <c r="C2948" s="2" t="s">
        <v>5440</v>
      </c>
      <c r="D2948" s="2">
        <v>200.0</v>
      </c>
      <c r="E2948" s="2">
        <v>1.0</v>
      </c>
      <c r="F2948" s="2">
        <v>100.0</v>
      </c>
      <c r="G2948" s="2">
        <v>119900.0</v>
      </c>
    </row>
    <row r="2949" ht="14.25" customHeight="1">
      <c r="A2949" s="2">
        <v>2948.0</v>
      </c>
      <c r="B2949" s="2" t="s">
        <v>2512</v>
      </c>
      <c r="C2949" s="2" t="s">
        <v>5441</v>
      </c>
      <c r="D2949" s="2">
        <v>153.0</v>
      </c>
      <c r="E2949" s="2">
        <v>1.0</v>
      </c>
      <c r="F2949" s="2">
        <v>100.0</v>
      </c>
      <c r="G2949" s="2">
        <v>119800.0</v>
      </c>
    </row>
    <row r="2950" ht="14.25" customHeight="1">
      <c r="A2950" s="2">
        <v>2949.0</v>
      </c>
      <c r="B2950" s="2" t="s">
        <v>2582</v>
      </c>
      <c r="C2950" s="2" t="s">
        <v>5442</v>
      </c>
      <c r="D2950" s="2">
        <v>183.0</v>
      </c>
      <c r="E2950" s="2">
        <v>1.0</v>
      </c>
      <c r="F2950" s="2">
        <v>100.0</v>
      </c>
      <c r="G2950" s="2">
        <v>119800.0</v>
      </c>
    </row>
    <row r="2951" ht="14.25" customHeight="1">
      <c r="A2951" s="2">
        <v>2950.0</v>
      </c>
      <c r="B2951" s="2" t="s">
        <v>2507</v>
      </c>
      <c r="C2951" s="2" t="s">
        <v>5443</v>
      </c>
      <c r="D2951" s="2">
        <v>205.0</v>
      </c>
      <c r="E2951" s="2">
        <v>1.0</v>
      </c>
      <c r="F2951" s="2">
        <v>90.0</v>
      </c>
      <c r="G2951" s="2">
        <v>119800.0</v>
      </c>
    </row>
    <row r="2952" ht="14.25" customHeight="1">
      <c r="A2952" s="2">
        <v>2951.0</v>
      </c>
      <c r="B2952" s="2" t="s">
        <v>2507</v>
      </c>
      <c r="C2952" s="2" t="s">
        <v>5444</v>
      </c>
      <c r="D2952" s="2">
        <v>205.0</v>
      </c>
      <c r="E2952" s="2">
        <v>1.0</v>
      </c>
      <c r="F2952" s="2">
        <v>100.0</v>
      </c>
      <c r="G2952" s="2">
        <v>119700.0</v>
      </c>
    </row>
    <row r="2953" ht="14.25" customHeight="1">
      <c r="A2953" s="2">
        <v>2952.0</v>
      </c>
      <c r="B2953" s="2" t="s">
        <v>2651</v>
      </c>
      <c r="C2953" s="2" t="s">
        <v>5445</v>
      </c>
      <c r="D2953" s="2">
        <v>347.0</v>
      </c>
      <c r="E2953" s="2">
        <v>1.0</v>
      </c>
      <c r="F2953" s="2">
        <v>75.0</v>
      </c>
      <c r="G2953" s="2">
        <v>119700.0</v>
      </c>
    </row>
    <row r="2954" ht="14.25" customHeight="1">
      <c r="A2954" s="2">
        <v>2953.0</v>
      </c>
      <c r="B2954" s="2" t="s">
        <v>2505</v>
      </c>
      <c r="C2954" s="2" t="s">
        <v>5446</v>
      </c>
      <c r="D2954" s="2">
        <v>429.0</v>
      </c>
      <c r="E2954" s="2">
        <v>1.0</v>
      </c>
      <c r="F2954" s="2">
        <v>70.0</v>
      </c>
      <c r="G2954" s="2">
        <v>119700.0</v>
      </c>
    </row>
    <row r="2955" ht="14.25" customHeight="1">
      <c r="A2955" s="2">
        <v>2954.0</v>
      </c>
      <c r="B2955" s="2" t="s">
        <v>2686</v>
      </c>
      <c r="C2955" s="2" t="s">
        <v>5447</v>
      </c>
      <c r="D2955" s="2">
        <v>127.0</v>
      </c>
      <c r="E2955" s="2">
        <v>1.0</v>
      </c>
      <c r="F2955" s="2">
        <v>60.0</v>
      </c>
      <c r="G2955" s="2">
        <v>119600.0</v>
      </c>
    </row>
    <row r="2956" ht="14.25" customHeight="1">
      <c r="A2956" s="2">
        <v>2955.0</v>
      </c>
      <c r="B2956" s="2" t="s">
        <v>2541</v>
      </c>
      <c r="C2956" s="2" t="s">
        <v>5448</v>
      </c>
      <c r="D2956" s="2">
        <v>195.0</v>
      </c>
      <c r="E2956" s="2">
        <v>1.0</v>
      </c>
      <c r="F2956" s="2">
        <v>100.0</v>
      </c>
      <c r="G2956" s="2">
        <v>119600.0</v>
      </c>
    </row>
    <row r="2957" ht="14.25" customHeight="1">
      <c r="A2957" s="2">
        <v>2956.0</v>
      </c>
      <c r="B2957" s="2" t="s">
        <v>2505</v>
      </c>
      <c r="C2957" s="2" t="s">
        <v>5449</v>
      </c>
      <c r="D2957" s="2">
        <v>429.0</v>
      </c>
      <c r="E2957" s="2">
        <v>1.0</v>
      </c>
      <c r="F2957" s="2">
        <v>75.0</v>
      </c>
      <c r="G2957" s="2">
        <v>119600.0</v>
      </c>
    </row>
    <row r="2958" ht="14.25" customHeight="1">
      <c r="A2958" s="2">
        <v>2957.0</v>
      </c>
      <c r="B2958" s="2" t="s">
        <v>2503</v>
      </c>
      <c r="C2958" s="2" t="s">
        <v>5450</v>
      </c>
      <c r="D2958" s="2">
        <v>105.0</v>
      </c>
      <c r="E2958" s="2">
        <v>1.0</v>
      </c>
      <c r="F2958" s="2">
        <v>75.0</v>
      </c>
      <c r="G2958" s="2">
        <v>119500.0</v>
      </c>
    </row>
    <row r="2959" ht="14.25" customHeight="1">
      <c r="A2959" s="2">
        <v>2958.0</v>
      </c>
      <c r="B2959" s="2" t="s">
        <v>2518</v>
      </c>
      <c r="C2959" s="2" t="s">
        <v>5451</v>
      </c>
      <c r="D2959" s="2">
        <v>161.0</v>
      </c>
      <c r="E2959" s="2">
        <v>1.0</v>
      </c>
      <c r="F2959" s="2">
        <v>75.0</v>
      </c>
      <c r="G2959" s="2">
        <v>119500.0</v>
      </c>
    </row>
    <row r="2960" ht="14.25" customHeight="1">
      <c r="A2960" s="2">
        <v>2959.0</v>
      </c>
      <c r="B2960" s="2" t="s">
        <v>2541</v>
      </c>
      <c r="C2960" s="2" t="s">
        <v>5452</v>
      </c>
      <c r="D2960" s="2">
        <v>195.0</v>
      </c>
      <c r="E2960" s="2">
        <v>1.0</v>
      </c>
      <c r="F2960" s="2">
        <v>100.0</v>
      </c>
      <c r="G2960" s="2">
        <v>119500.0</v>
      </c>
    </row>
    <row r="2961" ht="14.25" customHeight="1">
      <c r="A2961" s="2">
        <v>2960.0</v>
      </c>
      <c r="B2961" s="2" t="s">
        <v>2507</v>
      </c>
      <c r="C2961" s="2" t="s">
        <v>5453</v>
      </c>
      <c r="D2961" s="2">
        <v>205.0</v>
      </c>
      <c r="E2961" s="2">
        <v>1.0</v>
      </c>
      <c r="F2961" s="2">
        <v>100.0</v>
      </c>
      <c r="G2961" s="2">
        <v>119500.0</v>
      </c>
    </row>
    <row r="2962" ht="14.25" customHeight="1">
      <c r="A2962" s="2">
        <v>2961.0</v>
      </c>
      <c r="B2962" s="2" t="s">
        <v>2477</v>
      </c>
      <c r="C2962" s="2" t="s">
        <v>5454</v>
      </c>
      <c r="D2962" s="2">
        <v>152.0</v>
      </c>
      <c r="E2962" s="2">
        <v>1.0</v>
      </c>
      <c r="F2962" s="2">
        <v>75.0</v>
      </c>
      <c r="G2962" s="2">
        <v>119400.0</v>
      </c>
    </row>
    <row r="2963" ht="14.25" customHeight="1">
      <c r="A2963" s="2">
        <v>2962.0</v>
      </c>
      <c r="B2963" s="2" t="s">
        <v>2582</v>
      </c>
      <c r="C2963" s="2" t="s">
        <v>5455</v>
      </c>
      <c r="D2963" s="2">
        <v>183.0</v>
      </c>
      <c r="E2963" s="2">
        <v>1.0</v>
      </c>
      <c r="F2963" s="2">
        <v>60.0</v>
      </c>
      <c r="G2963" s="2">
        <v>119400.0</v>
      </c>
    </row>
    <row r="2964" ht="14.25" customHeight="1">
      <c r="A2964" s="2">
        <v>2963.0</v>
      </c>
      <c r="B2964" s="2" t="s">
        <v>2604</v>
      </c>
      <c r="C2964" s="2" t="s">
        <v>5456</v>
      </c>
      <c r="D2964" s="2">
        <v>200.0</v>
      </c>
      <c r="E2964" s="2">
        <v>1.0</v>
      </c>
      <c r="F2964" s="2">
        <v>50.0</v>
      </c>
      <c r="G2964" s="2">
        <v>119400.0</v>
      </c>
    </row>
    <row r="2965" ht="14.25" customHeight="1">
      <c r="A2965" s="2">
        <v>2964.0</v>
      </c>
      <c r="B2965" s="2" t="s">
        <v>2503</v>
      </c>
      <c r="C2965" s="2" t="s">
        <v>5457</v>
      </c>
      <c r="D2965" s="2">
        <v>105.0</v>
      </c>
      <c r="E2965" s="2">
        <v>1.0</v>
      </c>
      <c r="F2965" s="2">
        <v>100.0</v>
      </c>
      <c r="G2965" s="2">
        <v>119300.0</v>
      </c>
    </row>
    <row r="2966" ht="14.25" customHeight="1">
      <c r="A2966" s="2">
        <v>2965.0</v>
      </c>
      <c r="B2966" s="2" t="s">
        <v>2686</v>
      </c>
      <c r="C2966" s="2" t="s">
        <v>5458</v>
      </c>
      <c r="D2966" s="2">
        <v>127.0</v>
      </c>
      <c r="E2966" s="2">
        <v>1.0</v>
      </c>
      <c r="F2966" s="2">
        <v>90.0</v>
      </c>
      <c r="G2966" s="2">
        <v>119300.0</v>
      </c>
    </row>
    <row r="2967" ht="14.25" customHeight="1">
      <c r="A2967" s="2">
        <v>2966.0</v>
      </c>
      <c r="B2967" s="2" t="s">
        <v>2512</v>
      </c>
      <c r="C2967" s="2" t="s">
        <v>5459</v>
      </c>
      <c r="D2967" s="2">
        <v>153.0</v>
      </c>
      <c r="E2967" s="2">
        <v>1.0</v>
      </c>
      <c r="F2967" s="2">
        <v>50.0</v>
      </c>
      <c r="G2967" s="2">
        <v>119300.0</v>
      </c>
    </row>
    <row r="2968" ht="14.25" customHeight="1">
      <c r="A2968" s="2">
        <v>2967.0</v>
      </c>
      <c r="B2968" s="2" t="s">
        <v>2604</v>
      </c>
      <c r="C2968" s="2" t="s">
        <v>5460</v>
      </c>
      <c r="D2968" s="2">
        <v>200.0</v>
      </c>
      <c r="E2968" s="2">
        <v>1.0</v>
      </c>
      <c r="F2968" s="2">
        <v>100.0</v>
      </c>
      <c r="G2968" s="2">
        <v>119300.0</v>
      </c>
    </row>
    <row r="2969" ht="14.25" customHeight="1">
      <c r="A2969" s="2">
        <v>2968.0</v>
      </c>
      <c r="B2969" s="2" t="s">
        <v>2505</v>
      </c>
      <c r="C2969" s="2" t="s">
        <v>5461</v>
      </c>
      <c r="D2969" s="2">
        <v>429.0</v>
      </c>
      <c r="E2969" s="2">
        <v>1.0</v>
      </c>
      <c r="F2969" s="2">
        <v>60.0</v>
      </c>
      <c r="G2969" s="2">
        <v>119200.0</v>
      </c>
    </row>
    <row r="2970" ht="14.25" customHeight="1">
      <c r="A2970" s="2">
        <v>2969.0</v>
      </c>
      <c r="B2970" s="2" t="s">
        <v>2475</v>
      </c>
      <c r="C2970" s="2" t="s">
        <v>5462</v>
      </c>
      <c r="D2970" s="2">
        <v>143.0</v>
      </c>
      <c r="E2970" s="2">
        <v>1.0</v>
      </c>
      <c r="F2970" s="2">
        <v>50.0</v>
      </c>
      <c r="G2970" s="2">
        <v>119100.0</v>
      </c>
    </row>
    <row r="2971" ht="14.25" customHeight="1">
      <c r="A2971" s="2">
        <v>2970.0</v>
      </c>
      <c r="B2971" s="2" t="s">
        <v>2475</v>
      </c>
      <c r="C2971" s="2" t="s">
        <v>5463</v>
      </c>
      <c r="D2971" s="2">
        <v>143.0</v>
      </c>
      <c r="E2971" s="2">
        <v>1.0</v>
      </c>
      <c r="F2971" s="2">
        <v>60.0</v>
      </c>
      <c r="G2971" s="2">
        <v>119100.0</v>
      </c>
    </row>
    <row r="2972" ht="14.25" customHeight="1">
      <c r="A2972" s="2">
        <v>2971.0</v>
      </c>
      <c r="B2972" s="2" t="s">
        <v>2571</v>
      </c>
      <c r="C2972" s="2" t="s">
        <v>5464</v>
      </c>
      <c r="D2972" s="2">
        <v>185.0</v>
      </c>
      <c r="E2972" s="2">
        <v>1.0</v>
      </c>
      <c r="F2972" s="2">
        <v>100.0</v>
      </c>
      <c r="G2972" s="2">
        <v>119100.0</v>
      </c>
    </row>
    <row r="2973" ht="14.25" customHeight="1">
      <c r="A2973" s="2">
        <v>2972.0</v>
      </c>
      <c r="B2973" s="2" t="s">
        <v>2505</v>
      </c>
      <c r="C2973" s="2" t="s">
        <v>5465</v>
      </c>
      <c r="D2973" s="2">
        <v>429.0</v>
      </c>
      <c r="E2973" s="2">
        <v>1.0</v>
      </c>
      <c r="F2973" s="2">
        <v>50.0</v>
      </c>
      <c r="G2973" s="2">
        <v>119100.0</v>
      </c>
    </row>
    <row r="2974" ht="14.25" customHeight="1">
      <c r="A2974" s="2">
        <v>2973.0</v>
      </c>
      <c r="B2974" s="2" t="s">
        <v>2512</v>
      </c>
      <c r="C2974" s="2" t="s">
        <v>5466</v>
      </c>
      <c r="D2974" s="2">
        <v>153.0</v>
      </c>
      <c r="E2974" s="2">
        <v>1.0</v>
      </c>
      <c r="F2974" s="2">
        <v>50.0</v>
      </c>
      <c r="G2974" s="2">
        <v>119000.0</v>
      </c>
    </row>
    <row r="2975" ht="14.25" customHeight="1">
      <c r="A2975" s="2">
        <v>2974.0</v>
      </c>
      <c r="B2975" s="2" t="s">
        <v>2488</v>
      </c>
      <c r="C2975" s="2" t="s">
        <v>5467</v>
      </c>
      <c r="D2975" s="2">
        <v>333.0</v>
      </c>
      <c r="E2975" s="2">
        <v>1.0</v>
      </c>
      <c r="F2975" s="2">
        <v>50.0</v>
      </c>
      <c r="G2975" s="2">
        <v>119000.0</v>
      </c>
    </row>
    <row r="2976" ht="14.25" customHeight="1">
      <c r="A2976" s="2">
        <v>2975.0</v>
      </c>
      <c r="B2976" s="2" t="s">
        <v>2651</v>
      </c>
      <c r="C2976" s="2" t="s">
        <v>5468</v>
      </c>
      <c r="D2976" s="2">
        <v>347.0</v>
      </c>
      <c r="E2976" s="2">
        <v>1.0</v>
      </c>
      <c r="F2976" s="2">
        <v>60.0</v>
      </c>
      <c r="G2976" s="2">
        <v>119000.0</v>
      </c>
    </row>
    <row r="2977" ht="14.25" customHeight="1">
      <c r="A2977" s="2">
        <v>2976.0</v>
      </c>
      <c r="B2977" s="2" t="s">
        <v>2621</v>
      </c>
      <c r="C2977" s="2" t="s">
        <v>5469</v>
      </c>
      <c r="D2977" s="2">
        <v>403.0</v>
      </c>
      <c r="E2977" s="2">
        <v>1.0</v>
      </c>
      <c r="F2977" s="2">
        <v>65.0</v>
      </c>
      <c r="G2977" s="2">
        <v>119000.0</v>
      </c>
    </row>
    <row r="2978" ht="14.25" customHeight="1">
      <c r="A2978" s="2">
        <v>2977.0</v>
      </c>
      <c r="B2978" s="2" t="s">
        <v>2686</v>
      </c>
      <c r="C2978" s="2" t="s">
        <v>4295</v>
      </c>
      <c r="D2978" s="2">
        <v>127.0</v>
      </c>
      <c r="E2978" s="2">
        <v>1.0</v>
      </c>
      <c r="F2978" s="2">
        <v>60.0</v>
      </c>
      <c r="G2978" s="2">
        <v>118900.0</v>
      </c>
    </row>
    <row r="2979" ht="14.25" customHeight="1">
      <c r="A2979" s="2">
        <v>2978.0</v>
      </c>
      <c r="B2979" s="2" t="s">
        <v>2582</v>
      </c>
      <c r="C2979" s="2" t="s">
        <v>5470</v>
      </c>
      <c r="D2979" s="2">
        <v>183.0</v>
      </c>
      <c r="E2979" s="2">
        <v>1.0</v>
      </c>
      <c r="F2979" s="2">
        <v>70.0</v>
      </c>
      <c r="G2979" s="2">
        <v>118900.0</v>
      </c>
    </row>
    <row r="2980" ht="14.25" customHeight="1">
      <c r="A2980" s="2">
        <v>2979.0</v>
      </c>
      <c r="B2980" s="2" t="s">
        <v>2512</v>
      </c>
      <c r="C2980" s="2" t="s">
        <v>5471</v>
      </c>
      <c r="D2980" s="2">
        <v>153.0</v>
      </c>
      <c r="E2980" s="2">
        <v>1.0</v>
      </c>
      <c r="F2980" s="2">
        <v>50.0</v>
      </c>
      <c r="G2980" s="2">
        <v>118800.0</v>
      </c>
    </row>
    <row r="2981" ht="14.25" customHeight="1">
      <c r="A2981" s="2">
        <v>2980.0</v>
      </c>
      <c r="B2981" s="2" t="s">
        <v>2571</v>
      </c>
      <c r="C2981" s="2" t="s">
        <v>5472</v>
      </c>
      <c r="D2981" s="2">
        <v>185.0</v>
      </c>
      <c r="E2981" s="2">
        <v>1.0</v>
      </c>
      <c r="F2981" s="2">
        <v>145.0</v>
      </c>
      <c r="G2981" s="2">
        <v>118800.0</v>
      </c>
    </row>
    <row r="2982" ht="14.25" customHeight="1">
      <c r="A2982" s="2">
        <v>2981.0</v>
      </c>
      <c r="B2982" s="2" t="s">
        <v>2576</v>
      </c>
      <c r="C2982" s="2" t="s">
        <v>5473</v>
      </c>
      <c r="D2982" s="2">
        <v>197.0</v>
      </c>
      <c r="E2982" s="2">
        <v>1.0</v>
      </c>
      <c r="F2982" s="2">
        <v>150.0</v>
      </c>
      <c r="G2982" s="2">
        <v>118800.0</v>
      </c>
    </row>
    <row r="2983" ht="14.25" customHeight="1">
      <c r="A2983" s="2">
        <v>2982.0</v>
      </c>
      <c r="B2983" s="2" t="s">
        <v>2475</v>
      </c>
      <c r="C2983" s="2" t="s">
        <v>5474</v>
      </c>
      <c r="D2983" s="2">
        <v>143.0</v>
      </c>
      <c r="E2983" s="2">
        <v>1.0</v>
      </c>
      <c r="F2983" s="2">
        <v>107.0</v>
      </c>
      <c r="G2983" s="2">
        <v>118700.0</v>
      </c>
    </row>
    <row r="2984" ht="14.25" customHeight="1">
      <c r="A2984" s="2">
        <v>2983.0</v>
      </c>
      <c r="B2984" s="2" t="s">
        <v>2512</v>
      </c>
      <c r="C2984" s="2" t="s">
        <v>5475</v>
      </c>
      <c r="D2984" s="2">
        <v>153.0</v>
      </c>
      <c r="E2984" s="2">
        <v>1.0</v>
      </c>
      <c r="F2984" s="2">
        <v>75.0</v>
      </c>
      <c r="G2984" s="2">
        <v>118700.0</v>
      </c>
    </row>
    <row r="2985" ht="14.25" customHeight="1">
      <c r="A2985" s="2">
        <v>2984.0</v>
      </c>
      <c r="B2985" s="2" t="s">
        <v>2594</v>
      </c>
      <c r="C2985" s="2" t="s">
        <v>5476</v>
      </c>
      <c r="D2985" s="2">
        <v>184.0</v>
      </c>
      <c r="E2985" s="2">
        <v>1.0</v>
      </c>
      <c r="F2985" s="2">
        <v>66.0</v>
      </c>
      <c r="G2985" s="2">
        <v>118700.0</v>
      </c>
    </row>
    <row r="2986" ht="14.25" customHeight="1">
      <c r="A2986" s="2">
        <v>2985.0</v>
      </c>
      <c r="B2986" s="2" t="s">
        <v>2594</v>
      </c>
      <c r="C2986" s="2" t="s">
        <v>5477</v>
      </c>
      <c r="D2986" s="2">
        <v>184.0</v>
      </c>
      <c r="E2986" s="2">
        <v>1.0</v>
      </c>
      <c r="F2986" s="2">
        <v>75.0</v>
      </c>
      <c r="G2986" s="2">
        <v>118700.0</v>
      </c>
    </row>
    <row r="2987" ht="14.25" customHeight="1">
      <c r="A2987" s="2">
        <v>2986.0</v>
      </c>
      <c r="B2987" s="2" t="s">
        <v>2541</v>
      </c>
      <c r="C2987" s="2" t="s">
        <v>5478</v>
      </c>
      <c r="D2987" s="2">
        <v>195.0</v>
      </c>
      <c r="E2987" s="2">
        <v>1.0</v>
      </c>
      <c r="F2987" s="2">
        <v>100.0</v>
      </c>
      <c r="G2987" s="2">
        <v>118700.0</v>
      </c>
    </row>
    <row r="2988" ht="14.25" customHeight="1">
      <c r="A2988" s="2">
        <v>2987.0</v>
      </c>
      <c r="B2988" s="2" t="s">
        <v>2576</v>
      </c>
      <c r="C2988" s="2" t="s">
        <v>5479</v>
      </c>
      <c r="D2988" s="2">
        <v>197.0</v>
      </c>
      <c r="E2988" s="2">
        <v>1.0</v>
      </c>
      <c r="F2988" s="2">
        <v>100.0</v>
      </c>
      <c r="G2988" s="2">
        <v>118700.0</v>
      </c>
    </row>
    <row r="2989" ht="14.25" customHeight="1">
      <c r="A2989" s="2">
        <v>2988.0</v>
      </c>
      <c r="B2989" s="2" t="s">
        <v>2571</v>
      </c>
      <c r="C2989" s="2" t="s">
        <v>5480</v>
      </c>
      <c r="D2989" s="2">
        <v>185.0</v>
      </c>
      <c r="E2989" s="2">
        <v>1.0</v>
      </c>
      <c r="F2989" s="2">
        <v>100.0</v>
      </c>
      <c r="G2989" s="2">
        <v>118600.0</v>
      </c>
    </row>
    <row r="2990" ht="14.25" customHeight="1">
      <c r="A2990" s="2">
        <v>2989.0</v>
      </c>
      <c r="B2990" s="2" t="s">
        <v>2534</v>
      </c>
      <c r="C2990" s="2" t="s">
        <v>5481</v>
      </c>
      <c r="D2990" s="2">
        <v>188.0</v>
      </c>
      <c r="E2990" s="2">
        <v>1.0</v>
      </c>
      <c r="F2990" s="2">
        <v>75.0</v>
      </c>
      <c r="G2990" s="2">
        <v>118600.0</v>
      </c>
    </row>
    <row r="2991" ht="14.25" customHeight="1">
      <c r="A2991" s="2">
        <v>2990.0</v>
      </c>
      <c r="B2991" s="2" t="s">
        <v>2576</v>
      </c>
      <c r="C2991" s="2" t="s">
        <v>5482</v>
      </c>
      <c r="D2991" s="2">
        <v>197.0</v>
      </c>
      <c r="E2991" s="2">
        <v>1.0</v>
      </c>
      <c r="F2991" s="2">
        <v>50.0</v>
      </c>
      <c r="G2991" s="2">
        <v>118600.0</v>
      </c>
    </row>
    <row r="2992" ht="14.25" customHeight="1">
      <c r="A2992" s="2">
        <v>2991.0</v>
      </c>
      <c r="B2992" s="2" t="s">
        <v>2604</v>
      </c>
      <c r="C2992" s="2" t="s">
        <v>5483</v>
      </c>
      <c r="D2992" s="2">
        <v>200.0</v>
      </c>
      <c r="E2992" s="2">
        <v>1.0</v>
      </c>
      <c r="F2992" s="2">
        <v>100.0</v>
      </c>
      <c r="G2992" s="2">
        <v>118600.0</v>
      </c>
    </row>
    <row r="2993" ht="14.25" customHeight="1">
      <c r="A2993" s="2">
        <v>2992.0</v>
      </c>
      <c r="B2993" s="2" t="s">
        <v>2524</v>
      </c>
      <c r="C2993" s="2" t="s">
        <v>5484</v>
      </c>
      <c r="D2993" s="2">
        <v>331.0</v>
      </c>
      <c r="E2993" s="2">
        <v>1.0</v>
      </c>
      <c r="F2993" s="2">
        <v>50.0</v>
      </c>
      <c r="G2993" s="2">
        <v>118600.0</v>
      </c>
    </row>
    <row r="2994" ht="14.25" customHeight="1">
      <c r="A2994" s="2">
        <v>2993.0</v>
      </c>
      <c r="B2994" s="2" t="s">
        <v>2524</v>
      </c>
      <c r="C2994" s="2" t="s">
        <v>5485</v>
      </c>
      <c r="D2994" s="2">
        <v>331.0</v>
      </c>
      <c r="E2994" s="2">
        <v>1.0</v>
      </c>
      <c r="F2994" s="2">
        <v>50.0</v>
      </c>
      <c r="G2994" s="2">
        <v>118600.0</v>
      </c>
    </row>
    <row r="2995" ht="14.25" customHeight="1">
      <c r="A2995" s="2">
        <v>2994.0</v>
      </c>
      <c r="B2995" s="2" t="s">
        <v>2488</v>
      </c>
      <c r="C2995" s="2" t="s">
        <v>5486</v>
      </c>
      <c r="D2995" s="2">
        <v>333.0</v>
      </c>
      <c r="E2995" s="2">
        <v>1.0</v>
      </c>
      <c r="F2995" s="2">
        <v>75.0</v>
      </c>
      <c r="G2995" s="2">
        <v>118600.0</v>
      </c>
    </row>
    <row r="2996" ht="14.25" customHeight="1">
      <c r="A2996" s="2">
        <v>2995.0</v>
      </c>
      <c r="B2996" s="2" t="s">
        <v>2505</v>
      </c>
      <c r="C2996" s="2" t="s">
        <v>5487</v>
      </c>
      <c r="D2996" s="2">
        <v>429.0</v>
      </c>
      <c r="E2996" s="2">
        <v>1.0</v>
      </c>
      <c r="F2996" s="2">
        <v>50.0</v>
      </c>
      <c r="G2996" s="2">
        <v>118600.0</v>
      </c>
    </row>
    <row r="2997" ht="14.25" customHeight="1">
      <c r="A2997" s="2">
        <v>2996.0</v>
      </c>
      <c r="B2997" s="2" t="s">
        <v>2505</v>
      </c>
      <c r="C2997" s="2" t="s">
        <v>5488</v>
      </c>
      <c r="D2997" s="2">
        <v>429.0</v>
      </c>
      <c r="E2997" s="2">
        <v>1.0</v>
      </c>
      <c r="F2997" s="2">
        <v>60.0</v>
      </c>
      <c r="G2997" s="2">
        <v>118600.0</v>
      </c>
    </row>
    <row r="2998" ht="14.25" customHeight="1">
      <c r="A2998" s="2">
        <v>2997.0</v>
      </c>
      <c r="B2998" s="2" t="s">
        <v>2686</v>
      </c>
      <c r="C2998" s="2" t="s">
        <v>5489</v>
      </c>
      <c r="D2998" s="2">
        <v>127.0</v>
      </c>
      <c r="E2998" s="2">
        <v>1.0</v>
      </c>
      <c r="F2998" s="2">
        <v>132.0</v>
      </c>
      <c r="G2998" s="2">
        <v>118500.0</v>
      </c>
    </row>
    <row r="2999" ht="14.25" customHeight="1">
      <c r="A2999" s="2">
        <v>2998.0</v>
      </c>
      <c r="B2999" s="2" t="s">
        <v>2571</v>
      </c>
      <c r="C2999" s="2" t="s">
        <v>5490</v>
      </c>
      <c r="D2999" s="2">
        <v>185.0</v>
      </c>
      <c r="E2999" s="2">
        <v>1.0</v>
      </c>
      <c r="F2999" s="2">
        <v>200.0</v>
      </c>
      <c r="G2999" s="2">
        <v>118500.0</v>
      </c>
    </row>
    <row r="3000" ht="14.25" customHeight="1">
      <c r="A3000" s="2">
        <v>2999.0</v>
      </c>
      <c r="B3000" s="2" t="s">
        <v>2507</v>
      </c>
      <c r="C3000" s="2" t="s">
        <v>5491</v>
      </c>
      <c r="D3000" s="2">
        <v>205.0</v>
      </c>
      <c r="E3000" s="2">
        <v>1.0</v>
      </c>
      <c r="F3000" s="2">
        <v>65.0</v>
      </c>
      <c r="G3000" s="2">
        <v>118500.0</v>
      </c>
    </row>
    <row r="3001" ht="14.25" customHeight="1">
      <c r="A3001" s="2">
        <v>3000.0</v>
      </c>
      <c r="B3001" s="2" t="s">
        <v>2505</v>
      </c>
      <c r="C3001" s="2" t="s">
        <v>5492</v>
      </c>
      <c r="D3001" s="2">
        <v>429.0</v>
      </c>
      <c r="E3001" s="2">
        <v>1.0</v>
      </c>
      <c r="F3001" s="2">
        <v>80.0</v>
      </c>
      <c r="G3001" s="2">
        <v>118500.0</v>
      </c>
    </row>
    <row r="3002" ht="14.25" customHeight="1">
      <c r="A3002" s="2">
        <v>3001.0</v>
      </c>
      <c r="B3002" s="2" t="s">
        <v>2503</v>
      </c>
      <c r="C3002" s="2" t="s">
        <v>5493</v>
      </c>
      <c r="D3002" s="2">
        <v>105.0</v>
      </c>
      <c r="E3002" s="2">
        <v>1.0</v>
      </c>
      <c r="F3002" s="2">
        <v>100.0</v>
      </c>
      <c r="G3002" s="2">
        <v>118400.0</v>
      </c>
    </row>
    <row r="3003" ht="14.25" customHeight="1">
      <c r="A3003" s="2">
        <v>3002.0</v>
      </c>
      <c r="B3003" s="2" t="s">
        <v>2503</v>
      </c>
      <c r="C3003" s="2" t="s">
        <v>5494</v>
      </c>
      <c r="D3003" s="2">
        <v>105.0</v>
      </c>
      <c r="E3003" s="2">
        <v>1.0</v>
      </c>
      <c r="F3003" s="2">
        <v>75.0</v>
      </c>
      <c r="G3003" s="2">
        <v>118400.0</v>
      </c>
    </row>
    <row r="3004" ht="14.25" customHeight="1">
      <c r="A3004" s="2">
        <v>3003.0</v>
      </c>
      <c r="B3004" s="2" t="s">
        <v>2479</v>
      </c>
      <c r="C3004" s="2" t="s">
        <v>5495</v>
      </c>
      <c r="D3004" s="2">
        <v>182.0</v>
      </c>
      <c r="E3004" s="2">
        <v>1.0</v>
      </c>
      <c r="F3004" s="2">
        <v>50.0</v>
      </c>
      <c r="G3004" s="2">
        <v>118400.0</v>
      </c>
    </row>
    <row r="3005" ht="14.25" customHeight="1">
      <c r="A3005" s="2">
        <v>3004.0</v>
      </c>
      <c r="B3005" s="2" t="s">
        <v>2512</v>
      </c>
      <c r="C3005" s="2" t="s">
        <v>5496</v>
      </c>
      <c r="D3005" s="2">
        <v>153.0</v>
      </c>
      <c r="E3005" s="2">
        <v>1.0</v>
      </c>
      <c r="F3005" s="2">
        <v>70.0</v>
      </c>
      <c r="G3005" s="2">
        <v>118300.0</v>
      </c>
    </row>
    <row r="3006" ht="14.25" customHeight="1">
      <c r="A3006" s="2">
        <v>3005.0</v>
      </c>
      <c r="B3006" s="2" t="s">
        <v>2744</v>
      </c>
      <c r="C3006" s="2" t="s">
        <v>5497</v>
      </c>
      <c r="D3006" s="2">
        <v>169.0</v>
      </c>
      <c r="E3006" s="2">
        <v>1.0</v>
      </c>
      <c r="F3006" s="2">
        <v>50.0</v>
      </c>
      <c r="G3006" s="2">
        <v>118300.0</v>
      </c>
    </row>
    <row r="3007" ht="14.25" customHeight="1">
      <c r="A3007" s="2">
        <v>3006.0</v>
      </c>
      <c r="B3007" s="2" t="s">
        <v>2541</v>
      </c>
      <c r="C3007" s="2" t="s">
        <v>5498</v>
      </c>
      <c r="D3007" s="2">
        <v>195.0</v>
      </c>
      <c r="E3007" s="2">
        <v>1.0</v>
      </c>
      <c r="F3007" s="2">
        <v>100.0</v>
      </c>
      <c r="G3007" s="2">
        <v>118300.0</v>
      </c>
    </row>
    <row r="3008" ht="14.25" customHeight="1">
      <c r="A3008" s="2">
        <v>3007.0</v>
      </c>
      <c r="B3008" s="2" t="s">
        <v>2503</v>
      </c>
      <c r="C3008" s="2" t="s">
        <v>5499</v>
      </c>
      <c r="D3008" s="2">
        <v>105.0</v>
      </c>
      <c r="E3008" s="2">
        <v>1.0</v>
      </c>
      <c r="F3008" s="2">
        <v>66.0</v>
      </c>
      <c r="G3008" s="2">
        <v>118200.0</v>
      </c>
    </row>
    <row r="3009" ht="14.25" customHeight="1">
      <c r="A3009" s="2">
        <v>3008.0</v>
      </c>
      <c r="B3009" s="2" t="s">
        <v>2512</v>
      </c>
      <c r="C3009" s="2" t="s">
        <v>5500</v>
      </c>
      <c r="D3009" s="2">
        <v>153.0</v>
      </c>
      <c r="E3009" s="2">
        <v>1.0</v>
      </c>
      <c r="F3009" s="2">
        <v>50.0</v>
      </c>
      <c r="G3009" s="2">
        <v>118200.0</v>
      </c>
    </row>
    <row r="3010" ht="14.25" customHeight="1">
      <c r="A3010" s="2">
        <v>3009.0</v>
      </c>
      <c r="B3010" s="2" t="s">
        <v>2604</v>
      </c>
      <c r="C3010" s="2" t="s">
        <v>5501</v>
      </c>
      <c r="D3010" s="2">
        <v>200.0</v>
      </c>
      <c r="E3010" s="2">
        <v>1.0</v>
      </c>
      <c r="F3010" s="2">
        <v>50.0</v>
      </c>
      <c r="G3010" s="2">
        <v>118200.0</v>
      </c>
    </row>
    <row r="3011" ht="14.25" customHeight="1">
      <c r="A3011" s="2">
        <v>3010.0</v>
      </c>
      <c r="B3011" s="2" t="s">
        <v>2604</v>
      </c>
      <c r="C3011" s="2" t="s">
        <v>5502</v>
      </c>
      <c r="D3011" s="2">
        <v>200.0</v>
      </c>
      <c r="E3011" s="2">
        <v>1.0</v>
      </c>
      <c r="F3011" s="2">
        <v>120.0</v>
      </c>
      <c r="G3011" s="2">
        <v>118200.0</v>
      </c>
    </row>
    <row r="3012" ht="14.25" customHeight="1">
      <c r="A3012" s="2">
        <v>3011.0</v>
      </c>
      <c r="B3012" s="2" t="s">
        <v>2636</v>
      </c>
      <c r="C3012" s="2" t="s">
        <v>5503</v>
      </c>
      <c r="D3012" s="2">
        <v>145.0</v>
      </c>
      <c r="E3012" s="2">
        <v>1.0</v>
      </c>
      <c r="F3012" s="2">
        <v>75.0</v>
      </c>
      <c r="G3012" s="2">
        <v>118100.0</v>
      </c>
    </row>
    <row r="3013" ht="14.25" customHeight="1">
      <c r="A3013" s="2">
        <v>3012.0</v>
      </c>
      <c r="B3013" s="2" t="s">
        <v>2534</v>
      </c>
      <c r="C3013" s="2" t="s">
        <v>5504</v>
      </c>
      <c r="D3013" s="2">
        <v>188.0</v>
      </c>
      <c r="E3013" s="2">
        <v>1.0</v>
      </c>
      <c r="F3013" s="2">
        <v>50.0</v>
      </c>
      <c r="G3013" s="2">
        <v>118100.0</v>
      </c>
    </row>
    <row r="3014" ht="14.25" customHeight="1">
      <c r="A3014" s="2">
        <v>3013.0</v>
      </c>
      <c r="B3014" s="2" t="s">
        <v>2541</v>
      </c>
      <c r="C3014" s="2" t="s">
        <v>5505</v>
      </c>
      <c r="D3014" s="2">
        <v>195.0</v>
      </c>
      <c r="E3014" s="2">
        <v>1.0</v>
      </c>
      <c r="F3014" s="2">
        <v>75.0</v>
      </c>
      <c r="G3014" s="2">
        <v>118100.0</v>
      </c>
    </row>
    <row r="3015" ht="14.25" customHeight="1">
      <c r="A3015" s="2">
        <v>3014.0</v>
      </c>
      <c r="B3015" s="2" t="s">
        <v>2604</v>
      </c>
      <c r="C3015" s="2" t="s">
        <v>5506</v>
      </c>
      <c r="D3015" s="2">
        <v>200.0</v>
      </c>
      <c r="E3015" s="2">
        <v>1.0</v>
      </c>
      <c r="F3015" s="2">
        <v>100.0</v>
      </c>
      <c r="G3015" s="2">
        <v>118100.0</v>
      </c>
    </row>
    <row r="3016" ht="14.25" customHeight="1">
      <c r="A3016" s="2">
        <v>3015.0</v>
      </c>
      <c r="B3016" s="2" t="s">
        <v>2477</v>
      </c>
      <c r="C3016" s="2" t="s">
        <v>5507</v>
      </c>
      <c r="D3016" s="2">
        <v>152.0</v>
      </c>
      <c r="E3016" s="2">
        <v>1.0</v>
      </c>
      <c r="F3016" s="2">
        <v>100.0</v>
      </c>
      <c r="G3016" s="2">
        <v>118000.0</v>
      </c>
    </row>
    <row r="3017" ht="14.25" customHeight="1">
      <c r="A3017" s="2">
        <v>3016.0</v>
      </c>
      <c r="B3017" s="2" t="s">
        <v>2561</v>
      </c>
      <c r="C3017" s="2" t="s">
        <v>5508</v>
      </c>
      <c r="D3017" s="2">
        <v>162.0</v>
      </c>
      <c r="E3017" s="2">
        <v>1.0</v>
      </c>
      <c r="F3017" s="2">
        <v>75.0</v>
      </c>
      <c r="G3017" s="2">
        <v>118000.0</v>
      </c>
    </row>
    <row r="3018" ht="14.25" customHeight="1">
      <c r="A3018" s="2">
        <v>3017.0</v>
      </c>
      <c r="B3018" s="2" t="s">
        <v>2541</v>
      </c>
      <c r="C3018" s="2" t="s">
        <v>5509</v>
      </c>
      <c r="D3018" s="2">
        <v>195.0</v>
      </c>
      <c r="E3018" s="2">
        <v>1.0</v>
      </c>
      <c r="F3018" s="2">
        <v>100.0</v>
      </c>
      <c r="G3018" s="2">
        <v>118000.0</v>
      </c>
    </row>
    <row r="3019" ht="14.25" customHeight="1">
      <c r="A3019" s="2">
        <v>3018.0</v>
      </c>
      <c r="B3019" s="2" t="s">
        <v>2507</v>
      </c>
      <c r="C3019" s="2" t="s">
        <v>5510</v>
      </c>
      <c r="D3019" s="2">
        <v>205.0</v>
      </c>
      <c r="E3019" s="2">
        <v>1.0</v>
      </c>
      <c r="F3019" s="2">
        <v>80.0</v>
      </c>
      <c r="G3019" s="2">
        <v>118000.0</v>
      </c>
    </row>
    <row r="3020" ht="14.25" customHeight="1">
      <c r="A3020" s="2">
        <v>3019.0</v>
      </c>
      <c r="B3020" s="2" t="s">
        <v>2505</v>
      </c>
      <c r="C3020" s="2" t="s">
        <v>5511</v>
      </c>
      <c r="D3020" s="2">
        <v>429.0</v>
      </c>
      <c r="E3020" s="2">
        <v>1.0</v>
      </c>
      <c r="F3020" s="2">
        <v>70.0</v>
      </c>
      <c r="G3020" s="2">
        <v>118000.0</v>
      </c>
    </row>
    <row r="3021" ht="14.25" customHeight="1">
      <c r="A3021" s="2">
        <v>3020.0</v>
      </c>
      <c r="B3021" s="2" t="s">
        <v>2507</v>
      </c>
      <c r="C3021" s="2" t="s">
        <v>5512</v>
      </c>
      <c r="D3021" s="2">
        <v>205.0</v>
      </c>
      <c r="E3021" s="2">
        <v>1.0</v>
      </c>
      <c r="F3021" s="2">
        <v>100.0</v>
      </c>
      <c r="G3021" s="2">
        <v>117900.0</v>
      </c>
    </row>
    <row r="3022" ht="14.25" customHeight="1">
      <c r="A3022" s="2">
        <v>3021.0</v>
      </c>
      <c r="B3022" s="2" t="s">
        <v>2524</v>
      </c>
      <c r="C3022" s="2" t="s">
        <v>5513</v>
      </c>
      <c r="D3022" s="2">
        <v>331.0</v>
      </c>
      <c r="E3022" s="2">
        <v>1.0</v>
      </c>
      <c r="F3022" s="2">
        <v>75.0</v>
      </c>
      <c r="G3022" s="2">
        <v>117900.0</v>
      </c>
    </row>
    <row r="3023" ht="14.25" customHeight="1">
      <c r="A3023" s="2">
        <v>3022.0</v>
      </c>
      <c r="B3023" s="2" t="s">
        <v>2505</v>
      </c>
      <c r="C3023" s="2" t="s">
        <v>5514</v>
      </c>
      <c r="D3023" s="2">
        <v>429.0</v>
      </c>
      <c r="E3023" s="2">
        <v>1.0</v>
      </c>
      <c r="F3023" s="2">
        <v>100.0</v>
      </c>
      <c r="G3023" s="2">
        <v>117900.0</v>
      </c>
    </row>
    <row r="3024" ht="14.25" customHeight="1">
      <c r="A3024" s="2">
        <v>3023.0</v>
      </c>
      <c r="B3024" s="2" t="s">
        <v>2475</v>
      </c>
      <c r="C3024" s="2" t="s">
        <v>5515</v>
      </c>
      <c r="D3024" s="2">
        <v>143.0</v>
      </c>
      <c r="E3024" s="2">
        <v>1.0</v>
      </c>
      <c r="F3024" s="2">
        <v>54.0</v>
      </c>
      <c r="G3024" s="2">
        <v>117800.0</v>
      </c>
    </row>
    <row r="3025" ht="14.25" customHeight="1">
      <c r="A3025" s="2">
        <v>3024.0</v>
      </c>
      <c r="B3025" s="2" t="s">
        <v>2512</v>
      </c>
      <c r="C3025" s="2" t="s">
        <v>5516</v>
      </c>
      <c r="D3025" s="2">
        <v>153.0</v>
      </c>
      <c r="E3025" s="2">
        <v>1.0</v>
      </c>
      <c r="F3025" s="2">
        <v>100.0</v>
      </c>
      <c r="G3025" s="2">
        <v>117800.0</v>
      </c>
    </row>
    <row r="3026" ht="14.25" customHeight="1">
      <c r="A3026" s="2">
        <v>3025.0</v>
      </c>
      <c r="B3026" s="2" t="s">
        <v>2571</v>
      </c>
      <c r="C3026" s="2" t="s">
        <v>5517</v>
      </c>
      <c r="D3026" s="2">
        <v>185.0</v>
      </c>
      <c r="E3026" s="2">
        <v>1.0</v>
      </c>
      <c r="F3026" s="2">
        <v>100.0</v>
      </c>
      <c r="G3026" s="2">
        <v>117800.0</v>
      </c>
    </row>
    <row r="3027" ht="14.25" customHeight="1">
      <c r="A3027" s="2">
        <v>3026.0</v>
      </c>
      <c r="B3027" s="2" t="s">
        <v>2541</v>
      </c>
      <c r="C3027" s="2" t="s">
        <v>5518</v>
      </c>
      <c r="D3027" s="2">
        <v>195.0</v>
      </c>
      <c r="E3027" s="2">
        <v>1.0</v>
      </c>
      <c r="F3027" s="2">
        <v>50.0</v>
      </c>
      <c r="G3027" s="2">
        <v>117800.0</v>
      </c>
    </row>
    <row r="3028" ht="14.25" customHeight="1">
      <c r="A3028" s="2">
        <v>3027.0</v>
      </c>
      <c r="B3028" s="2" t="s">
        <v>2524</v>
      </c>
      <c r="C3028" s="2" t="s">
        <v>5519</v>
      </c>
      <c r="D3028" s="2">
        <v>331.0</v>
      </c>
      <c r="E3028" s="2">
        <v>1.0</v>
      </c>
      <c r="F3028" s="2">
        <v>66.0</v>
      </c>
      <c r="G3028" s="2">
        <v>117800.0</v>
      </c>
    </row>
    <row r="3029" ht="14.25" customHeight="1">
      <c r="A3029" s="2">
        <v>3028.0</v>
      </c>
      <c r="B3029" s="2" t="s">
        <v>2571</v>
      </c>
      <c r="C3029" s="2" t="s">
        <v>5520</v>
      </c>
      <c r="D3029" s="2">
        <v>185.0</v>
      </c>
      <c r="E3029" s="2">
        <v>1.0</v>
      </c>
      <c r="F3029" s="2">
        <v>75.0</v>
      </c>
      <c r="G3029" s="2">
        <v>117700.0</v>
      </c>
    </row>
    <row r="3030" ht="14.25" customHeight="1">
      <c r="A3030" s="2">
        <v>3029.0</v>
      </c>
      <c r="B3030" s="2" t="s">
        <v>2651</v>
      </c>
      <c r="C3030" s="2" t="s">
        <v>5521</v>
      </c>
      <c r="D3030" s="2">
        <v>347.0</v>
      </c>
      <c r="E3030" s="2">
        <v>1.0</v>
      </c>
      <c r="F3030" s="2">
        <v>60.0</v>
      </c>
      <c r="G3030" s="2">
        <v>117700.0</v>
      </c>
    </row>
    <row r="3031" ht="14.25" customHeight="1">
      <c r="A3031" s="2">
        <v>3030.0</v>
      </c>
      <c r="B3031" s="2" t="s">
        <v>2576</v>
      </c>
      <c r="C3031" s="2" t="s">
        <v>5522</v>
      </c>
      <c r="D3031" s="2">
        <v>197.0</v>
      </c>
      <c r="E3031" s="2">
        <v>1.0</v>
      </c>
      <c r="F3031" s="2">
        <v>100.0</v>
      </c>
      <c r="G3031" s="2">
        <v>117600.0</v>
      </c>
    </row>
    <row r="3032" ht="14.25" customHeight="1">
      <c r="A3032" s="2">
        <v>3031.0</v>
      </c>
      <c r="B3032" s="2" t="s">
        <v>2501</v>
      </c>
      <c r="C3032" s="2" t="s">
        <v>5523</v>
      </c>
      <c r="D3032" s="2">
        <v>199.0</v>
      </c>
      <c r="E3032" s="2">
        <v>1.0</v>
      </c>
      <c r="F3032" s="2">
        <v>150.0</v>
      </c>
      <c r="G3032" s="2">
        <v>117600.0</v>
      </c>
    </row>
    <row r="3033" ht="14.25" customHeight="1">
      <c r="A3033" s="2">
        <v>3032.0</v>
      </c>
      <c r="B3033" s="2" t="s">
        <v>2604</v>
      </c>
      <c r="C3033" s="2" t="s">
        <v>5524</v>
      </c>
      <c r="D3033" s="2">
        <v>200.0</v>
      </c>
      <c r="E3033" s="2">
        <v>1.0</v>
      </c>
      <c r="F3033" s="2">
        <v>132.0</v>
      </c>
      <c r="G3033" s="2">
        <v>117600.0</v>
      </c>
    </row>
    <row r="3034" ht="14.25" customHeight="1">
      <c r="A3034" s="2">
        <v>3033.0</v>
      </c>
      <c r="B3034" s="2" t="s">
        <v>2524</v>
      </c>
      <c r="C3034" s="2" t="s">
        <v>5525</v>
      </c>
      <c r="D3034" s="2">
        <v>331.0</v>
      </c>
      <c r="E3034" s="2">
        <v>1.0</v>
      </c>
      <c r="F3034" s="2">
        <v>75.0</v>
      </c>
      <c r="G3034" s="2">
        <v>117600.0</v>
      </c>
    </row>
    <row r="3035" ht="14.25" customHeight="1">
      <c r="A3035" s="2">
        <v>3034.0</v>
      </c>
      <c r="B3035" s="2" t="s">
        <v>2505</v>
      </c>
      <c r="C3035" s="2" t="s">
        <v>5526</v>
      </c>
      <c r="D3035" s="2">
        <v>429.0</v>
      </c>
      <c r="E3035" s="2">
        <v>1.0</v>
      </c>
      <c r="F3035" s="2">
        <v>100.0</v>
      </c>
      <c r="G3035" s="2">
        <v>117600.0</v>
      </c>
    </row>
    <row r="3036" ht="14.25" customHeight="1">
      <c r="A3036" s="2">
        <v>3035.0</v>
      </c>
      <c r="B3036" s="2" t="s">
        <v>2549</v>
      </c>
      <c r="C3036" s="2" t="s">
        <v>5527</v>
      </c>
      <c r="D3036" s="2">
        <v>115.0</v>
      </c>
      <c r="E3036" s="2">
        <v>1.0</v>
      </c>
      <c r="F3036" s="2">
        <v>105.0</v>
      </c>
      <c r="G3036" s="2">
        <v>117500.0</v>
      </c>
    </row>
    <row r="3037" ht="14.25" customHeight="1">
      <c r="A3037" s="2">
        <v>3036.0</v>
      </c>
      <c r="B3037" s="2" t="s">
        <v>2507</v>
      </c>
      <c r="C3037" s="2" t="s">
        <v>5528</v>
      </c>
      <c r="D3037" s="2">
        <v>205.0</v>
      </c>
      <c r="E3037" s="2">
        <v>1.0</v>
      </c>
      <c r="F3037" s="2">
        <v>90.0</v>
      </c>
      <c r="G3037" s="2">
        <v>117500.0</v>
      </c>
    </row>
    <row r="3038" ht="14.25" customHeight="1">
      <c r="A3038" s="2">
        <v>3037.0</v>
      </c>
      <c r="B3038" s="2" t="s">
        <v>2507</v>
      </c>
      <c r="C3038" s="2" t="s">
        <v>5529</v>
      </c>
      <c r="D3038" s="2">
        <v>205.0</v>
      </c>
      <c r="E3038" s="2">
        <v>1.0</v>
      </c>
      <c r="F3038" s="2">
        <v>105.0</v>
      </c>
      <c r="G3038" s="2">
        <v>117500.0</v>
      </c>
    </row>
    <row r="3039" ht="14.25" customHeight="1">
      <c r="A3039" s="2">
        <v>3038.0</v>
      </c>
      <c r="B3039" s="2" t="s">
        <v>2571</v>
      </c>
      <c r="C3039" s="2" t="s">
        <v>5530</v>
      </c>
      <c r="D3039" s="2">
        <v>185.0</v>
      </c>
      <c r="E3039" s="2">
        <v>1.0</v>
      </c>
      <c r="F3039" s="2">
        <v>75.0</v>
      </c>
      <c r="G3039" s="2">
        <v>117400.0</v>
      </c>
    </row>
    <row r="3040" ht="14.25" customHeight="1">
      <c r="A3040" s="2">
        <v>3039.0</v>
      </c>
      <c r="B3040" s="2" t="s">
        <v>2475</v>
      </c>
      <c r="C3040" s="2" t="s">
        <v>5531</v>
      </c>
      <c r="D3040" s="2">
        <v>143.0</v>
      </c>
      <c r="E3040" s="2">
        <v>1.0</v>
      </c>
      <c r="F3040" s="2">
        <v>100.0</v>
      </c>
      <c r="G3040" s="2">
        <v>117300.0</v>
      </c>
    </row>
    <row r="3041" ht="14.25" customHeight="1">
      <c r="A3041" s="2">
        <v>3040.0</v>
      </c>
      <c r="B3041" s="2" t="s">
        <v>2636</v>
      </c>
      <c r="C3041" s="2" t="s">
        <v>5532</v>
      </c>
      <c r="D3041" s="2">
        <v>145.0</v>
      </c>
      <c r="E3041" s="2">
        <v>1.0</v>
      </c>
      <c r="F3041" s="2">
        <v>50.0</v>
      </c>
      <c r="G3041" s="2">
        <v>117300.0</v>
      </c>
    </row>
    <row r="3042" ht="14.25" customHeight="1">
      <c r="A3042" s="2">
        <v>3041.0</v>
      </c>
      <c r="B3042" s="2" t="s">
        <v>2945</v>
      </c>
      <c r="C3042" s="2" t="s">
        <v>5533</v>
      </c>
      <c r="D3042" s="2">
        <v>619.0</v>
      </c>
      <c r="E3042" s="2">
        <v>1.0</v>
      </c>
      <c r="F3042" s="2">
        <v>60.0</v>
      </c>
      <c r="G3042" s="2">
        <v>117300.0</v>
      </c>
    </row>
    <row r="3043" ht="14.25" customHeight="1">
      <c r="A3043" s="2">
        <v>3042.0</v>
      </c>
      <c r="B3043" s="2" t="s">
        <v>2561</v>
      </c>
      <c r="C3043" s="2" t="s">
        <v>5534</v>
      </c>
      <c r="D3043" s="2">
        <v>162.0</v>
      </c>
      <c r="E3043" s="2">
        <v>1.0</v>
      </c>
      <c r="F3043" s="2">
        <v>70.0</v>
      </c>
      <c r="G3043" s="2">
        <v>117200.0</v>
      </c>
    </row>
    <row r="3044" ht="14.25" customHeight="1">
      <c r="A3044" s="2">
        <v>3043.0</v>
      </c>
      <c r="B3044" s="2" t="s">
        <v>2571</v>
      </c>
      <c r="C3044" s="2" t="s">
        <v>5535</v>
      </c>
      <c r="D3044" s="2">
        <v>185.0</v>
      </c>
      <c r="E3044" s="2">
        <v>1.0</v>
      </c>
      <c r="F3044" s="2">
        <v>100.0</v>
      </c>
      <c r="G3044" s="2">
        <v>117200.0</v>
      </c>
    </row>
    <row r="3045" ht="14.25" customHeight="1">
      <c r="A3045" s="2">
        <v>3044.0</v>
      </c>
      <c r="B3045" s="2" t="s">
        <v>2503</v>
      </c>
      <c r="C3045" s="2" t="s">
        <v>5536</v>
      </c>
      <c r="D3045" s="2">
        <v>105.0</v>
      </c>
      <c r="E3045" s="2">
        <v>1.0</v>
      </c>
      <c r="F3045" s="2">
        <v>75.0</v>
      </c>
      <c r="G3045" s="2">
        <v>117100.0</v>
      </c>
    </row>
    <row r="3046" ht="14.25" customHeight="1">
      <c r="A3046" s="2">
        <v>3045.0</v>
      </c>
      <c r="B3046" s="2" t="s">
        <v>2561</v>
      </c>
      <c r="C3046" s="2" t="s">
        <v>5537</v>
      </c>
      <c r="D3046" s="2">
        <v>162.0</v>
      </c>
      <c r="E3046" s="2">
        <v>1.0</v>
      </c>
      <c r="F3046" s="2">
        <v>50.0</v>
      </c>
      <c r="G3046" s="2">
        <v>117100.0</v>
      </c>
    </row>
    <row r="3047" ht="14.25" customHeight="1">
      <c r="A3047" s="2">
        <v>3046.0</v>
      </c>
      <c r="B3047" s="2" t="s">
        <v>2582</v>
      </c>
      <c r="C3047" s="2" t="s">
        <v>5538</v>
      </c>
      <c r="D3047" s="2">
        <v>183.0</v>
      </c>
      <c r="E3047" s="2">
        <v>1.0</v>
      </c>
      <c r="F3047" s="2">
        <v>100.0</v>
      </c>
      <c r="G3047" s="2">
        <v>117100.0</v>
      </c>
    </row>
    <row r="3048" ht="14.25" customHeight="1">
      <c r="A3048" s="2">
        <v>3047.0</v>
      </c>
      <c r="B3048" s="2" t="s">
        <v>2594</v>
      </c>
      <c r="C3048" s="2" t="s">
        <v>5539</v>
      </c>
      <c r="D3048" s="2">
        <v>184.0</v>
      </c>
      <c r="E3048" s="2">
        <v>1.0</v>
      </c>
      <c r="F3048" s="2">
        <v>66.0</v>
      </c>
      <c r="G3048" s="2">
        <v>117100.0</v>
      </c>
    </row>
    <row r="3049" ht="14.25" customHeight="1">
      <c r="A3049" s="2">
        <v>3048.0</v>
      </c>
      <c r="B3049" s="2" t="s">
        <v>2524</v>
      </c>
      <c r="C3049" s="2" t="s">
        <v>5540</v>
      </c>
      <c r="D3049" s="2">
        <v>331.0</v>
      </c>
      <c r="E3049" s="2">
        <v>1.0</v>
      </c>
      <c r="F3049" s="2">
        <v>52.0</v>
      </c>
      <c r="G3049" s="2">
        <v>117100.0</v>
      </c>
    </row>
    <row r="3050" ht="14.25" customHeight="1">
      <c r="A3050" s="2">
        <v>3049.0</v>
      </c>
      <c r="B3050" s="2" t="s">
        <v>2549</v>
      </c>
      <c r="C3050" s="2" t="s">
        <v>5541</v>
      </c>
      <c r="D3050" s="2">
        <v>115.0</v>
      </c>
      <c r="E3050" s="2">
        <v>1.0</v>
      </c>
      <c r="F3050" s="2">
        <v>50.0</v>
      </c>
      <c r="G3050" s="2">
        <v>117000.0</v>
      </c>
    </row>
    <row r="3051" ht="14.25" customHeight="1">
      <c r="A3051" s="2">
        <v>3050.0</v>
      </c>
      <c r="B3051" s="2" t="s">
        <v>2594</v>
      </c>
      <c r="C3051" s="2" t="s">
        <v>5542</v>
      </c>
      <c r="D3051" s="2">
        <v>184.0</v>
      </c>
      <c r="E3051" s="2">
        <v>1.0</v>
      </c>
      <c r="F3051" s="2">
        <v>75.0</v>
      </c>
      <c r="G3051" s="2">
        <v>117000.0</v>
      </c>
    </row>
    <row r="3052" ht="14.25" customHeight="1">
      <c r="A3052" s="2">
        <v>3051.0</v>
      </c>
      <c r="B3052" s="2" t="s">
        <v>2576</v>
      </c>
      <c r="C3052" s="2" t="s">
        <v>5543</v>
      </c>
      <c r="D3052" s="2">
        <v>197.0</v>
      </c>
      <c r="E3052" s="2">
        <v>1.0</v>
      </c>
      <c r="F3052" s="2">
        <v>75.0</v>
      </c>
      <c r="G3052" s="2">
        <v>117000.0</v>
      </c>
    </row>
    <row r="3053" ht="14.25" customHeight="1">
      <c r="A3053" s="2">
        <v>3052.0</v>
      </c>
      <c r="B3053" s="2" t="s">
        <v>2582</v>
      </c>
      <c r="C3053" s="2" t="s">
        <v>5544</v>
      </c>
      <c r="D3053" s="2">
        <v>183.0</v>
      </c>
      <c r="E3053" s="2">
        <v>1.0</v>
      </c>
      <c r="F3053" s="2">
        <v>50.0</v>
      </c>
      <c r="G3053" s="2">
        <v>116900.0</v>
      </c>
    </row>
    <row r="3054" ht="14.25" customHeight="1">
      <c r="A3054" s="2">
        <v>3053.0</v>
      </c>
      <c r="B3054" s="2" t="s">
        <v>2475</v>
      </c>
      <c r="C3054" s="2" t="s">
        <v>5545</v>
      </c>
      <c r="D3054" s="2">
        <v>143.0</v>
      </c>
      <c r="E3054" s="2">
        <v>1.0</v>
      </c>
      <c r="F3054" s="2">
        <v>50.0</v>
      </c>
      <c r="G3054" s="2">
        <v>116800.0</v>
      </c>
    </row>
    <row r="3055" ht="14.25" customHeight="1">
      <c r="A3055" s="2">
        <v>3054.0</v>
      </c>
      <c r="B3055" s="2" t="s">
        <v>2582</v>
      </c>
      <c r="C3055" s="2" t="s">
        <v>5546</v>
      </c>
      <c r="D3055" s="2">
        <v>183.0</v>
      </c>
      <c r="E3055" s="2">
        <v>1.0</v>
      </c>
      <c r="F3055" s="2">
        <v>100.0</v>
      </c>
      <c r="G3055" s="2">
        <v>116800.0</v>
      </c>
    </row>
    <row r="3056" ht="14.25" customHeight="1">
      <c r="A3056" s="2">
        <v>3055.0</v>
      </c>
      <c r="B3056" s="2" t="s">
        <v>2636</v>
      </c>
      <c r="C3056" s="2" t="s">
        <v>5547</v>
      </c>
      <c r="D3056" s="2">
        <v>145.0</v>
      </c>
      <c r="E3056" s="2">
        <v>1.0</v>
      </c>
      <c r="F3056" s="2">
        <v>125.0</v>
      </c>
      <c r="G3056" s="2">
        <v>116700.0</v>
      </c>
    </row>
    <row r="3057" ht="14.25" customHeight="1">
      <c r="A3057" s="2">
        <v>3056.0</v>
      </c>
      <c r="B3057" s="2" t="s">
        <v>2512</v>
      </c>
      <c r="C3057" s="2" t="s">
        <v>5548</v>
      </c>
      <c r="D3057" s="2">
        <v>153.0</v>
      </c>
      <c r="E3057" s="2">
        <v>1.0</v>
      </c>
      <c r="F3057" s="2">
        <v>60.0</v>
      </c>
      <c r="G3057" s="2">
        <v>116700.0</v>
      </c>
    </row>
    <row r="3058" ht="14.25" customHeight="1">
      <c r="A3058" s="2">
        <v>3057.0</v>
      </c>
      <c r="B3058" s="2" t="s">
        <v>2561</v>
      </c>
      <c r="C3058" s="2" t="s">
        <v>5549</v>
      </c>
      <c r="D3058" s="2">
        <v>162.0</v>
      </c>
      <c r="E3058" s="2">
        <v>1.0</v>
      </c>
      <c r="F3058" s="2">
        <v>50.0</v>
      </c>
      <c r="G3058" s="2">
        <v>116700.0</v>
      </c>
    </row>
    <row r="3059" ht="14.25" customHeight="1">
      <c r="A3059" s="2">
        <v>3058.0</v>
      </c>
      <c r="B3059" s="2" t="s">
        <v>2561</v>
      </c>
      <c r="C3059" s="2" t="s">
        <v>5550</v>
      </c>
      <c r="D3059" s="2">
        <v>162.0</v>
      </c>
      <c r="E3059" s="2">
        <v>1.0</v>
      </c>
      <c r="F3059" s="2">
        <v>75.0</v>
      </c>
      <c r="G3059" s="2">
        <v>116700.0</v>
      </c>
    </row>
    <row r="3060" ht="14.25" customHeight="1">
      <c r="A3060" s="2">
        <v>3059.0</v>
      </c>
      <c r="B3060" s="2" t="s">
        <v>2479</v>
      </c>
      <c r="C3060" s="2" t="s">
        <v>5551</v>
      </c>
      <c r="D3060" s="2">
        <v>182.0</v>
      </c>
      <c r="E3060" s="2">
        <v>1.0</v>
      </c>
      <c r="F3060" s="2">
        <v>50.0</v>
      </c>
      <c r="G3060" s="2">
        <v>116700.0</v>
      </c>
    </row>
    <row r="3061" ht="14.25" customHeight="1">
      <c r="A3061" s="2">
        <v>3060.0</v>
      </c>
      <c r="B3061" s="2" t="s">
        <v>2582</v>
      </c>
      <c r="C3061" s="2" t="s">
        <v>5552</v>
      </c>
      <c r="D3061" s="2">
        <v>183.0</v>
      </c>
      <c r="E3061" s="2">
        <v>1.0</v>
      </c>
      <c r="F3061" s="2">
        <v>75.0</v>
      </c>
      <c r="G3061" s="2">
        <v>116700.0</v>
      </c>
    </row>
    <row r="3062" ht="14.25" customHeight="1">
      <c r="A3062" s="2">
        <v>3061.0</v>
      </c>
      <c r="B3062" s="2" t="s">
        <v>2541</v>
      </c>
      <c r="C3062" s="2" t="s">
        <v>5553</v>
      </c>
      <c r="D3062" s="2">
        <v>195.0</v>
      </c>
      <c r="E3062" s="2">
        <v>1.0</v>
      </c>
      <c r="F3062" s="2">
        <v>60.0</v>
      </c>
      <c r="G3062" s="2">
        <v>116700.0</v>
      </c>
    </row>
    <row r="3063" ht="14.25" customHeight="1">
      <c r="A3063" s="2">
        <v>3062.0</v>
      </c>
      <c r="B3063" s="2" t="s">
        <v>2604</v>
      </c>
      <c r="C3063" s="2" t="s">
        <v>5554</v>
      </c>
      <c r="D3063" s="2">
        <v>200.0</v>
      </c>
      <c r="E3063" s="2">
        <v>1.0</v>
      </c>
      <c r="F3063" s="2">
        <v>100.0</v>
      </c>
      <c r="G3063" s="2">
        <v>116700.0</v>
      </c>
    </row>
    <row r="3064" ht="14.25" customHeight="1">
      <c r="A3064" s="2">
        <v>3063.0</v>
      </c>
      <c r="B3064" s="2" t="s">
        <v>2549</v>
      </c>
      <c r="C3064" s="2" t="s">
        <v>5555</v>
      </c>
      <c r="D3064" s="2">
        <v>115.0</v>
      </c>
      <c r="E3064" s="2">
        <v>1.0</v>
      </c>
      <c r="F3064" s="2">
        <v>50.0</v>
      </c>
      <c r="G3064" s="2">
        <v>116600.0</v>
      </c>
    </row>
    <row r="3065" ht="14.25" customHeight="1">
      <c r="A3065" s="2">
        <v>3064.0</v>
      </c>
      <c r="B3065" s="2" t="s">
        <v>2512</v>
      </c>
      <c r="C3065" s="2" t="s">
        <v>5556</v>
      </c>
      <c r="D3065" s="2">
        <v>153.0</v>
      </c>
      <c r="E3065" s="2">
        <v>1.0</v>
      </c>
      <c r="F3065" s="2">
        <v>75.0</v>
      </c>
      <c r="G3065" s="2">
        <v>116600.0</v>
      </c>
    </row>
    <row r="3066" ht="14.25" customHeight="1">
      <c r="A3066" s="2">
        <v>3065.0</v>
      </c>
      <c r="B3066" s="2" t="s">
        <v>2582</v>
      </c>
      <c r="C3066" s="2" t="s">
        <v>5557</v>
      </c>
      <c r="D3066" s="2">
        <v>183.0</v>
      </c>
      <c r="E3066" s="2">
        <v>1.0</v>
      </c>
      <c r="F3066" s="2">
        <v>70.0</v>
      </c>
      <c r="G3066" s="2">
        <v>116600.0</v>
      </c>
    </row>
    <row r="3067" ht="14.25" customHeight="1">
      <c r="A3067" s="2">
        <v>3066.0</v>
      </c>
      <c r="B3067" s="2" t="s">
        <v>2501</v>
      </c>
      <c r="C3067" s="2" t="s">
        <v>5558</v>
      </c>
      <c r="D3067" s="2">
        <v>199.0</v>
      </c>
      <c r="E3067" s="2">
        <v>1.0</v>
      </c>
      <c r="F3067" s="2">
        <v>100.0</v>
      </c>
      <c r="G3067" s="2">
        <v>116600.0</v>
      </c>
    </row>
    <row r="3068" ht="14.25" customHeight="1">
      <c r="A3068" s="2">
        <v>3067.0</v>
      </c>
      <c r="B3068" s="2" t="s">
        <v>2505</v>
      </c>
      <c r="C3068" s="2" t="s">
        <v>5559</v>
      </c>
      <c r="D3068" s="2">
        <v>429.0</v>
      </c>
      <c r="E3068" s="2">
        <v>1.0</v>
      </c>
      <c r="F3068" s="2">
        <v>150.0</v>
      </c>
      <c r="G3068" s="2">
        <v>116600.0</v>
      </c>
    </row>
    <row r="3069" ht="14.25" customHeight="1">
      <c r="A3069" s="2">
        <v>3068.0</v>
      </c>
      <c r="B3069" s="2" t="s">
        <v>2549</v>
      </c>
      <c r="C3069" s="2" t="s">
        <v>5560</v>
      </c>
      <c r="D3069" s="2">
        <v>115.0</v>
      </c>
      <c r="E3069" s="2">
        <v>1.0</v>
      </c>
      <c r="F3069" s="2">
        <v>50.0</v>
      </c>
      <c r="G3069" s="2">
        <v>116500.0</v>
      </c>
    </row>
    <row r="3070" ht="14.25" customHeight="1">
      <c r="A3070" s="2">
        <v>3069.0</v>
      </c>
      <c r="B3070" s="2" t="s">
        <v>2479</v>
      </c>
      <c r="C3070" s="2" t="s">
        <v>5561</v>
      </c>
      <c r="D3070" s="2">
        <v>182.0</v>
      </c>
      <c r="E3070" s="2">
        <v>1.0</v>
      </c>
      <c r="F3070" s="2">
        <v>50.0</v>
      </c>
      <c r="G3070" s="2">
        <v>116500.0</v>
      </c>
    </row>
    <row r="3071" ht="14.25" customHeight="1">
      <c r="A3071" s="2">
        <v>3070.0</v>
      </c>
      <c r="B3071" s="2" t="s">
        <v>2636</v>
      </c>
      <c r="C3071" s="2" t="s">
        <v>5562</v>
      </c>
      <c r="D3071" s="2">
        <v>145.0</v>
      </c>
      <c r="E3071" s="2">
        <v>1.0</v>
      </c>
      <c r="F3071" s="2">
        <v>50.0</v>
      </c>
      <c r="G3071" s="2">
        <v>116300.0</v>
      </c>
    </row>
    <row r="3072" ht="14.25" customHeight="1">
      <c r="A3072" s="2">
        <v>3071.0</v>
      </c>
      <c r="B3072" s="2" t="s">
        <v>2561</v>
      </c>
      <c r="C3072" s="2" t="s">
        <v>5563</v>
      </c>
      <c r="D3072" s="2">
        <v>162.0</v>
      </c>
      <c r="E3072" s="2">
        <v>1.0</v>
      </c>
      <c r="F3072" s="2">
        <v>52.0</v>
      </c>
      <c r="G3072" s="2">
        <v>116300.0</v>
      </c>
    </row>
    <row r="3073" ht="14.25" customHeight="1">
      <c r="A3073" s="2">
        <v>3072.0</v>
      </c>
      <c r="B3073" s="2" t="s">
        <v>2541</v>
      </c>
      <c r="C3073" s="2" t="s">
        <v>5564</v>
      </c>
      <c r="D3073" s="2">
        <v>195.0</v>
      </c>
      <c r="E3073" s="2">
        <v>1.0</v>
      </c>
      <c r="F3073" s="2">
        <v>75.0</v>
      </c>
      <c r="G3073" s="2">
        <v>116300.0</v>
      </c>
    </row>
    <row r="3074" ht="14.25" customHeight="1">
      <c r="A3074" s="2">
        <v>3073.0</v>
      </c>
      <c r="B3074" s="2" t="s">
        <v>2576</v>
      </c>
      <c r="C3074" s="2" t="s">
        <v>5565</v>
      </c>
      <c r="D3074" s="2">
        <v>197.0</v>
      </c>
      <c r="E3074" s="2">
        <v>1.0</v>
      </c>
      <c r="F3074" s="2">
        <v>66.0</v>
      </c>
      <c r="G3074" s="2">
        <v>116300.0</v>
      </c>
    </row>
    <row r="3075" ht="14.25" customHeight="1">
      <c r="A3075" s="2">
        <v>3074.0</v>
      </c>
      <c r="B3075" s="2" t="s">
        <v>2501</v>
      </c>
      <c r="C3075" s="2" t="s">
        <v>5566</v>
      </c>
      <c r="D3075" s="2">
        <v>199.0</v>
      </c>
      <c r="E3075" s="2">
        <v>1.0</v>
      </c>
      <c r="F3075" s="2">
        <v>100.0</v>
      </c>
      <c r="G3075" s="2">
        <v>116300.0</v>
      </c>
    </row>
    <row r="3076" ht="14.25" customHeight="1">
      <c r="A3076" s="2">
        <v>3075.0</v>
      </c>
      <c r="B3076" s="2" t="s">
        <v>2507</v>
      </c>
      <c r="C3076" s="2" t="s">
        <v>5567</v>
      </c>
      <c r="D3076" s="2">
        <v>205.0</v>
      </c>
      <c r="E3076" s="2">
        <v>1.0</v>
      </c>
      <c r="F3076" s="2">
        <v>70.0</v>
      </c>
      <c r="G3076" s="2">
        <v>116300.0</v>
      </c>
    </row>
    <row r="3077" ht="14.25" customHeight="1">
      <c r="A3077" s="2">
        <v>3076.0</v>
      </c>
      <c r="B3077" s="2" t="s">
        <v>2553</v>
      </c>
      <c r="C3077" s="2" t="s">
        <v>5568</v>
      </c>
      <c r="D3077" s="2">
        <v>187.0</v>
      </c>
      <c r="E3077" s="2">
        <v>1.0</v>
      </c>
      <c r="F3077" s="2">
        <v>90.0</v>
      </c>
      <c r="G3077" s="2">
        <v>116200.0</v>
      </c>
    </row>
    <row r="3078" ht="14.25" customHeight="1">
      <c r="A3078" s="2">
        <v>3077.0</v>
      </c>
      <c r="B3078" s="2" t="s">
        <v>2488</v>
      </c>
      <c r="C3078" s="2" t="s">
        <v>5569</v>
      </c>
      <c r="D3078" s="2">
        <v>333.0</v>
      </c>
      <c r="E3078" s="2">
        <v>1.0</v>
      </c>
      <c r="F3078" s="2">
        <v>60.0</v>
      </c>
      <c r="G3078" s="2">
        <v>116200.0</v>
      </c>
    </row>
    <row r="3079" ht="14.25" customHeight="1">
      <c r="A3079" s="2">
        <v>3078.0</v>
      </c>
      <c r="B3079" s="2" t="s">
        <v>2621</v>
      </c>
      <c r="C3079" s="2" t="s">
        <v>5570</v>
      </c>
      <c r="D3079" s="2">
        <v>403.0</v>
      </c>
      <c r="E3079" s="2">
        <v>1.0</v>
      </c>
      <c r="F3079" s="2">
        <v>132.0</v>
      </c>
      <c r="G3079" s="2">
        <v>116200.0</v>
      </c>
    </row>
    <row r="3080" ht="14.25" customHeight="1">
      <c r="A3080" s="2">
        <v>3079.0</v>
      </c>
      <c r="B3080" s="2" t="s">
        <v>2518</v>
      </c>
      <c r="C3080" s="2" t="s">
        <v>5571</v>
      </c>
      <c r="D3080" s="2">
        <v>161.0</v>
      </c>
      <c r="E3080" s="2">
        <v>1.0</v>
      </c>
      <c r="F3080" s="2">
        <v>75.0</v>
      </c>
      <c r="G3080" s="2">
        <v>116100.0</v>
      </c>
    </row>
    <row r="3081" ht="14.25" customHeight="1">
      <c r="A3081" s="2">
        <v>3080.0</v>
      </c>
      <c r="B3081" s="2" t="s">
        <v>2561</v>
      </c>
      <c r="C3081" s="2" t="s">
        <v>5572</v>
      </c>
      <c r="D3081" s="2">
        <v>162.0</v>
      </c>
      <c r="E3081" s="2">
        <v>1.0</v>
      </c>
      <c r="F3081" s="2">
        <v>50.0</v>
      </c>
      <c r="G3081" s="2">
        <v>116100.0</v>
      </c>
    </row>
    <row r="3082" ht="14.25" customHeight="1">
      <c r="A3082" s="2">
        <v>3081.0</v>
      </c>
      <c r="B3082" s="2" t="s">
        <v>2594</v>
      </c>
      <c r="C3082" s="2" t="s">
        <v>5573</v>
      </c>
      <c r="D3082" s="2">
        <v>184.0</v>
      </c>
      <c r="E3082" s="2">
        <v>1.0</v>
      </c>
      <c r="F3082" s="2">
        <v>200.0</v>
      </c>
      <c r="G3082" s="2">
        <v>116100.0</v>
      </c>
    </row>
    <row r="3083" ht="14.25" customHeight="1">
      <c r="A3083" s="2">
        <v>3082.0</v>
      </c>
      <c r="B3083" s="2" t="s">
        <v>2549</v>
      </c>
      <c r="C3083" s="2" t="s">
        <v>5574</v>
      </c>
      <c r="D3083" s="2">
        <v>115.0</v>
      </c>
      <c r="E3083" s="2">
        <v>1.0</v>
      </c>
      <c r="F3083" s="2">
        <v>100.0</v>
      </c>
      <c r="G3083" s="2">
        <v>116000.0</v>
      </c>
    </row>
    <row r="3084" ht="14.25" customHeight="1">
      <c r="A3084" s="2">
        <v>3083.0</v>
      </c>
      <c r="B3084" s="2" t="s">
        <v>2686</v>
      </c>
      <c r="C3084" s="2" t="s">
        <v>5575</v>
      </c>
      <c r="D3084" s="2">
        <v>127.0</v>
      </c>
      <c r="E3084" s="2">
        <v>1.0</v>
      </c>
      <c r="F3084" s="2">
        <v>100.0</v>
      </c>
      <c r="G3084" s="2">
        <v>116000.0</v>
      </c>
    </row>
    <row r="3085" ht="14.25" customHeight="1">
      <c r="A3085" s="2">
        <v>3084.0</v>
      </c>
      <c r="B3085" s="2" t="s">
        <v>2686</v>
      </c>
      <c r="C3085" s="2" t="s">
        <v>5576</v>
      </c>
      <c r="D3085" s="2">
        <v>127.0</v>
      </c>
      <c r="E3085" s="2">
        <v>1.0</v>
      </c>
      <c r="F3085" s="2">
        <v>50.0</v>
      </c>
      <c r="G3085" s="2">
        <v>116000.0</v>
      </c>
    </row>
    <row r="3086" ht="14.25" customHeight="1">
      <c r="A3086" s="2">
        <v>3085.0</v>
      </c>
      <c r="B3086" s="2" t="s">
        <v>2477</v>
      </c>
      <c r="C3086" s="2" t="s">
        <v>5577</v>
      </c>
      <c r="D3086" s="2">
        <v>152.0</v>
      </c>
      <c r="E3086" s="2">
        <v>1.0</v>
      </c>
      <c r="F3086" s="2">
        <v>100.0</v>
      </c>
      <c r="G3086" s="2">
        <v>116000.0</v>
      </c>
    </row>
    <row r="3087" ht="14.25" customHeight="1">
      <c r="A3087" s="2">
        <v>3086.0</v>
      </c>
      <c r="B3087" s="2" t="s">
        <v>2518</v>
      </c>
      <c r="C3087" s="2" t="s">
        <v>5578</v>
      </c>
      <c r="D3087" s="2">
        <v>161.0</v>
      </c>
      <c r="E3087" s="2">
        <v>1.0</v>
      </c>
      <c r="F3087" s="2">
        <v>50.0</v>
      </c>
      <c r="G3087" s="2">
        <v>116000.0</v>
      </c>
    </row>
    <row r="3088" ht="14.25" customHeight="1">
      <c r="A3088" s="2">
        <v>3087.0</v>
      </c>
      <c r="B3088" s="2" t="s">
        <v>2479</v>
      </c>
      <c r="C3088" s="2" t="s">
        <v>5579</v>
      </c>
      <c r="D3088" s="2">
        <v>182.0</v>
      </c>
      <c r="E3088" s="2">
        <v>1.0</v>
      </c>
      <c r="F3088" s="2">
        <v>50.0</v>
      </c>
      <c r="G3088" s="2">
        <v>116000.0</v>
      </c>
    </row>
    <row r="3089" ht="14.25" customHeight="1">
      <c r="A3089" s="2">
        <v>3088.0</v>
      </c>
      <c r="B3089" s="2" t="s">
        <v>2507</v>
      </c>
      <c r="C3089" s="2" t="s">
        <v>5580</v>
      </c>
      <c r="D3089" s="2">
        <v>205.0</v>
      </c>
      <c r="E3089" s="2">
        <v>1.0</v>
      </c>
      <c r="F3089" s="2">
        <v>75.0</v>
      </c>
      <c r="G3089" s="2">
        <v>116000.0</v>
      </c>
    </row>
    <row r="3090" ht="14.25" customHeight="1">
      <c r="A3090" s="2">
        <v>3089.0</v>
      </c>
      <c r="B3090" s="2" t="s">
        <v>2524</v>
      </c>
      <c r="C3090" s="2" t="s">
        <v>5581</v>
      </c>
      <c r="D3090" s="2">
        <v>331.0</v>
      </c>
      <c r="E3090" s="2">
        <v>1.0</v>
      </c>
      <c r="F3090" s="2">
        <v>65.0</v>
      </c>
      <c r="G3090" s="2">
        <v>116000.0</v>
      </c>
    </row>
    <row r="3091" ht="14.25" customHeight="1">
      <c r="A3091" s="2">
        <v>3090.0</v>
      </c>
      <c r="B3091" s="2" t="s">
        <v>2477</v>
      </c>
      <c r="C3091" s="2" t="s">
        <v>5582</v>
      </c>
      <c r="D3091" s="2">
        <v>152.0</v>
      </c>
      <c r="E3091" s="2">
        <v>1.0</v>
      </c>
      <c r="F3091" s="2">
        <v>100.0</v>
      </c>
      <c r="G3091" s="2">
        <v>115900.0</v>
      </c>
    </row>
    <row r="3092" ht="14.25" customHeight="1">
      <c r="A3092" s="2">
        <v>3091.0</v>
      </c>
      <c r="B3092" s="2" t="s">
        <v>2503</v>
      </c>
      <c r="C3092" s="2" t="s">
        <v>5583</v>
      </c>
      <c r="D3092" s="2">
        <v>105.0</v>
      </c>
      <c r="E3092" s="2">
        <v>1.0</v>
      </c>
      <c r="F3092" s="2">
        <v>65.0</v>
      </c>
      <c r="G3092" s="2">
        <v>115800.0</v>
      </c>
    </row>
    <row r="3093" ht="14.25" customHeight="1">
      <c r="A3093" s="2">
        <v>3092.0</v>
      </c>
      <c r="B3093" s="2" t="s">
        <v>2553</v>
      </c>
      <c r="C3093" s="2" t="s">
        <v>5584</v>
      </c>
      <c r="D3093" s="2">
        <v>187.0</v>
      </c>
      <c r="E3093" s="2">
        <v>1.0</v>
      </c>
      <c r="F3093" s="2">
        <v>100.0</v>
      </c>
      <c r="G3093" s="2">
        <v>115800.0</v>
      </c>
    </row>
    <row r="3094" ht="14.25" customHeight="1">
      <c r="A3094" s="2">
        <v>3093.0</v>
      </c>
      <c r="B3094" s="2" t="s">
        <v>2505</v>
      </c>
      <c r="C3094" s="2" t="s">
        <v>4708</v>
      </c>
      <c r="D3094" s="2">
        <v>429.0</v>
      </c>
      <c r="E3094" s="2">
        <v>1.0</v>
      </c>
      <c r="F3094" s="2">
        <v>100.0</v>
      </c>
      <c r="G3094" s="2">
        <v>115800.0</v>
      </c>
    </row>
    <row r="3095" ht="14.25" customHeight="1">
      <c r="A3095" s="2">
        <v>3094.0</v>
      </c>
      <c r="B3095" s="2" t="s">
        <v>2503</v>
      </c>
      <c r="C3095" s="2" t="s">
        <v>5585</v>
      </c>
      <c r="D3095" s="2">
        <v>105.0</v>
      </c>
      <c r="E3095" s="2">
        <v>1.0</v>
      </c>
      <c r="F3095" s="2">
        <v>80.0</v>
      </c>
      <c r="G3095" s="2">
        <v>115700.0</v>
      </c>
    </row>
    <row r="3096" ht="14.25" customHeight="1">
      <c r="A3096" s="2">
        <v>3095.0</v>
      </c>
      <c r="B3096" s="2" t="s">
        <v>2561</v>
      </c>
      <c r="C3096" s="2" t="s">
        <v>5586</v>
      </c>
      <c r="D3096" s="2">
        <v>162.0</v>
      </c>
      <c r="E3096" s="2">
        <v>1.0</v>
      </c>
      <c r="F3096" s="2">
        <v>100.0</v>
      </c>
      <c r="G3096" s="2">
        <v>115700.0</v>
      </c>
    </row>
    <row r="3097" ht="14.25" customHeight="1">
      <c r="A3097" s="2">
        <v>3096.0</v>
      </c>
      <c r="B3097" s="2" t="s">
        <v>2505</v>
      </c>
      <c r="C3097" s="2" t="s">
        <v>5587</v>
      </c>
      <c r="D3097" s="2">
        <v>429.0</v>
      </c>
      <c r="E3097" s="2">
        <v>1.0</v>
      </c>
      <c r="F3097" s="2">
        <v>50.0</v>
      </c>
      <c r="G3097" s="2">
        <v>115700.0</v>
      </c>
    </row>
    <row r="3098" ht="14.25" customHeight="1">
      <c r="A3098" s="2">
        <v>3097.0</v>
      </c>
      <c r="B3098" s="2" t="s">
        <v>2503</v>
      </c>
      <c r="C3098" s="2" t="s">
        <v>5588</v>
      </c>
      <c r="D3098" s="2">
        <v>105.0</v>
      </c>
      <c r="E3098" s="2">
        <v>1.0</v>
      </c>
      <c r="F3098" s="2">
        <v>100.0</v>
      </c>
      <c r="G3098" s="2">
        <v>115600.0</v>
      </c>
    </row>
    <row r="3099" ht="14.25" customHeight="1">
      <c r="A3099" s="2">
        <v>3098.0</v>
      </c>
      <c r="B3099" s="2" t="s">
        <v>2621</v>
      </c>
      <c r="C3099" s="2" t="s">
        <v>5589</v>
      </c>
      <c r="D3099" s="2">
        <v>403.0</v>
      </c>
      <c r="E3099" s="2">
        <v>1.0</v>
      </c>
      <c r="F3099" s="2">
        <v>66.0</v>
      </c>
      <c r="G3099" s="2">
        <v>115600.0</v>
      </c>
    </row>
    <row r="3100" ht="14.25" customHeight="1">
      <c r="A3100" s="2">
        <v>3099.0</v>
      </c>
      <c r="B3100" s="2" t="s">
        <v>2549</v>
      </c>
      <c r="C3100" s="2" t="s">
        <v>5590</v>
      </c>
      <c r="D3100" s="2">
        <v>115.0</v>
      </c>
      <c r="E3100" s="2">
        <v>1.0</v>
      </c>
      <c r="F3100" s="2">
        <v>112.5</v>
      </c>
      <c r="G3100" s="2">
        <v>115500.0</v>
      </c>
    </row>
    <row r="3101" ht="14.25" customHeight="1">
      <c r="A3101" s="2">
        <v>3100.0</v>
      </c>
      <c r="B3101" s="2" t="s">
        <v>2518</v>
      </c>
      <c r="C3101" s="2" t="s">
        <v>5591</v>
      </c>
      <c r="D3101" s="2">
        <v>161.0</v>
      </c>
      <c r="E3101" s="2">
        <v>1.0</v>
      </c>
      <c r="F3101" s="2">
        <v>150.0</v>
      </c>
      <c r="G3101" s="2">
        <v>115500.0</v>
      </c>
    </row>
    <row r="3102" ht="14.25" customHeight="1">
      <c r="A3102" s="2">
        <v>3101.0</v>
      </c>
      <c r="B3102" s="2" t="s">
        <v>2479</v>
      </c>
      <c r="C3102" s="2" t="s">
        <v>5592</v>
      </c>
      <c r="D3102" s="2">
        <v>182.0</v>
      </c>
      <c r="E3102" s="2">
        <v>1.0</v>
      </c>
      <c r="F3102" s="2">
        <v>50.0</v>
      </c>
      <c r="G3102" s="2">
        <v>115500.0</v>
      </c>
    </row>
    <row r="3103" ht="14.25" customHeight="1">
      <c r="A3103" s="2">
        <v>3102.0</v>
      </c>
      <c r="B3103" s="2" t="s">
        <v>2582</v>
      </c>
      <c r="C3103" s="2" t="s">
        <v>5593</v>
      </c>
      <c r="D3103" s="2">
        <v>183.0</v>
      </c>
      <c r="E3103" s="2">
        <v>1.0</v>
      </c>
      <c r="F3103" s="2">
        <v>75.0</v>
      </c>
      <c r="G3103" s="2">
        <v>115500.0</v>
      </c>
    </row>
    <row r="3104" ht="14.25" customHeight="1">
      <c r="A3104" s="2">
        <v>3103.0</v>
      </c>
      <c r="B3104" s="2" t="s">
        <v>2594</v>
      </c>
      <c r="C3104" s="2" t="s">
        <v>5594</v>
      </c>
      <c r="D3104" s="2">
        <v>184.0</v>
      </c>
      <c r="E3104" s="2">
        <v>1.0</v>
      </c>
      <c r="F3104" s="2">
        <v>55.0</v>
      </c>
      <c r="G3104" s="2">
        <v>115500.0</v>
      </c>
    </row>
    <row r="3105" ht="14.25" customHeight="1">
      <c r="A3105" s="2">
        <v>3104.0</v>
      </c>
      <c r="B3105" s="2" t="s">
        <v>2945</v>
      </c>
      <c r="C3105" s="2" t="s">
        <v>5595</v>
      </c>
      <c r="D3105" s="2">
        <v>619.0</v>
      </c>
      <c r="E3105" s="2">
        <v>1.0</v>
      </c>
      <c r="F3105" s="2">
        <v>60.0</v>
      </c>
      <c r="G3105" s="2">
        <v>115500.0</v>
      </c>
    </row>
    <row r="3106" ht="14.25" customHeight="1">
      <c r="A3106" s="2">
        <v>3105.0</v>
      </c>
      <c r="B3106" s="2" t="s">
        <v>2945</v>
      </c>
      <c r="C3106" s="2" t="s">
        <v>5596</v>
      </c>
      <c r="D3106" s="2">
        <v>619.0</v>
      </c>
      <c r="E3106" s="2">
        <v>1.0</v>
      </c>
      <c r="F3106" s="2">
        <v>60.0</v>
      </c>
      <c r="G3106" s="2">
        <v>115500.0</v>
      </c>
    </row>
    <row r="3107" ht="14.25" customHeight="1">
      <c r="A3107" s="2">
        <v>3106.0</v>
      </c>
      <c r="B3107" s="2" t="s">
        <v>2945</v>
      </c>
      <c r="C3107" s="2" t="s">
        <v>5597</v>
      </c>
      <c r="D3107" s="2">
        <v>619.0</v>
      </c>
      <c r="E3107" s="2">
        <v>1.0</v>
      </c>
      <c r="F3107" s="2">
        <v>60.0</v>
      </c>
      <c r="G3107" s="2">
        <v>115500.0</v>
      </c>
    </row>
    <row r="3108" ht="14.25" customHeight="1">
      <c r="A3108" s="2">
        <v>3107.0</v>
      </c>
      <c r="B3108" s="2" t="s">
        <v>2945</v>
      </c>
      <c r="C3108" s="2" t="s">
        <v>5598</v>
      </c>
      <c r="D3108" s="2">
        <v>619.0</v>
      </c>
      <c r="E3108" s="2">
        <v>1.0</v>
      </c>
      <c r="F3108" s="2">
        <v>60.0</v>
      </c>
      <c r="G3108" s="2">
        <v>115500.0</v>
      </c>
    </row>
    <row r="3109" ht="14.25" customHeight="1">
      <c r="A3109" s="2">
        <v>3108.0</v>
      </c>
      <c r="B3109" s="2" t="s">
        <v>2524</v>
      </c>
      <c r="C3109" s="2" t="s">
        <v>5599</v>
      </c>
      <c r="D3109" s="2">
        <v>331.0</v>
      </c>
      <c r="E3109" s="2">
        <v>1.0</v>
      </c>
      <c r="F3109" s="2">
        <v>65.0</v>
      </c>
      <c r="G3109" s="2">
        <v>115400.0</v>
      </c>
    </row>
    <row r="3110" ht="14.25" customHeight="1">
      <c r="A3110" s="2">
        <v>3109.0</v>
      </c>
      <c r="B3110" s="2" t="s">
        <v>2549</v>
      </c>
      <c r="C3110" s="2" t="s">
        <v>5600</v>
      </c>
      <c r="D3110" s="2">
        <v>115.0</v>
      </c>
      <c r="E3110" s="2">
        <v>1.0</v>
      </c>
      <c r="F3110" s="2">
        <v>50.0</v>
      </c>
      <c r="G3110" s="2">
        <v>115300.0</v>
      </c>
    </row>
    <row r="3111" ht="14.25" customHeight="1">
      <c r="A3111" s="2">
        <v>3110.0</v>
      </c>
      <c r="B3111" s="2" t="s">
        <v>2686</v>
      </c>
      <c r="C3111" s="2" t="s">
        <v>5601</v>
      </c>
      <c r="D3111" s="2">
        <v>127.0</v>
      </c>
      <c r="E3111" s="2">
        <v>1.0</v>
      </c>
      <c r="F3111" s="2">
        <v>60.0</v>
      </c>
      <c r="G3111" s="2">
        <v>115300.0</v>
      </c>
    </row>
    <row r="3112" ht="14.25" customHeight="1">
      <c r="A3112" s="2">
        <v>3111.0</v>
      </c>
      <c r="B3112" s="2" t="s">
        <v>2636</v>
      </c>
      <c r="C3112" s="2" t="s">
        <v>5602</v>
      </c>
      <c r="D3112" s="2">
        <v>145.0</v>
      </c>
      <c r="E3112" s="2">
        <v>1.0</v>
      </c>
      <c r="F3112" s="2">
        <v>60.0</v>
      </c>
      <c r="G3112" s="2">
        <v>115300.0</v>
      </c>
    </row>
    <row r="3113" ht="14.25" customHeight="1">
      <c r="A3113" s="2">
        <v>3112.0</v>
      </c>
      <c r="B3113" s="2" t="s">
        <v>2636</v>
      </c>
      <c r="C3113" s="2" t="s">
        <v>5603</v>
      </c>
      <c r="D3113" s="2">
        <v>145.0</v>
      </c>
      <c r="E3113" s="2">
        <v>1.0</v>
      </c>
      <c r="F3113" s="2">
        <v>105.0</v>
      </c>
      <c r="G3113" s="2">
        <v>115300.0</v>
      </c>
    </row>
    <row r="3114" ht="14.25" customHeight="1">
      <c r="A3114" s="2">
        <v>3113.0</v>
      </c>
      <c r="B3114" s="2" t="s">
        <v>2512</v>
      </c>
      <c r="C3114" s="2" t="s">
        <v>5604</v>
      </c>
      <c r="D3114" s="2">
        <v>153.0</v>
      </c>
      <c r="E3114" s="2">
        <v>1.0</v>
      </c>
      <c r="F3114" s="2">
        <v>100.0</v>
      </c>
      <c r="G3114" s="2">
        <v>115300.0</v>
      </c>
    </row>
    <row r="3115" ht="14.25" customHeight="1">
      <c r="A3115" s="2">
        <v>3114.0</v>
      </c>
      <c r="B3115" s="2" t="s">
        <v>2518</v>
      </c>
      <c r="C3115" s="2" t="s">
        <v>5605</v>
      </c>
      <c r="D3115" s="2">
        <v>161.0</v>
      </c>
      <c r="E3115" s="2">
        <v>1.0</v>
      </c>
      <c r="F3115" s="2">
        <v>50.0</v>
      </c>
      <c r="G3115" s="2">
        <v>115300.0</v>
      </c>
    </row>
    <row r="3116" ht="14.25" customHeight="1">
      <c r="A3116" s="2">
        <v>3115.0</v>
      </c>
      <c r="B3116" s="2" t="s">
        <v>2518</v>
      </c>
      <c r="C3116" s="2" t="s">
        <v>5606</v>
      </c>
      <c r="D3116" s="2">
        <v>161.0</v>
      </c>
      <c r="E3116" s="2">
        <v>1.0</v>
      </c>
      <c r="F3116" s="2">
        <v>50.0</v>
      </c>
      <c r="G3116" s="2">
        <v>115300.0</v>
      </c>
    </row>
    <row r="3117" ht="14.25" customHeight="1">
      <c r="A3117" s="2">
        <v>3116.0</v>
      </c>
      <c r="B3117" s="2" t="s">
        <v>2524</v>
      </c>
      <c r="C3117" s="2" t="s">
        <v>5607</v>
      </c>
      <c r="D3117" s="2">
        <v>331.0</v>
      </c>
      <c r="E3117" s="2">
        <v>1.0</v>
      </c>
      <c r="F3117" s="2">
        <v>50.0</v>
      </c>
      <c r="G3117" s="2">
        <v>115300.0</v>
      </c>
    </row>
    <row r="3118" ht="14.25" customHeight="1">
      <c r="A3118" s="2">
        <v>3117.0</v>
      </c>
      <c r="B3118" s="2" t="s">
        <v>2524</v>
      </c>
      <c r="C3118" s="2" t="s">
        <v>5608</v>
      </c>
      <c r="D3118" s="2">
        <v>331.0</v>
      </c>
      <c r="E3118" s="2">
        <v>1.0</v>
      </c>
      <c r="F3118" s="2">
        <v>100.0</v>
      </c>
      <c r="G3118" s="2">
        <v>115300.0</v>
      </c>
    </row>
    <row r="3119" ht="14.25" customHeight="1">
      <c r="A3119" s="2">
        <v>3118.0</v>
      </c>
      <c r="B3119" s="2" t="s">
        <v>2604</v>
      </c>
      <c r="C3119" s="2" t="s">
        <v>5609</v>
      </c>
      <c r="D3119" s="2">
        <v>200.0</v>
      </c>
      <c r="E3119" s="2">
        <v>1.0</v>
      </c>
      <c r="F3119" s="2">
        <v>150.0</v>
      </c>
      <c r="G3119" s="2">
        <v>115200.0</v>
      </c>
    </row>
    <row r="3120" ht="14.25" customHeight="1">
      <c r="A3120" s="2">
        <v>3119.0</v>
      </c>
      <c r="B3120" s="2" t="s">
        <v>2524</v>
      </c>
      <c r="C3120" s="2" t="s">
        <v>5610</v>
      </c>
      <c r="D3120" s="2">
        <v>331.0</v>
      </c>
      <c r="E3120" s="2">
        <v>1.0</v>
      </c>
      <c r="F3120" s="2">
        <v>125.0</v>
      </c>
      <c r="G3120" s="2">
        <v>115200.0</v>
      </c>
    </row>
    <row r="3121" ht="14.25" customHeight="1">
      <c r="A3121" s="2">
        <v>3120.0</v>
      </c>
      <c r="B3121" s="2" t="s">
        <v>2621</v>
      </c>
      <c r="C3121" s="2" t="s">
        <v>5611</v>
      </c>
      <c r="D3121" s="2">
        <v>403.0</v>
      </c>
      <c r="E3121" s="2">
        <v>1.0</v>
      </c>
      <c r="F3121" s="2">
        <v>150.0</v>
      </c>
      <c r="G3121" s="2">
        <v>115200.0</v>
      </c>
    </row>
    <row r="3122" ht="14.25" customHeight="1">
      <c r="A3122" s="2">
        <v>3121.0</v>
      </c>
      <c r="B3122" s="2" t="s">
        <v>2518</v>
      </c>
      <c r="C3122" s="2" t="s">
        <v>5612</v>
      </c>
      <c r="D3122" s="2">
        <v>161.0</v>
      </c>
      <c r="E3122" s="2">
        <v>1.0</v>
      </c>
      <c r="F3122" s="2">
        <v>75.0</v>
      </c>
      <c r="G3122" s="2">
        <v>115100.0</v>
      </c>
    </row>
    <row r="3123" ht="14.25" customHeight="1">
      <c r="A3123" s="2">
        <v>3122.0</v>
      </c>
      <c r="B3123" s="2" t="s">
        <v>2594</v>
      </c>
      <c r="C3123" s="2" t="s">
        <v>5613</v>
      </c>
      <c r="D3123" s="2">
        <v>184.0</v>
      </c>
      <c r="E3123" s="2">
        <v>1.0</v>
      </c>
      <c r="F3123" s="2">
        <v>100.0</v>
      </c>
      <c r="G3123" s="2">
        <v>115100.0</v>
      </c>
    </row>
    <row r="3124" ht="14.25" customHeight="1">
      <c r="A3124" s="2">
        <v>3123.0</v>
      </c>
      <c r="B3124" s="2" t="s">
        <v>2534</v>
      </c>
      <c r="C3124" s="2" t="s">
        <v>5614</v>
      </c>
      <c r="D3124" s="2">
        <v>188.0</v>
      </c>
      <c r="E3124" s="2">
        <v>1.0</v>
      </c>
      <c r="F3124" s="2">
        <v>75.0</v>
      </c>
      <c r="G3124" s="2">
        <v>115100.0</v>
      </c>
    </row>
    <row r="3125" ht="14.25" customHeight="1">
      <c r="A3125" s="2">
        <v>3124.0</v>
      </c>
      <c r="B3125" s="2" t="s">
        <v>2501</v>
      </c>
      <c r="C3125" s="2" t="s">
        <v>5615</v>
      </c>
      <c r="D3125" s="2">
        <v>199.0</v>
      </c>
      <c r="E3125" s="2">
        <v>1.0</v>
      </c>
      <c r="F3125" s="2">
        <v>90.0</v>
      </c>
      <c r="G3125" s="2">
        <v>115100.0</v>
      </c>
    </row>
    <row r="3126" ht="14.25" customHeight="1">
      <c r="A3126" s="2">
        <v>3125.0</v>
      </c>
      <c r="B3126" s="2" t="s">
        <v>2524</v>
      </c>
      <c r="C3126" s="2" t="s">
        <v>5616</v>
      </c>
      <c r="D3126" s="2">
        <v>331.0</v>
      </c>
      <c r="E3126" s="2">
        <v>1.0</v>
      </c>
      <c r="F3126" s="2">
        <v>60.0</v>
      </c>
      <c r="G3126" s="2">
        <v>115100.0</v>
      </c>
    </row>
    <row r="3127" ht="14.25" customHeight="1">
      <c r="A3127" s="2">
        <v>3126.0</v>
      </c>
      <c r="B3127" s="2" t="s">
        <v>2686</v>
      </c>
      <c r="C3127" s="2" t="s">
        <v>5617</v>
      </c>
      <c r="D3127" s="2">
        <v>127.0</v>
      </c>
      <c r="E3127" s="2">
        <v>1.0</v>
      </c>
      <c r="F3127" s="2">
        <v>150.0</v>
      </c>
      <c r="G3127" s="2">
        <v>115000.0</v>
      </c>
    </row>
    <row r="3128" ht="14.25" customHeight="1">
      <c r="A3128" s="2">
        <v>3127.0</v>
      </c>
      <c r="B3128" s="2" t="s">
        <v>2636</v>
      </c>
      <c r="C3128" s="2" t="s">
        <v>5618</v>
      </c>
      <c r="D3128" s="2">
        <v>145.0</v>
      </c>
      <c r="E3128" s="2">
        <v>1.0</v>
      </c>
      <c r="F3128" s="2">
        <v>100.0</v>
      </c>
      <c r="G3128" s="2">
        <v>115000.0</v>
      </c>
    </row>
    <row r="3129" ht="14.25" customHeight="1">
      <c r="A3129" s="2">
        <v>3128.0</v>
      </c>
      <c r="B3129" s="2" t="s">
        <v>2512</v>
      </c>
      <c r="C3129" s="2" t="s">
        <v>5619</v>
      </c>
      <c r="D3129" s="2">
        <v>153.0</v>
      </c>
      <c r="E3129" s="2">
        <v>1.0</v>
      </c>
      <c r="F3129" s="2">
        <v>100.0</v>
      </c>
      <c r="G3129" s="2">
        <v>115000.0</v>
      </c>
    </row>
    <row r="3130" ht="14.25" customHeight="1">
      <c r="A3130" s="2">
        <v>3129.0</v>
      </c>
      <c r="B3130" s="2" t="s">
        <v>2582</v>
      </c>
      <c r="C3130" s="2" t="s">
        <v>5620</v>
      </c>
      <c r="D3130" s="2">
        <v>183.0</v>
      </c>
      <c r="E3130" s="2">
        <v>1.0</v>
      </c>
      <c r="F3130" s="2">
        <v>90.0</v>
      </c>
      <c r="G3130" s="2">
        <v>115000.0</v>
      </c>
    </row>
    <row r="3131" ht="14.25" customHeight="1">
      <c r="A3131" s="2">
        <v>3130.0</v>
      </c>
      <c r="B3131" s="2" t="s">
        <v>2594</v>
      </c>
      <c r="C3131" s="2" t="s">
        <v>5621</v>
      </c>
      <c r="D3131" s="2">
        <v>184.0</v>
      </c>
      <c r="E3131" s="2">
        <v>1.0</v>
      </c>
      <c r="F3131" s="2">
        <v>75.0</v>
      </c>
      <c r="G3131" s="2">
        <v>115000.0</v>
      </c>
    </row>
    <row r="3132" ht="14.25" customHeight="1">
      <c r="A3132" s="2">
        <v>3131.0</v>
      </c>
      <c r="B3132" s="2" t="s">
        <v>2541</v>
      </c>
      <c r="C3132" s="2" t="s">
        <v>5622</v>
      </c>
      <c r="D3132" s="2">
        <v>195.0</v>
      </c>
      <c r="E3132" s="2">
        <v>1.0</v>
      </c>
      <c r="F3132" s="2">
        <v>100.0</v>
      </c>
      <c r="G3132" s="2">
        <v>115000.0</v>
      </c>
    </row>
    <row r="3133" ht="14.25" customHeight="1">
      <c r="A3133" s="2">
        <v>3132.0</v>
      </c>
      <c r="B3133" s="2" t="s">
        <v>2501</v>
      </c>
      <c r="C3133" s="2" t="s">
        <v>5623</v>
      </c>
      <c r="D3133" s="2">
        <v>199.0</v>
      </c>
      <c r="E3133" s="2">
        <v>1.0</v>
      </c>
      <c r="F3133" s="2">
        <v>145.0</v>
      </c>
      <c r="G3133" s="2">
        <v>115000.0</v>
      </c>
    </row>
    <row r="3134" ht="14.25" customHeight="1">
      <c r="A3134" s="2">
        <v>3133.0</v>
      </c>
      <c r="B3134" s="2" t="s">
        <v>2503</v>
      </c>
      <c r="C3134" s="2" t="s">
        <v>5624</v>
      </c>
      <c r="D3134" s="2">
        <v>105.0</v>
      </c>
      <c r="E3134" s="2">
        <v>1.0</v>
      </c>
      <c r="F3134" s="2">
        <v>80.0</v>
      </c>
      <c r="G3134" s="2">
        <v>114900.0</v>
      </c>
    </row>
    <row r="3135" ht="14.25" customHeight="1">
      <c r="A3135" s="2">
        <v>3134.0</v>
      </c>
      <c r="B3135" s="2" t="s">
        <v>2503</v>
      </c>
      <c r="C3135" s="2" t="s">
        <v>5625</v>
      </c>
      <c r="D3135" s="2">
        <v>105.0</v>
      </c>
      <c r="E3135" s="2">
        <v>1.0</v>
      </c>
      <c r="F3135" s="2">
        <v>75.0</v>
      </c>
      <c r="G3135" s="2">
        <v>114900.0</v>
      </c>
    </row>
    <row r="3136" ht="14.25" customHeight="1">
      <c r="A3136" s="2">
        <v>3135.0</v>
      </c>
      <c r="B3136" s="2" t="s">
        <v>2549</v>
      </c>
      <c r="C3136" s="2" t="s">
        <v>5626</v>
      </c>
      <c r="D3136" s="2">
        <v>115.0</v>
      </c>
      <c r="E3136" s="2">
        <v>1.0</v>
      </c>
      <c r="F3136" s="2">
        <v>50.0</v>
      </c>
      <c r="G3136" s="2">
        <v>114900.0</v>
      </c>
    </row>
    <row r="3137" ht="14.25" customHeight="1">
      <c r="A3137" s="2">
        <v>3136.0</v>
      </c>
      <c r="B3137" s="2" t="s">
        <v>2507</v>
      </c>
      <c r="C3137" s="2" t="s">
        <v>5627</v>
      </c>
      <c r="D3137" s="2">
        <v>205.0</v>
      </c>
      <c r="E3137" s="2">
        <v>1.0</v>
      </c>
      <c r="F3137" s="2">
        <v>75.0</v>
      </c>
      <c r="G3137" s="2">
        <v>114900.0</v>
      </c>
    </row>
    <row r="3138" ht="14.25" customHeight="1">
      <c r="A3138" s="2">
        <v>3137.0</v>
      </c>
      <c r="B3138" s="2" t="s">
        <v>2651</v>
      </c>
      <c r="C3138" s="2" t="s">
        <v>5628</v>
      </c>
      <c r="D3138" s="2">
        <v>347.0</v>
      </c>
      <c r="E3138" s="2">
        <v>1.0</v>
      </c>
      <c r="F3138" s="2">
        <v>80.0</v>
      </c>
      <c r="G3138" s="2">
        <v>114900.0</v>
      </c>
    </row>
    <row r="3139" ht="14.25" customHeight="1">
      <c r="A3139" s="2">
        <v>3138.0</v>
      </c>
      <c r="B3139" s="2" t="s">
        <v>2549</v>
      </c>
      <c r="C3139" s="2" t="s">
        <v>3409</v>
      </c>
      <c r="D3139" s="2">
        <v>115.0</v>
      </c>
      <c r="E3139" s="2">
        <v>1.0</v>
      </c>
      <c r="F3139" s="2">
        <v>50.0</v>
      </c>
      <c r="G3139" s="2">
        <v>114800.0</v>
      </c>
    </row>
    <row r="3140" ht="14.25" customHeight="1">
      <c r="A3140" s="2">
        <v>3139.0</v>
      </c>
      <c r="B3140" s="2" t="s">
        <v>2507</v>
      </c>
      <c r="C3140" s="2" t="s">
        <v>5629</v>
      </c>
      <c r="D3140" s="2">
        <v>205.0</v>
      </c>
      <c r="E3140" s="2">
        <v>1.0</v>
      </c>
      <c r="F3140" s="2">
        <v>75.0</v>
      </c>
      <c r="G3140" s="2">
        <v>114800.0</v>
      </c>
    </row>
    <row r="3141" ht="14.25" customHeight="1">
      <c r="A3141" s="2">
        <v>3140.0</v>
      </c>
      <c r="B3141" s="2" t="s">
        <v>2507</v>
      </c>
      <c r="C3141" s="2" t="s">
        <v>5630</v>
      </c>
      <c r="D3141" s="2">
        <v>205.0</v>
      </c>
      <c r="E3141" s="2">
        <v>1.0</v>
      </c>
      <c r="F3141" s="2">
        <v>70.0</v>
      </c>
      <c r="G3141" s="2">
        <v>114800.0</v>
      </c>
    </row>
    <row r="3142" ht="14.25" customHeight="1">
      <c r="A3142" s="2">
        <v>3141.0</v>
      </c>
      <c r="B3142" s="2" t="s">
        <v>2488</v>
      </c>
      <c r="C3142" s="2" t="s">
        <v>5631</v>
      </c>
      <c r="D3142" s="2">
        <v>333.0</v>
      </c>
      <c r="E3142" s="2">
        <v>1.0</v>
      </c>
      <c r="F3142" s="2">
        <v>50.0</v>
      </c>
      <c r="G3142" s="2">
        <v>114800.0</v>
      </c>
    </row>
    <row r="3143" ht="14.25" customHeight="1">
      <c r="A3143" s="2">
        <v>3142.0</v>
      </c>
      <c r="B3143" s="2" t="s">
        <v>2488</v>
      </c>
      <c r="C3143" s="2" t="s">
        <v>5632</v>
      </c>
      <c r="D3143" s="2">
        <v>333.0</v>
      </c>
      <c r="E3143" s="2">
        <v>1.0</v>
      </c>
      <c r="F3143" s="2">
        <v>75.0</v>
      </c>
      <c r="G3143" s="2">
        <v>114800.0</v>
      </c>
    </row>
    <row r="3144" ht="14.25" customHeight="1">
      <c r="A3144" s="2">
        <v>3143.0</v>
      </c>
      <c r="B3144" s="2" t="s">
        <v>2686</v>
      </c>
      <c r="C3144" s="2" t="s">
        <v>5633</v>
      </c>
      <c r="D3144" s="2">
        <v>127.0</v>
      </c>
      <c r="E3144" s="2">
        <v>1.0</v>
      </c>
      <c r="F3144" s="2">
        <v>60.0</v>
      </c>
      <c r="G3144" s="2">
        <v>114700.0</v>
      </c>
    </row>
    <row r="3145" ht="14.25" customHeight="1">
      <c r="A3145" s="2">
        <v>3144.0</v>
      </c>
      <c r="B3145" s="2" t="s">
        <v>2475</v>
      </c>
      <c r="C3145" s="2" t="s">
        <v>5634</v>
      </c>
      <c r="D3145" s="2">
        <v>143.0</v>
      </c>
      <c r="E3145" s="2">
        <v>1.0</v>
      </c>
      <c r="F3145" s="2">
        <v>100.0</v>
      </c>
      <c r="G3145" s="2">
        <v>114700.0</v>
      </c>
    </row>
    <row r="3146" ht="14.25" customHeight="1">
      <c r="A3146" s="2">
        <v>3145.0</v>
      </c>
      <c r="B3146" s="2" t="s">
        <v>2512</v>
      </c>
      <c r="C3146" s="2" t="s">
        <v>5635</v>
      </c>
      <c r="D3146" s="2">
        <v>153.0</v>
      </c>
      <c r="E3146" s="2">
        <v>1.0</v>
      </c>
      <c r="F3146" s="2">
        <v>50.0</v>
      </c>
      <c r="G3146" s="2">
        <v>114700.0</v>
      </c>
    </row>
    <row r="3147" ht="14.25" customHeight="1">
      <c r="A3147" s="2">
        <v>3146.0</v>
      </c>
      <c r="B3147" s="2" t="s">
        <v>2534</v>
      </c>
      <c r="C3147" s="2" t="s">
        <v>5636</v>
      </c>
      <c r="D3147" s="2">
        <v>188.0</v>
      </c>
      <c r="E3147" s="2">
        <v>1.0</v>
      </c>
      <c r="F3147" s="2">
        <v>100.0</v>
      </c>
      <c r="G3147" s="2">
        <v>114700.0</v>
      </c>
    </row>
    <row r="3148" ht="14.25" customHeight="1">
      <c r="A3148" s="2">
        <v>3147.0</v>
      </c>
      <c r="B3148" s="2" t="s">
        <v>2541</v>
      </c>
      <c r="C3148" s="2" t="s">
        <v>5637</v>
      </c>
      <c r="D3148" s="2">
        <v>195.0</v>
      </c>
      <c r="E3148" s="2">
        <v>1.0</v>
      </c>
      <c r="F3148" s="2">
        <v>100.0</v>
      </c>
      <c r="G3148" s="2">
        <v>114700.0</v>
      </c>
    </row>
    <row r="3149" ht="14.25" customHeight="1">
      <c r="A3149" s="2">
        <v>3148.0</v>
      </c>
      <c r="B3149" s="2" t="s">
        <v>2541</v>
      </c>
      <c r="C3149" s="2" t="s">
        <v>5638</v>
      </c>
      <c r="D3149" s="2">
        <v>195.0</v>
      </c>
      <c r="E3149" s="2">
        <v>1.0</v>
      </c>
      <c r="F3149" s="2">
        <v>100.0</v>
      </c>
      <c r="G3149" s="2">
        <v>114700.0</v>
      </c>
    </row>
    <row r="3150" ht="14.25" customHeight="1">
      <c r="A3150" s="2">
        <v>3149.0</v>
      </c>
      <c r="B3150" s="2" t="s">
        <v>2576</v>
      </c>
      <c r="C3150" s="2" t="s">
        <v>5639</v>
      </c>
      <c r="D3150" s="2">
        <v>197.0</v>
      </c>
      <c r="E3150" s="2">
        <v>1.0</v>
      </c>
      <c r="F3150" s="2">
        <v>99.0</v>
      </c>
      <c r="G3150" s="2">
        <v>114700.0</v>
      </c>
    </row>
    <row r="3151" ht="14.25" customHeight="1">
      <c r="A3151" s="2">
        <v>3150.0</v>
      </c>
      <c r="B3151" s="2" t="s">
        <v>2507</v>
      </c>
      <c r="C3151" s="2" t="s">
        <v>5640</v>
      </c>
      <c r="D3151" s="2">
        <v>205.0</v>
      </c>
      <c r="E3151" s="2">
        <v>1.0</v>
      </c>
      <c r="F3151" s="2">
        <v>52.0</v>
      </c>
      <c r="G3151" s="2">
        <v>114700.0</v>
      </c>
    </row>
    <row r="3152" ht="14.25" customHeight="1">
      <c r="A3152" s="2">
        <v>3151.0</v>
      </c>
      <c r="B3152" s="2" t="s">
        <v>2945</v>
      </c>
      <c r="C3152" s="2" t="s">
        <v>5641</v>
      </c>
      <c r="D3152" s="2">
        <v>619.0</v>
      </c>
      <c r="E3152" s="2">
        <v>1.0</v>
      </c>
      <c r="F3152" s="2">
        <v>62.5</v>
      </c>
      <c r="G3152" s="2">
        <v>114700.0</v>
      </c>
    </row>
    <row r="3153" ht="14.25" customHeight="1">
      <c r="A3153" s="2">
        <v>3152.0</v>
      </c>
      <c r="B3153" s="2" t="s">
        <v>2686</v>
      </c>
      <c r="C3153" s="2" t="s">
        <v>5642</v>
      </c>
      <c r="D3153" s="2">
        <v>127.0</v>
      </c>
      <c r="E3153" s="2">
        <v>1.0</v>
      </c>
      <c r="F3153" s="2">
        <v>60.0</v>
      </c>
      <c r="G3153" s="2">
        <v>114600.0</v>
      </c>
    </row>
    <row r="3154" ht="14.25" customHeight="1">
      <c r="A3154" s="2">
        <v>3153.0</v>
      </c>
      <c r="B3154" s="2" t="s">
        <v>2541</v>
      </c>
      <c r="C3154" s="2" t="s">
        <v>5643</v>
      </c>
      <c r="D3154" s="2">
        <v>195.0</v>
      </c>
      <c r="E3154" s="2">
        <v>1.0</v>
      </c>
      <c r="F3154" s="2">
        <v>100.0</v>
      </c>
      <c r="G3154" s="2">
        <v>114600.0</v>
      </c>
    </row>
    <row r="3155" ht="14.25" customHeight="1">
      <c r="A3155" s="2">
        <v>3154.0</v>
      </c>
      <c r="B3155" s="2" t="s">
        <v>2507</v>
      </c>
      <c r="C3155" s="2" t="s">
        <v>5644</v>
      </c>
      <c r="D3155" s="2">
        <v>205.0</v>
      </c>
      <c r="E3155" s="2">
        <v>1.0</v>
      </c>
      <c r="F3155" s="2">
        <v>100.0</v>
      </c>
      <c r="G3155" s="2">
        <v>114600.0</v>
      </c>
    </row>
    <row r="3156" ht="14.25" customHeight="1">
      <c r="A3156" s="2">
        <v>3155.0</v>
      </c>
      <c r="B3156" s="2" t="s">
        <v>2686</v>
      </c>
      <c r="C3156" s="2" t="s">
        <v>5645</v>
      </c>
      <c r="D3156" s="2">
        <v>127.0</v>
      </c>
      <c r="E3156" s="2">
        <v>1.0</v>
      </c>
      <c r="F3156" s="2">
        <v>120.0</v>
      </c>
      <c r="G3156" s="2">
        <v>114500.0</v>
      </c>
    </row>
    <row r="3157" ht="14.25" customHeight="1">
      <c r="A3157" s="2">
        <v>3156.0</v>
      </c>
      <c r="B3157" s="2" t="s">
        <v>2561</v>
      </c>
      <c r="C3157" s="2" t="s">
        <v>5646</v>
      </c>
      <c r="D3157" s="2">
        <v>162.0</v>
      </c>
      <c r="E3157" s="2">
        <v>1.0</v>
      </c>
      <c r="F3157" s="2">
        <v>100.0</v>
      </c>
      <c r="G3157" s="2">
        <v>114500.0</v>
      </c>
    </row>
    <row r="3158" ht="14.25" customHeight="1">
      <c r="A3158" s="2">
        <v>3157.0</v>
      </c>
      <c r="B3158" s="2" t="s">
        <v>2651</v>
      </c>
      <c r="C3158" s="2" t="s">
        <v>5647</v>
      </c>
      <c r="D3158" s="2">
        <v>347.0</v>
      </c>
      <c r="E3158" s="2">
        <v>1.0</v>
      </c>
      <c r="F3158" s="2">
        <v>54.0</v>
      </c>
      <c r="G3158" s="2">
        <v>114500.0</v>
      </c>
    </row>
    <row r="3159" ht="14.25" customHeight="1">
      <c r="A3159" s="2">
        <v>3158.0</v>
      </c>
      <c r="B3159" s="2" t="s">
        <v>2636</v>
      </c>
      <c r="C3159" s="2" t="s">
        <v>5648</v>
      </c>
      <c r="D3159" s="2">
        <v>145.0</v>
      </c>
      <c r="E3159" s="2">
        <v>1.0</v>
      </c>
      <c r="F3159" s="2">
        <v>75.0</v>
      </c>
      <c r="G3159" s="2">
        <v>114400.0</v>
      </c>
    </row>
    <row r="3160" ht="14.25" customHeight="1">
      <c r="A3160" s="2">
        <v>3159.0</v>
      </c>
      <c r="B3160" s="2" t="s">
        <v>2636</v>
      </c>
      <c r="C3160" s="2" t="s">
        <v>5649</v>
      </c>
      <c r="D3160" s="2">
        <v>145.0</v>
      </c>
      <c r="E3160" s="2">
        <v>1.0</v>
      </c>
      <c r="F3160" s="2">
        <v>60.0</v>
      </c>
      <c r="G3160" s="2">
        <v>114400.0</v>
      </c>
    </row>
    <row r="3161" ht="14.25" customHeight="1">
      <c r="A3161" s="2">
        <v>3160.0</v>
      </c>
      <c r="B3161" s="2" t="s">
        <v>2512</v>
      </c>
      <c r="C3161" s="2" t="s">
        <v>5650</v>
      </c>
      <c r="D3161" s="2">
        <v>153.0</v>
      </c>
      <c r="E3161" s="2">
        <v>1.0</v>
      </c>
      <c r="F3161" s="2">
        <v>75.0</v>
      </c>
      <c r="G3161" s="2">
        <v>114400.0</v>
      </c>
    </row>
    <row r="3162" ht="14.25" customHeight="1">
      <c r="A3162" s="2">
        <v>3161.0</v>
      </c>
      <c r="B3162" s="2" t="s">
        <v>2582</v>
      </c>
      <c r="C3162" s="2" t="s">
        <v>5651</v>
      </c>
      <c r="D3162" s="2">
        <v>183.0</v>
      </c>
      <c r="E3162" s="2">
        <v>1.0</v>
      </c>
      <c r="F3162" s="2">
        <v>150.0</v>
      </c>
      <c r="G3162" s="2">
        <v>114400.0</v>
      </c>
    </row>
    <row r="3163" ht="14.25" customHeight="1">
      <c r="A3163" s="2">
        <v>3162.0</v>
      </c>
      <c r="B3163" s="2" t="s">
        <v>2594</v>
      </c>
      <c r="C3163" s="2" t="s">
        <v>5652</v>
      </c>
      <c r="D3163" s="2">
        <v>184.0</v>
      </c>
      <c r="E3163" s="2">
        <v>1.0</v>
      </c>
      <c r="F3163" s="2">
        <v>80.0</v>
      </c>
      <c r="G3163" s="2">
        <v>114400.0</v>
      </c>
    </row>
    <row r="3164" ht="14.25" customHeight="1">
      <c r="A3164" s="2">
        <v>3163.0</v>
      </c>
      <c r="B3164" s="2" t="s">
        <v>2576</v>
      </c>
      <c r="C3164" s="2" t="s">
        <v>5653</v>
      </c>
      <c r="D3164" s="2">
        <v>197.0</v>
      </c>
      <c r="E3164" s="2">
        <v>1.0</v>
      </c>
      <c r="F3164" s="2">
        <v>60.0</v>
      </c>
      <c r="G3164" s="2">
        <v>114400.0</v>
      </c>
    </row>
    <row r="3165" ht="14.25" customHeight="1">
      <c r="A3165" s="2">
        <v>3164.0</v>
      </c>
      <c r="B3165" s="2" t="s">
        <v>2507</v>
      </c>
      <c r="C3165" s="2" t="s">
        <v>5654</v>
      </c>
      <c r="D3165" s="2">
        <v>205.0</v>
      </c>
      <c r="E3165" s="2">
        <v>1.0</v>
      </c>
      <c r="F3165" s="2">
        <v>75.0</v>
      </c>
      <c r="G3165" s="2">
        <v>114400.0</v>
      </c>
    </row>
    <row r="3166" ht="14.25" customHeight="1">
      <c r="A3166" s="2">
        <v>3165.0</v>
      </c>
      <c r="B3166" s="2" t="s">
        <v>2621</v>
      </c>
      <c r="C3166" s="2" t="s">
        <v>5655</v>
      </c>
      <c r="D3166" s="2">
        <v>403.0</v>
      </c>
      <c r="E3166" s="2">
        <v>1.0</v>
      </c>
      <c r="F3166" s="2">
        <v>65.0</v>
      </c>
      <c r="G3166" s="2">
        <v>114400.0</v>
      </c>
    </row>
    <row r="3167" ht="14.25" customHeight="1">
      <c r="A3167" s="2">
        <v>3166.0</v>
      </c>
      <c r="B3167" s="2" t="s">
        <v>2621</v>
      </c>
      <c r="C3167" s="2" t="s">
        <v>5656</v>
      </c>
      <c r="D3167" s="2">
        <v>403.0</v>
      </c>
      <c r="E3167" s="2">
        <v>1.0</v>
      </c>
      <c r="F3167" s="2">
        <v>200.0</v>
      </c>
      <c r="G3167" s="2">
        <v>114400.0</v>
      </c>
    </row>
    <row r="3168" ht="14.25" customHeight="1">
      <c r="A3168" s="2">
        <v>3167.0</v>
      </c>
      <c r="B3168" s="2" t="s">
        <v>2475</v>
      </c>
      <c r="C3168" s="2" t="s">
        <v>5657</v>
      </c>
      <c r="D3168" s="2">
        <v>143.0</v>
      </c>
      <c r="E3168" s="2">
        <v>1.0</v>
      </c>
      <c r="F3168" s="2">
        <v>60.0</v>
      </c>
      <c r="G3168" s="2">
        <v>114300.0</v>
      </c>
    </row>
    <row r="3169" ht="14.25" customHeight="1">
      <c r="A3169" s="2">
        <v>3168.0</v>
      </c>
      <c r="B3169" s="2" t="s">
        <v>2561</v>
      </c>
      <c r="C3169" s="2" t="s">
        <v>5658</v>
      </c>
      <c r="D3169" s="2">
        <v>162.0</v>
      </c>
      <c r="E3169" s="2">
        <v>1.0</v>
      </c>
      <c r="F3169" s="2">
        <v>50.0</v>
      </c>
      <c r="G3169" s="2">
        <v>114300.0</v>
      </c>
    </row>
    <row r="3170" ht="14.25" customHeight="1">
      <c r="A3170" s="2">
        <v>3169.0</v>
      </c>
      <c r="B3170" s="2" t="s">
        <v>2744</v>
      </c>
      <c r="C3170" s="2" t="s">
        <v>5659</v>
      </c>
      <c r="D3170" s="2">
        <v>169.0</v>
      </c>
      <c r="E3170" s="2">
        <v>1.0</v>
      </c>
      <c r="F3170" s="2">
        <v>90.0</v>
      </c>
      <c r="G3170" s="2">
        <v>114300.0</v>
      </c>
    </row>
    <row r="3171" ht="14.25" customHeight="1">
      <c r="A3171" s="2">
        <v>3170.0</v>
      </c>
      <c r="B3171" s="2" t="s">
        <v>2553</v>
      </c>
      <c r="C3171" s="2" t="s">
        <v>5660</v>
      </c>
      <c r="D3171" s="2">
        <v>187.0</v>
      </c>
      <c r="E3171" s="2">
        <v>1.0</v>
      </c>
      <c r="F3171" s="2">
        <v>80.0</v>
      </c>
      <c r="G3171" s="2">
        <v>114300.0</v>
      </c>
    </row>
    <row r="3172" ht="14.25" customHeight="1">
      <c r="A3172" s="2">
        <v>3171.0</v>
      </c>
      <c r="B3172" s="2" t="s">
        <v>2505</v>
      </c>
      <c r="C3172" s="2" t="s">
        <v>5661</v>
      </c>
      <c r="D3172" s="2">
        <v>429.0</v>
      </c>
      <c r="E3172" s="2">
        <v>1.0</v>
      </c>
      <c r="F3172" s="2">
        <v>50.0</v>
      </c>
      <c r="G3172" s="2">
        <v>114300.0</v>
      </c>
    </row>
    <row r="3173" ht="14.25" customHeight="1">
      <c r="A3173" s="2">
        <v>3172.0</v>
      </c>
      <c r="B3173" s="2" t="s">
        <v>2553</v>
      </c>
      <c r="C3173" s="2" t="s">
        <v>5662</v>
      </c>
      <c r="D3173" s="2">
        <v>187.0</v>
      </c>
      <c r="E3173" s="2">
        <v>1.0</v>
      </c>
      <c r="F3173" s="2">
        <v>100.0</v>
      </c>
      <c r="G3173" s="2">
        <v>114200.0</v>
      </c>
    </row>
    <row r="3174" ht="14.25" customHeight="1">
      <c r="A3174" s="2">
        <v>3173.0</v>
      </c>
      <c r="B3174" s="2" t="s">
        <v>2524</v>
      </c>
      <c r="C3174" s="2" t="s">
        <v>5663</v>
      </c>
      <c r="D3174" s="2">
        <v>331.0</v>
      </c>
      <c r="E3174" s="2">
        <v>1.0</v>
      </c>
      <c r="F3174" s="2">
        <v>70.0</v>
      </c>
      <c r="G3174" s="2">
        <v>114200.0</v>
      </c>
    </row>
    <row r="3175" ht="14.25" customHeight="1">
      <c r="A3175" s="2">
        <v>3174.0</v>
      </c>
      <c r="B3175" s="2" t="s">
        <v>2503</v>
      </c>
      <c r="C3175" s="2" t="s">
        <v>5664</v>
      </c>
      <c r="D3175" s="2">
        <v>105.0</v>
      </c>
      <c r="E3175" s="2">
        <v>1.0</v>
      </c>
      <c r="F3175" s="2">
        <v>80.0</v>
      </c>
      <c r="G3175" s="2">
        <v>114100.0</v>
      </c>
    </row>
    <row r="3176" ht="14.25" customHeight="1">
      <c r="A3176" s="2">
        <v>3175.0</v>
      </c>
      <c r="B3176" s="2" t="s">
        <v>2636</v>
      </c>
      <c r="C3176" s="2" t="s">
        <v>5665</v>
      </c>
      <c r="D3176" s="2">
        <v>145.0</v>
      </c>
      <c r="E3176" s="2">
        <v>1.0</v>
      </c>
      <c r="F3176" s="2">
        <v>100.0</v>
      </c>
      <c r="G3176" s="2">
        <v>114100.0</v>
      </c>
    </row>
    <row r="3177" ht="14.25" customHeight="1">
      <c r="A3177" s="2">
        <v>3176.0</v>
      </c>
      <c r="B3177" s="2" t="s">
        <v>2512</v>
      </c>
      <c r="C3177" s="2" t="s">
        <v>5666</v>
      </c>
      <c r="D3177" s="2">
        <v>153.0</v>
      </c>
      <c r="E3177" s="2">
        <v>1.0</v>
      </c>
      <c r="F3177" s="2">
        <v>55.0</v>
      </c>
      <c r="G3177" s="2">
        <v>114100.0</v>
      </c>
    </row>
    <row r="3178" ht="14.25" customHeight="1">
      <c r="A3178" s="2">
        <v>3177.0</v>
      </c>
      <c r="B3178" s="2" t="s">
        <v>2541</v>
      </c>
      <c r="C3178" s="2" t="s">
        <v>5667</v>
      </c>
      <c r="D3178" s="2">
        <v>195.0</v>
      </c>
      <c r="E3178" s="2">
        <v>1.0</v>
      </c>
      <c r="F3178" s="2">
        <v>50.0</v>
      </c>
      <c r="G3178" s="2">
        <v>114100.0</v>
      </c>
    </row>
    <row r="3179" ht="14.25" customHeight="1">
      <c r="A3179" s="2">
        <v>3178.0</v>
      </c>
      <c r="B3179" s="2" t="s">
        <v>2505</v>
      </c>
      <c r="C3179" s="2" t="s">
        <v>5668</v>
      </c>
      <c r="D3179" s="2">
        <v>429.0</v>
      </c>
      <c r="E3179" s="2">
        <v>1.0</v>
      </c>
      <c r="F3179" s="2">
        <v>70.0</v>
      </c>
      <c r="G3179" s="2">
        <v>114100.0</v>
      </c>
    </row>
    <row r="3180" ht="14.25" customHeight="1">
      <c r="A3180" s="2">
        <v>3179.0</v>
      </c>
      <c r="B3180" s="2" t="s">
        <v>2497</v>
      </c>
      <c r="C3180" s="2" t="s">
        <v>5669</v>
      </c>
      <c r="D3180" s="2">
        <v>151.0</v>
      </c>
      <c r="E3180" s="2">
        <v>1.0</v>
      </c>
      <c r="F3180" s="2">
        <v>60.0</v>
      </c>
      <c r="G3180" s="2">
        <v>114000.0</v>
      </c>
    </row>
    <row r="3181" ht="14.25" customHeight="1">
      <c r="A3181" s="2">
        <v>3180.0</v>
      </c>
      <c r="B3181" s="2" t="s">
        <v>2479</v>
      </c>
      <c r="C3181" s="2" t="s">
        <v>5670</v>
      </c>
      <c r="D3181" s="2">
        <v>182.0</v>
      </c>
      <c r="E3181" s="2">
        <v>1.0</v>
      </c>
      <c r="F3181" s="2">
        <v>100.0</v>
      </c>
      <c r="G3181" s="2">
        <v>114000.0</v>
      </c>
    </row>
    <row r="3182" ht="14.25" customHeight="1">
      <c r="A3182" s="2">
        <v>3181.0</v>
      </c>
      <c r="B3182" s="2" t="s">
        <v>2479</v>
      </c>
      <c r="C3182" s="2" t="s">
        <v>5671</v>
      </c>
      <c r="D3182" s="2">
        <v>182.0</v>
      </c>
      <c r="E3182" s="2">
        <v>1.0</v>
      </c>
      <c r="F3182" s="2">
        <v>50.0</v>
      </c>
      <c r="G3182" s="2">
        <v>114000.0</v>
      </c>
    </row>
    <row r="3183" ht="14.25" customHeight="1">
      <c r="A3183" s="2">
        <v>3182.0</v>
      </c>
      <c r="B3183" s="2" t="s">
        <v>2507</v>
      </c>
      <c r="C3183" s="2" t="s">
        <v>5672</v>
      </c>
      <c r="D3183" s="2">
        <v>205.0</v>
      </c>
      <c r="E3183" s="2">
        <v>1.0</v>
      </c>
      <c r="F3183" s="2">
        <v>100.0</v>
      </c>
      <c r="G3183" s="2">
        <v>114000.0</v>
      </c>
    </row>
    <row r="3184" ht="14.25" customHeight="1">
      <c r="A3184" s="2">
        <v>3183.0</v>
      </c>
      <c r="B3184" s="2" t="s">
        <v>2651</v>
      </c>
      <c r="C3184" s="2" t="s">
        <v>5673</v>
      </c>
      <c r="D3184" s="2">
        <v>347.0</v>
      </c>
      <c r="E3184" s="2">
        <v>1.0</v>
      </c>
      <c r="F3184" s="2">
        <v>60.0</v>
      </c>
      <c r="G3184" s="2">
        <v>114000.0</v>
      </c>
    </row>
    <row r="3185" ht="14.25" customHeight="1">
      <c r="A3185" s="2">
        <v>3184.0</v>
      </c>
      <c r="B3185" s="2" t="s">
        <v>2549</v>
      </c>
      <c r="C3185" s="2" t="s">
        <v>5674</v>
      </c>
      <c r="D3185" s="2">
        <v>115.0</v>
      </c>
      <c r="E3185" s="2">
        <v>1.0</v>
      </c>
      <c r="F3185" s="2">
        <v>100.0</v>
      </c>
      <c r="G3185" s="2">
        <v>113900.0</v>
      </c>
    </row>
    <row r="3186" ht="14.25" customHeight="1">
      <c r="A3186" s="2">
        <v>3185.0</v>
      </c>
      <c r="B3186" s="2" t="s">
        <v>2686</v>
      </c>
      <c r="C3186" s="2" t="s">
        <v>5675</v>
      </c>
      <c r="D3186" s="2">
        <v>127.0</v>
      </c>
      <c r="E3186" s="2">
        <v>1.0</v>
      </c>
      <c r="F3186" s="2">
        <v>120.0</v>
      </c>
      <c r="G3186" s="2">
        <v>113800.0</v>
      </c>
    </row>
    <row r="3187" ht="14.25" customHeight="1">
      <c r="A3187" s="2">
        <v>3186.0</v>
      </c>
      <c r="B3187" s="2" t="s">
        <v>2477</v>
      </c>
      <c r="C3187" s="2" t="s">
        <v>5676</v>
      </c>
      <c r="D3187" s="2">
        <v>152.0</v>
      </c>
      <c r="E3187" s="2">
        <v>1.0</v>
      </c>
      <c r="F3187" s="2">
        <v>70.0</v>
      </c>
      <c r="G3187" s="2">
        <v>113800.0</v>
      </c>
    </row>
    <row r="3188" ht="14.25" customHeight="1">
      <c r="A3188" s="2">
        <v>3187.0</v>
      </c>
      <c r="B3188" s="2" t="s">
        <v>2744</v>
      </c>
      <c r="C3188" s="2" t="s">
        <v>5677</v>
      </c>
      <c r="D3188" s="2">
        <v>169.0</v>
      </c>
      <c r="E3188" s="2">
        <v>1.0</v>
      </c>
      <c r="F3188" s="2">
        <v>100.0</v>
      </c>
      <c r="G3188" s="2">
        <v>113800.0</v>
      </c>
    </row>
    <row r="3189" ht="14.25" customHeight="1">
      <c r="A3189" s="2">
        <v>3188.0</v>
      </c>
      <c r="B3189" s="2" t="s">
        <v>2479</v>
      </c>
      <c r="C3189" s="2" t="s">
        <v>5678</v>
      </c>
      <c r="D3189" s="2">
        <v>182.0</v>
      </c>
      <c r="E3189" s="2">
        <v>1.0</v>
      </c>
      <c r="F3189" s="2">
        <v>50.0</v>
      </c>
      <c r="G3189" s="2">
        <v>113800.0</v>
      </c>
    </row>
    <row r="3190" ht="14.25" customHeight="1">
      <c r="A3190" s="2">
        <v>3189.0</v>
      </c>
      <c r="B3190" s="2" t="s">
        <v>2505</v>
      </c>
      <c r="C3190" s="2" t="s">
        <v>5679</v>
      </c>
      <c r="D3190" s="2">
        <v>429.0</v>
      </c>
      <c r="E3190" s="2">
        <v>1.0</v>
      </c>
      <c r="F3190" s="2">
        <v>70.0</v>
      </c>
      <c r="G3190" s="2">
        <v>113800.0</v>
      </c>
    </row>
    <row r="3191" ht="14.25" customHeight="1">
      <c r="A3191" s="2">
        <v>3190.0</v>
      </c>
      <c r="B3191" s="2" t="s">
        <v>2503</v>
      </c>
      <c r="C3191" s="2" t="s">
        <v>5680</v>
      </c>
      <c r="D3191" s="2">
        <v>105.0</v>
      </c>
      <c r="E3191" s="2">
        <v>1.0</v>
      </c>
      <c r="F3191" s="2">
        <v>100.0</v>
      </c>
      <c r="G3191" s="2">
        <v>113700.0</v>
      </c>
    </row>
    <row r="3192" ht="14.25" customHeight="1">
      <c r="A3192" s="2">
        <v>3191.0</v>
      </c>
      <c r="B3192" s="2" t="s">
        <v>2636</v>
      </c>
      <c r="C3192" s="2" t="s">
        <v>5681</v>
      </c>
      <c r="D3192" s="2">
        <v>145.0</v>
      </c>
      <c r="E3192" s="2">
        <v>1.0</v>
      </c>
      <c r="F3192" s="2">
        <v>75.0</v>
      </c>
      <c r="G3192" s="2">
        <v>113700.0</v>
      </c>
    </row>
    <row r="3193" ht="14.25" customHeight="1">
      <c r="A3193" s="2">
        <v>3192.0</v>
      </c>
      <c r="B3193" s="2" t="s">
        <v>2636</v>
      </c>
      <c r="C3193" s="2" t="s">
        <v>5682</v>
      </c>
      <c r="D3193" s="2">
        <v>145.0</v>
      </c>
      <c r="E3193" s="2">
        <v>1.0</v>
      </c>
      <c r="F3193" s="2">
        <v>75.0</v>
      </c>
      <c r="G3193" s="2">
        <v>113700.0</v>
      </c>
    </row>
    <row r="3194" ht="14.25" customHeight="1">
      <c r="A3194" s="2">
        <v>3193.0</v>
      </c>
      <c r="B3194" s="2" t="s">
        <v>2479</v>
      </c>
      <c r="C3194" s="2" t="s">
        <v>5683</v>
      </c>
      <c r="D3194" s="2">
        <v>182.0</v>
      </c>
      <c r="E3194" s="2">
        <v>1.0</v>
      </c>
      <c r="F3194" s="2">
        <v>50.0</v>
      </c>
      <c r="G3194" s="2">
        <v>113600.0</v>
      </c>
    </row>
    <row r="3195" ht="14.25" customHeight="1">
      <c r="A3195" s="2">
        <v>3194.0</v>
      </c>
      <c r="B3195" s="2" t="s">
        <v>2524</v>
      </c>
      <c r="C3195" s="2" t="s">
        <v>5684</v>
      </c>
      <c r="D3195" s="2">
        <v>331.0</v>
      </c>
      <c r="E3195" s="2">
        <v>1.0</v>
      </c>
      <c r="F3195" s="2">
        <v>50.0</v>
      </c>
      <c r="G3195" s="2">
        <v>113600.0</v>
      </c>
    </row>
    <row r="3196" ht="14.25" customHeight="1">
      <c r="A3196" s="2">
        <v>3195.0</v>
      </c>
      <c r="B3196" s="2" t="s">
        <v>2621</v>
      </c>
      <c r="C3196" s="2" t="s">
        <v>5685</v>
      </c>
      <c r="D3196" s="2">
        <v>403.0</v>
      </c>
      <c r="E3196" s="2">
        <v>1.0</v>
      </c>
      <c r="F3196" s="2">
        <v>52.0</v>
      </c>
      <c r="G3196" s="2">
        <v>113600.0</v>
      </c>
    </row>
    <row r="3197" ht="14.25" customHeight="1">
      <c r="A3197" s="2">
        <v>3196.0</v>
      </c>
      <c r="B3197" s="2" t="s">
        <v>2549</v>
      </c>
      <c r="C3197" s="2" t="s">
        <v>5686</v>
      </c>
      <c r="D3197" s="2">
        <v>115.0</v>
      </c>
      <c r="E3197" s="2">
        <v>1.0</v>
      </c>
      <c r="F3197" s="2">
        <v>50.0</v>
      </c>
      <c r="G3197" s="2">
        <v>113500.0</v>
      </c>
    </row>
    <row r="3198" ht="14.25" customHeight="1">
      <c r="A3198" s="2">
        <v>3197.0</v>
      </c>
      <c r="B3198" s="2" t="s">
        <v>2686</v>
      </c>
      <c r="C3198" s="2" t="s">
        <v>5687</v>
      </c>
      <c r="D3198" s="2">
        <v>127.0</v>
      </c>
      <c r="E3198" s="2">
        <v>1.0</v>
      </c>
      <c r="F3198" s="2">
        <v>66.0</v>
      </c>
      <c r="G3198" s="2">
        <v>113500.0</v>
      </c>
    </row>
    <row r="3199" ht="14.25" customHeight="1">
      <c r="A3199" s="2">
        <v>3198.0</v>
      </c>
      <c r="B3199" s="2" t="s">
        <v>2475</v>
      </c>
      <c r="C3199" s="2" t="s">
        <v>5688</v>
      </c>
      <c r="D3199" s="2">
        <v>143.0</v>
      </c>
      <c r="E3199" s="2">
        <v>1.0</v>
      </c>
      <c r="F3199" s="2">
        <v>50.0</v>
      </c>
      <c r="G3199" s="2">
        <v>113500.0</v>
      </c>
    </row>
    <row r="3200" ht="14.25" customHeight="1">
      <c r="A3200" s="2">
        <v>3199.0</v>
      </c>
      <c r="B3200" s="2" t="s">
        <v>2571</v>
      </c>
      <c r="C3200" s="2" t="s">
        <v>5689</v>
      </c>
      <c r="D3200" s="2">
        <v>185.0</v>
      </c>
      <c r="E3200" s="2">
        <v>1.0</v>
      </c>
      <c r="F3200" s="2">
        <v>100.0</v>
      </c>
      <c r="G3200" s="2">
        <v>113500.0</v>
      </c>
    </row>
    <row r="3201" ht="14.25" customHeight="1">
      <c r="A3201" s="2">
        <v>3200.0</v>
      </c>
      <c r="B3201" s="2" t="s">
        <v>2488</v>
      </c>
      <c r="C3201" s="2" t="s">
        <v>3046</v>
      </c>
      <c r="D3201" s="2">
        <v>333.0</v>
      </c>
      <c r="E3201" s="2">
        <v>1.0</v>
      </c>
      <c r="F3201" s="2">
        <v>50.0</v>
      </c>
      <c r="G3201" s="2">
        <v>113500.0</v>
      </c>
    </row>
    <row r="3202" ht="14.25" customHeight="1">
      <c r="A3202" s="2">
        <v>3201.0</v>
      </c>
      <c r="B3202" s="2" t="s">
        <v>2621</v>
      </c>
      <c r="C3202" s="2" t="s">
        <v>5690</v>
      </c>
      <c r="D3202" s="2">
        <v>403.0</v>
      </c>
      <c r="E3202" s="2">
        <v>1.0</v>
      </c>
      <c r="F3202" s="2">
        <v>120.0</v>
      </c>
      <c r="G3202" s="2">
        <v>113500.0</v>
      </c>
    </row>
    <row r="3203" ht="14.25" customHeight="1">
      <c r="A3203" s="2">
        <v>3202.0</v>
      </c>
      <c r="B3203" s="2" t="s">
        <v>2561</v>
      </c>
      <c r="C3203" s="2" t="s">
        <v>5691</v>
      </c>
      <c r="D3203" s="2">
        <v>162.0</v>
      </c>
      <c r="E3203" s="2">
        <v>1.0</v>
      </c>
      <c r="F3203" s="2">
        <v>100.0</v>
      </c>
      <c r="G3203" s="2">
        <v>113400.0</v>
      </c>
    </row>
    <row r="3204" ht="14.25" customHeight="1">
      <c r="A3204" s="2">
        <v>3203.0</v>
      </c>
      <c r="B3204" s="2" t="s">
        <v>2582</v>
      </c>
      <c r="C3204" s="2" t="s">
        <v>5692</v>
      </c>
      <c r="D3204" s="2">
        <v>183.0</v>
      </c>
      <c r="E3204" s="2">
        <v>1.0</v>
      </c>
      <c r="F3204" s="2">
        <v>150.0</v>
      </c>
      <c r="G3204" s="2">
        <v>113400.0</v>
      </c>
    </row>
    <row r="3205" ht="14.25" customHeight="1">
      <c r="A3205" s="2">
        <v>3204.0</v>
      </c>
      <c r="B3205" s="2" t="s">
        <v>2571</v>
      </c>
      <c r="C3205" s="2" t="s">
        <v>5693</v>
      </c>
      <c r="D3205" s="2">
        <v>185.0</v>
      </c>
      <c r="E3205" s="2">
        <v>1.0</v>
      </c>
      <c r="F3205" s="2">
        <v>70.0</v>
      </c>
      <c r="G3205" s="2">
        <v>113400.0</v>
      </c>
    </row>
    <row r="3206" ht="14.25" customHeight="1">
      <c r="A3206" s="2">
        <v>3205.0</v>
      </c>
      <c r="B3206" s="2" t="s">
        <v>2488</v>
      </c>
      <c r="C3206" s="2" t="s">
        <v>5694</v>
      </c>
      <c r="D3206" s="2">
        <v>333.0</v>
      </c>
      <c r="E3206" s="2">
        <v>1.0</v>
      </c>
      <c r="F3206" s="2">
        <v>50.0</v>
      </c>
      <c r="G3206" s="2">
        <v>113400.0</v>
      </c>
    </row>
    <row r="3207" ht="14.25" customHeight="1">
      <c r="A3207" s="2">
        <v>3206.0</v>
      </c>
      <c r="B3207" s="2" t="s">
        <v>2571</v>
      </c>
      <c r="C3207" s="2" t="s">
        <v>5695</v>
      </c>
      <c r="D3207" s="2">
        <v>185.0</v>
      </c>
      <c r="E3207" s="2">
        <v>1.0</v>
      </c>
      <c r="F3207" s="2">
        <v>100.0</v>
      </c>
      <c r="G3207" s="2">
        <v>113300.0</v>
      </c>
    </row>
    <row r="3208" ht="14.25" customHeight="1">
      <c r="A3208" s="2">
        <v>3207.0</v>
      </c>
      <c r="B3208" s="2" t="s">
        <v>2576</v>
      </c>
      <c r="C3208" s="2" t="s">
        <v>5696</v>
      </c>
      <c r="D3208" s="2">
        <v>197.0</v>
      </c>
      <c r="E3208" s="2">
        <v>1.0</v>
      </c>
      <c r="F3208" s="2">
        <v>100.0</v>
      </c>
      <c r="G3208" s="2">
        <v>113300.0</v>
      </c>
    </row>
    <row r="3209" ht="14.25" customHeight="1">
      <c r="A3209" s="2">
        <v>3208.0</v>
      </c>
      <c r="B3209" s="2" t="s">
        <v>2497</v>
      </c>
      <c r="C3209" s="2" t="s">
        <v>5697</v>
      </c>
      <c r="D3209" s="2">
        <v>151.0</v>
      </c>
      <c r="E3209" s="2">
        <v>1.0</v>
      </c>
      <c r="F3209" s="2">
        <v>65.0</v>
      </c>
      <c r="G3209" s="2">
        <v>113200.0</v>
      </c>
    </row>
    <row r="3210" ht="14.25" customHeight="1">
      <c r="A3210" s="2">
        <v>3209.0</v>
      </c>
      <c r="B3210" s="2" t="s">
        <v>2518</v>
      </c>
      <c r="C3210" s="2" t="s">
        <v>5698</v>
      </c>
      <c r="D3210" s="2">
        <v>161.0</v>
      </c>
      <c r="E3210" s="2">
        <v>1.0</v>
      </c>
      <c r="F3210" s="2">
        <v>50.0</v>
      </c>
      <c r="G3210" s="2">
        <v>113200.0</v>
      </c>
    </row>
    <row r="3211" ht="14.25" customHeight="1">
      <c r="A3211" s="2">
        <v>3210.0</v>
      </c>
      <c r="B3211" s="2" t="s">
        <v>2479</v>
      </c>
      <c r="C3211" s="2" t="s">
        <v>5699</v>
      </c>
      <c r="D3211" s="2">
        <v>182.0</v>
      </c>
      <c r="E3211" s="2">
        <v>1.0</v>
      </c>
      <c r="F3211" s="2">
        <v>50.0</v>
      </c>
      <c r="G3211" s="2">
        <v>113200.0</v>
      </c>
    </row>
    <row r="3212" ht="14.25" customHeight="1">
      <c r="A3212" s="2">
        <v>3211.0</v>
      </c>
      <c r="B3212" s="2" t="s">
        <v>2507</v>
      </c>
      <c r="C3212" s="2" t="s">
        <v>5700</v>
      </c>
      <c r="D3212" s="2">
        <v>205.0</v>
      </c>
      <c r="E3212" s="2">
        <v>1.0</v>
      </c>
      <c r="F3212" s="2">
        <v>100.0</v>
      </c>
      <c r="G3212" s="2">
        <v>113200.0</v>
      </c>
    </row>
    <row r="3213" ht="14.25" customHeight="1">
      <c r="A3213" s="2">
        <v>3212.0</v>
      </c>
      <c r="B3213" s="2" t="s">
        <v>2507</v>
      </c>
      <c r="C3213" s="2" t="s">
        <v>5701</v>
      </c>
      <c r="D3213" s="2">
        <v>205.0</v>
      </c>
      <c r="E3213" s="2">
        <v>1.0</v>
      </c>
      <c r="F3213" s="2">
        <v>100.0</v>
      </c>
      <c r="G3213" s="2">
        <v>113200.0</v>
      </c>
    </row>
    <row r="3214" ht="14.25" customHeight="1">
      <c r="A3214" s="2">
        <v>3213.0</v>
      </c>
      <c r="B3214" s="2" t="s">
        <v>2636</v>
      </c>
      <c r="C3214" s="2" t="s">
        <v>5702</v>
      </c>
      <c r="D3214" s="2">
        <v>145.0</v>
      </c>
      <c r="E3214" s="2">
        <v>1.0</v>
      </c>
      <c r="F3214" s="2">
        <v>100.0</v>
      </c>
      <c r="G3214" s="2">
        <v>113100.0</v>
      </c>
    </row>
    <row r="3215" ht="14.25" customHeight="1">
      <c r="A3215" s="2">
        <v>3214.0</v>
      </c>
      <c r="B3215" s="2" t="s">
        <v>2636</v>
      </c>
      <c r="C3215" s="2" t="s">
        <v>5703</v>
      </c>
      <c r="D3215" s="2">
        <v>145.0</v>
      </c>
      <c r="E3215" s="2">
        <v>1.0</v>
      </c>
      <c r="F3215" s="2">
        <v>75.0</v>
      </c>
      <c r="G3215" s="2">
        <v>113100.0</v>
      </c>
    </row>
    <row r="3216" ht="14.25" customHeight="1">
      <c r="A3216" s="2">
        <v>3215.0</v>
      </c>
      <c r="B3216" s="2" t="s">
        <v>2518</v>
      </c>
      <c r="C3216" s="2" t="s">
        <v>5704</v>
      </c>
      <c r="D3216" s="2">
        <v>161.0</v>
      </c>
      <c r="E3216" s="2">
        <v>1.0</v>
      </c>
      <c r="F3216" s="2">
        <v>150.0</v>
      </c>
      <c r="G3216" s="2">
        <v>113100.0</v>
      </c>
    </row>
    <row r="3217" ht="14.25" customHeight="1">
      <c r="A3217" s="2">
        <v>3216.0</v>
      </c>
      <c r="B3217" s="2" t="s">
        <v>2576</v>
      </c>
      <c r="C3217" s="2" t="s">
        <v>5705</v>
      </c>
      <c r="D3217" s="2">
        <v>197.0</v>
      </c>
      <c r="E3217" s="2">
        <v>1.0</v>
      </c>
      <c r="F3217" s="2">
        <v>145.0</v>
      </c>
      <c r="G3217" s="2">
        <v>113100.0</v>
      </c>
    </row>
    <row r="3218" ht="14.25" customHeight="1">
      <c r="A3218" s="2">
        <v>3217.0</v>
      </c>
      <c r="B3218" s="2" t="s">
        <v>2621</v>
      </c>
      <c r="C3218" s="2" t="s">
        <v>5706</v>
      </c>
      <c r="D3218" s="2">
        <v>403.0</v>
      </c>
      <c r="E3218" s="2">
        <v>1.0</v>
      </c>
      <c r="F3218" s="2">
        <v>132.0</v>
      </c>
      <c r="G3218" s="2">
        <v>113100.0</v>
      </c>
    </row>
    <row r="3219" ht="14.25" customHeight="1">
      <c r="A3219" s="2">
        <v>3218.0</v>
      </c>
      <c r="B3219" s="2" t="s">
        <v>2503</v>
      </c>
      <c r="C3219" s="2" t="s">
        <v>5707</v>
      </c>
      <c r="D3219" s="2">
        <v>105.0</v>
      </c>
      <c r="E3219" s="2">
        <v>1.0</v>
      </c>
      <c r="F3219" s="2">
        <v>200.0</v>
      </c>
      <c r="G3219" s="2">
        <v>113000.0</v>
      </c>
    </row>
    <row r="3220" ht="14.25" customHeight="1">
      <c r="A3220" s="2">
        <v>3219.0</v>
      </c>
      <c r="B3220" s="2" t="s">
        <v>2594</v>
      </c>
      <c r="C3220" s="2" t="s">
        <v>5708</v>
      </c>
      <c r="D3220" s="2">
        <v>184.0</v>
      </c>
      <c r="E3220" s="2">
        <v>1.0</v>
      </c>
      <c r="F3220" s="2">
        <v>75.0</v>
      </c>
      <c r="G3220" s="2">
        <v>113000.0</v>
      </c>
    </row>
    <row r="3221" ht="14.25" customHeight="1">
      <c r="A3221" s="2">
        <v>3220.0</v>
      </c>
      <c r="B3221" s="2" t="s">
        <v>2571</v>
      </c>
      <c r="C3221" s="2" t="s">
        <v>5709</v>
      </c>
      <c r="D3221" s="2">
        <v>185.0</v>
      </c>
      <c r="E3221" s="2">
        <v>1.0</v>
      </c>
      <c r="F3221" s="2">
        <v>50.0</v>
      </c>
      <c r="G3221" s="2">
        <v>113000.0</v>
      </c>
    </row>
    <row r="3222" ht="14.25" customHeight="1">
      <c r="A3222" s="2">
        <v>3221.0</v>
      </c>
      <c r="B3222" s="2" t="s">
        <v>2553</v>
      </c>
      <c r="C3222" s="2" t="s">
        <v>5710</v>
      </c>
      <c r="D3222" s="2">
        <v>187.0</v>
      </c>
      <c r="E3222" s="2">
        <v>1.0</v>
      </c>
      <c r="F3222" s="2">
        <v>100.0</v>
      </c>
      <c r="G3222" s="2">
        <v>113000.0</v>
      </c>
    </row>
    <row r="3223" ht="14.25" customHeight="1">
      <c r="A3223" s="2">
        <v>3222.0</v>
      </c>
      <c r="B3223" s="2" t="s">
        <v>2576</v>
      </c>
      <c r="C3223" s="2" t="s">
        <v>5711</v>
      </c>
      <c r="D3223" s="2">
        <v>197.0</v>
      </c>
      <c r="E3223" s="2">
        <v>1.0</v>
      </c>
      <c r="F3223" s="2">
        <v>80.0</v>
      </c>
      <c r="G3223" s="2">
        <v>113000.0</v>
      </c>
    </row>
    <row r="3224" ht="14.25" customHeight="1">
      <c r="A3224" s="2">
        <v>3223.0</v>
      </c>
      <c r="B3224" s="2" t="s">
        <v>2503</v>
      </c>
      <c r="C3224" s="2" t="s">
        <v>5712</v>
      </c>
      <c r="D3224" s="2">
        <v>105.0</v>
      </c>
      <c r="E3224" s="2">
        <v>1.0</v>
      </c>
      <c r="F3224" s="2">
        <v>118.0</v>
      </c>
      <c r="G3224" s="2">
        <v>112900.0</v>
      </c>
    </row>
    <row r="3225" ht="14.25" customHeight="1">
      <c r="A3225" s="2">
        <v>3224.0</v>
      </c>
      <c r="B3225" s="2" t="s">
        <v>2479</v>
      </c>
      <c r="C3225" s="2" t="s">
        <v>5713</v>
      </c>
      <c r="D3225" s="2">
        <v>182.0</v>
      </c>
      <c r="E3225" s="2">
        <v>1.0</v>
      </c>
      <c r="F3225" s="2">
        <v>50.0</v>
      </c>
      <c r="G3225" s="2">
        <v>112900.0</v>
      </c>
    </row>
    <row r="3226" ht="14.25" customHeight="1">
      <c r="A3226" s="2">
        <v>3225.0</v>
      </c>
      <c r="B3226" s="2" t="s">
        <v>2582</v>
      </c>
      <c r="C3226" s="2" t="s">
        <v>5714</v>
      </c>
      <c r="D3226" s="2">
        <v>183.0</v>
      </c>
      <c r="E3226" s="2">
        <v>1.0</v>
      </c>
      <c r="F3226" s="2">
        <v>75.0</v>
      </c>
      <c r="G3226" s="2">
        <v>112800.0</v>
      </c>
    </row>
    <row r="3227" ht="14.25" customHeight="1">
      <c r="A3227" s="2">
        <v>3226.0</v>
      </c>
      <c r="B3227" s="2" t="s">
        <v>2501</v>
      </c>
      <c r="C3227" s="2" t="s">
        <v>5715</v>
      </c>
      <c r="D3227" s="2">
        <v>199.0</v>
      </c>
      <c r="E3227" s="2">
        <v>1.0</v>
      </c>
      <c r="F3227" s="2">
        <v>66.0</v>
      </c>
      <c r="G3227" s="2">
        <v>112800.0</v>
      </c>
    </row>
    <row r="3228" ht="14.25" customHeight="1">
      <c r="A3228" s="2">
        <v>3227.0</v>
      </c>
      <c r="B3228" s="2" t="s">
        <v>2479</v>
      </c>
      <c r="C3228" s="2" t="s">
        <v>5716</v>
      </c>
      <c r="D3228" s="2">
        <v>182.0</v>
      </c>
      <c r="E3228" s="2">
        <v>1.0</v>
      </c>
      <c r="F3228" s="2">
        <v>200.0</v>
      </c>
      <c r="G3228" s="2">
        <v>112700.0</v>
      </c>
    </row>
    <row r="3229" ht="14.25" customHeight="1">
      <c r="A3229" s="2">
        <v>3228.0</v>
      </c>
      <c r="B3229" s="2" t="s">
        <v>2582</v>
      </c>
      <c r="C3229" s="2" t="s">
        <v>5717</v>
      </c>
      <c r="D3229" s="2">
        <v>183.0</v>
      </c>
      <c r="E3229" s="2">
        <v>1.0</v>
      </c>
      <c r="F3229" s="2">
        <v>125.0</v>
      </c>
      <c r="G3229" s="2">
        <v>112700.0</v>
      </c>
    </row>
    <row r="3230" ht="14.25" customHeight="1">
      <c r="A3230" s="2">
        <v>3229.0</v>
      </c>
      <c r="B3230" s="2" t="s">
        <v>2604</v>
      </c>
      <c r="C3230" s="2" t="s">
        <v>5718</v>
      </c>
      <c r="D3230" s="2">
        <v>200.0</v>
      </c>
      <c r="E3230" s="2">
        <v>1.0</v>
      </c>
      <c r="F3230" s="2">
        <v>70.0</v>
      </c>
      <c r="G3230" s="2">
        <v>112700.0</v>
      </c>
    </row>
    <row r="3231" ht="14.25" customHeight="1">
      <c r="A3231" s="2">
        <v>3230.0</v>
      </c>
      <c r="B3231" s="2" t="s">
        <v>2512</v>
      </c>
      <c r="C3231" s="2" t="s">
        <v>5719</v>
      </c>
      <c r="D3231" s="2">
        <v>153.0</v>
      </c>
      <c r="E3231" s="2">
        <v>1.0</v>
      </c>
      <c r="F3231" s="2">
        <v>75.0</v>
      </c>
      <c r="G3231" s="2">
        <v>112600.0</v>
      </c>
    </row>
    <row r="3232" ht="14.25" customHeight="1">
      <c r="A3232" s="2">
        <v>3231.0</v>
      </c>
      <c r="B3232" s="2" t="s">
        <v>2651</v>
      </c>
      <c r="C3232" s="2" t="s">
        <v>5720</v>
      </c>
      <c r="D3232" s="2">
        <v>347.0</v>
      </c>
      <c r="E3232" s="2">
        <v>1.0</v>
      </c>
      <c r="F3232" s="2">
        <v>55.0</v>
      </c>
      <c r="G3232" s="2">
        <v>112600.0</v>
      </c>
    </row>
    <row r="3233" ht="14.25" customHeight="1">
      <c r="A3233" s="2">
        <v>3232.0</v>
      </c>
      <c r="B3233" s="2" t="s">
        <v>2621</v>
      </c>
      <c r="C3233" s="2" t="s">
        <v>5721</v>
      </c>
      <c r="D3233" s="2">
        <v>403.0</v>
      </c>
      <c r="E3233" s="2">
        <v>1.0</v>
      </c>
      <c r="F3233" s="2">
        <v>132.0</v>
      </c>
      <c r="G3233" s="2">
        <v>112600.0</v>
      </c>
    </row>
    <row r="3234" ht="14.25" customHeight="1">
      <c r="A3234" s="2">
        <v>3233.0</v>
      </c>
      <c r="B3234" s="2" t="s">
        <v>2582</v>
      </c>
      <c r="C3234" s="2" t="s">
        <v>5722</v>
      </c>
      <c r="D3234" s="2">
        <v>183.0</v>
      </c>
      <c r="E3234" s="2">
        <v>1.0</v>
      </c>
      <c r="F3234" s="2">
        <v>80.0</v>
      </c>
      <c r="G3234" s="2">
        <v>112500.0</v>
      </c>
    </row>
    <row r="3235" ht="14.25" customHeight="1">
      <c r="A3235" s="2">
        <v>3234.0</v>
      </c>
      <c r="B3235" s="2" t="s">
        <v>2571</v>
      </c>
      <c r="C3235" s="2" t="s">
        <v>5723</v>
      </c>
      <c r="D3235" s="2">
        <v>185.0</v>
      </c>
      <c r="E3235" s="2">
        <v>1.0</v>
      </c>
      <c r="F3235" s="2">
        <v>50.0</v>
      </c>
      <c r="G3235" s="2">
        <v>112500.0</v>
      </c>
    </row>
    <row r="3236" ht="14.25" customHeight="1">
      <c r="A3236" s="2">
        <v>3235.0</v>
      </c>
      <c r="B3236" s="2" t="s">
        <v>2549</v>
      </c>
      <c r="C3236" s="2" t="s">
        <v>5724</v>
      </c>
      <c r="D3236" s="2">
        <v>115.0</v>
      </c>
      <c r="E3236" s="2">
        <v>1.0</v>
      </c>
      <c r="F3236" s="2">
        <v>100.0</v>
      </c>
      <c r="G3236" s="2">
        <v>112400.0</v>
      </c>
    </row>
    <row r="3237" ht="14.25" customHeight="1">
      <c r="A3237" s="2">
        <v>3236.0</v>
      </c>
      <c r="B3237" s="2" t="s">
        <v>2512</v>
      </c>
      <c r="C3237" s="2" t="s">
        <v>5725</v>
      </c>
      <c r="D3237" s="2">
        <v>153.0</v>
      </c>
      <c r="E3237" s="2">
        <v>1.0</v>
      </c>
      <c r="F3237" s="2">
        <v>50.0</v>
      </c>
      <c r="G3237" s="2">
        <v>112400.0</v>
      </c>
    </row>
    <row r="3238" ht="14.25" customHeight="1">
      <c r="A3238" s="2">
        <v>3237.0</v>
      </c>
      <c r="B3238" s="2" t="s">
        <v>2558</v>
      </c>
      <c r="C3238" s="2" t="s">
        <v>5726</v>
      </c>
      <c r="D3238" s="2">
        <v>357.0</v>
      </c>
      <c r="E3238" s="2">
        <v>1.0</v>
      </c>
      <c r="F3238" s="2">
        <v>60.0</v>
      </c>
      <c r="G3238" s="2">
        <v>112300.0</v>
      </c>
    </row>
    <row r="3239" ht="14.25" customHeight="1">
      <c r="A3239" s="2">
        <v>3238.0</v>
      </c>
      <c r="B3239" s="2" t="s">
        <v>2686</v>
      </c>
      <c r="C3239" s="2" t="s">
        <v>5727</v>
      </c>
      <c r="D3239" s="2">
        <v>127.0</v>
      </c>
      <c r="E3239" s="2">
        <v>1.0</v>
      </c>
      <c r="F3239" s="2">
        <v>132.0</v>
      </c>
      <c r="G3239" s="2">
        <v>112200.0</v>
      </c>
    </row>
    <row r="3240" ht="14.25" customHeight="1">
      <c r="A3240" s="2">
        <v>3239.0</v>
      </c>
      <c r="B3240" s="2" t="s">
        <v>2477</v>
      </c>
      <c r="C3240" s="2" t="s">
        <v>5728</v>
      </c>
      <c r="D3240" s="2">
        <v>152.0</v>
      </c>
      <c r="E3240" s="2">
        <v>1.0</v>
      </c>
      <c r="F3240" s="2">
        <v>100.0</v>
      </c>
      <c r="G3240" s="2">
        <v>112200.0</v>
      </c>
    </row>
    <row r="3241" ht="14.25" customHeight="1">
      <c r="A3241" s="2">
        <v>3240.0</v>
      </c>
      <c r="B3241" s="2" t="s">
        <v>2512</v>
      </c>
      <c r="C3241" s="2" t="s">
        <v>5729</v>
      </c>
      <c r="D3241" s="2">
        <v>153.0</v>
      </c>
      <c r="E3241" s="2">
        <v>1.0</v>
      </c>
      <c r="F3241" s="2">
        <v>50.0</v>
      </c>
      <c r="G3241" s="2">
        <v>112200.0</v>
      </c>
    </row>
    <row r="3242" ht="14.25" customHeight="1">
      <c r="A3242" s="2">
        <v>3241.0</v>
      </c>
      <c r="B3242" s="2" t="s">
        <v>2553</v>
      </c>
      <c r="C3242" s="2" t="s">
        <v>5730</v>
      </c>
      <c r="D3242" s="2">
        <v>187.0</v>
      </c>
      <c r="E3242" s="2">
        <v>1.0</v>
      </c>
      <c r="F3242" s="2">
        <v>75.0</v>
      </c>
      <c r="G3242" s="2">
        <v>112200.0</v>
      </c>
    </row>
    <row r="3243" ht="14.25" customHeight="1">
      <c r="A3243" s="2">
        <v>3242.0</v>
      </c>
      <c r="B3243" s="2" t="s">
        <v>2534</v>
      </c>
      <c r="C3243" s="2" t="s">
        <v>5731</v>
      </c>
      <c r="D3243" s="2">
        <v>188.0</v>
      </c>
      <c r="E3243" s="2">
        <v>1.0</v>
      </c>
      <c r="F3243" s="2">
        <v>100.0</v>
      </c>
      <c r="G3243" s="2">
        <v>112200.0</v>
      </c>
    </row>
    <row r="3244" ht="14.25" customHeight="1">
      <c r="A3244" s="2">
        <v>3243.0</v>
      </c>
      <c r="B3244" s="2" t="s">
        <v>2507</v>
      </c>
      <c r="C3244" s="2" t="s">
        <v>5732</v>
      </c>
      <c r="D3244" s="2">
        <v>205.0</v>
      </c>
      <c r="E3244" s="2">
        <v>1.0</v>
      </c>
      <c r="F3244" s="2">
        <v>100.0</v>
      </c>
      <c r="G3244" s="2">
        <v>112200.0</v>
      </c>
    </row>
    <row r="3245" ht="14.25" customHeight="1">
      <c r="A3245" s="2">
        <v>3244.0</v>
      </c>
      <c r="B3245" s="2" t="s">
        <v>2488</v>
      </c>
      <c r="C3245" s="2" t="s">
        <v>5733</v>
      </c>
      <c r="D3245" s="2">
        <v>333.0</v>
      </c>
      <c r="E3245" s="2">
        <v>1.0</v>
      </c>
      <c r="F3245" s="2">
        <v>50.0</v>
      </c>
      <c r="G3245" s="2">
        <v>112200.0</v>
      </c>
    </row>
    <row r="3246" ht="14.25" customHeight="1">
      <c r="A3246" s="2">
        <v>3245.0</v>
      </c>
      <c r="B3246" s="2" t="s">
        <v>2503</v>
      </c>
      <c r="C3246" s="2" t="s">
        <v>5734</v>
      </c>
      <c r="D3246" s="2">
        <v>105.0</v>
      </c>
      <c r="E3246" s="2">
        <v>1.0</v>
      </c>
      <c r="F3246" s="2">
        <v>75.0</v>
      </c>
      <c r="G3246" s="2">
        <v>112100.0</v>
      </c>
    </row>
    <row r="3247" ht="14.25" customHeight="1">
      <c r="A3247" s="2">
        <v>3246.0</v>
      </c>
      <c r="B3247" s="2" t="s">
        <v>2475</v>
      </c>
      <c r="C3247" s="2" t="s">
        <v>5735</v>
      </c>
      <c r="D3247" s="2">
        <v>143.0</v>
      </c>
      <c r="E3247" s="2">
        <v>1.0</v>
      </c>
      <c r="F3247" s="2">
        <v>50.0</v>
      </c>
      <c r="G3247" s="2">
        <v>112000.0</v>
      </c>
    </row>
    <row r="3248" ht="14.25" customHeight="1">
      <c r="A3248" s="2">
        <v>3247.0</v>
      </c>
      <c r="B3248" s="2" t="s">
        <v>2594</v>
      </c>
      <c r="C3248" s="2" t="s">
        <v>5736</v>
      </c>
      <c r="D3248" s="2">
        <v>184.0</v>
      </c>
      <c r="E3248" s="2">
        <v>1.0</v>
      </c>
      <c r="F3248" s="2">
        <v>66.0</v>
      </c>
      <c r="G3248" s="2">
        <v>112000.0</v>
      </c>
    </row>
    <row r="3249" ht="14.25" customHeight="1">
      <c r="A3249" s="2">
        <v>3248.0</v>
      </c>
      <c r="B3249" s="2" t="s">
        <v>2594</v>
      </c>
      <c r="C3249" s="2" t="s">
        <v>5737</v>
      </c>
      <c r="D3249" s="2">
        <v>184.0</v>
      </c>
      <c r="E3249" s="2">
        <v>1.0</v>
      </c>
      <c r="F3249" s="2">
        <v>100.0</v>
      </c>
      <c r="G3249" s="2">
        <v>112000.0</v>
      </c>
    </row>
    <row r="3250" ht="14.25" customHeight="1">
      <c r="A3250" s="2">
        <v>3249.0</v>
      </c>
      <c r="B3250" s="2" t="s">
        <v>2621</v>
      </c>
      <c r="C3250" s="2" t="s">
        <v>5738</v>
      </c>
      <c r="D3250" s="2">
        <v>403.0</v>
      </c>
      <c r="E3250" s="2">
        <v>1.0</v>
      </c>
      <c r="F3250" s="2">
        <v>66.0</v>
      </c>
      <c r="G3250" s="2">
        <v>112000.0</v>
      </c>
    </row>
    <row r="3251" ht="14.25" customHeight="1">
      <c r="A3251" s="2">
        <v>3250.0</v>
      </c>
      <c r="B3251" s="2" t="s">
        <v>2621</v>
      </c>
      <c r="C3251" s="2" t="s">
        <v>5739</v>
      </c>
      <c r="D3251" s="2">
        <v>403.0</v>
      </c>
      <c r="E3251" s="2">
        <v>1.0</v>
      </c>
      <c r="F3251" s="2">
        <v>66.0</v>
      </c>
      <c r="G3251" s="2">
        <v>111900.0</v>
      </c>
    </row>
    <row r="3252" ht="14.25" customHeight="1">
      <c r="A3252" s="2">
        <v>3251.0</v>
      </c>
      <c r="B3252" s="2" t="s">
        <v>2503</v>
      </c>
      <c r="C3252" s="2" t="s">
        <v>5740</v>
      </c>
      <c r="D3252" s="2">
        <v>105.0</v>
      </c>
      <c r="E3252" s="2">
        <v>1.0</v>
      </c>
      <c r="F3252" s="2">
        <v>50.0</v>
      </c>
      <c r="G3252" s="2">
        <v>111800.0</v>
      </c>
    </row>
    <row r="3253" ht="14.25" customHeight="1">
      <c r="A3253" s="2">
        <v>3252.0</v>
      </c>
      <c r="B3253" s="2" t="s">
        <v>2686</v>
      </c>
      <c r="C3253" s="2" t="s">
        <v>5741</v>
      </c>
      <c r="D3253" s="2">
        <v>127.0</v>
      </c>
      <c r="E3253" s="2">
        <v>1.0</v>
      </c>
      <c r="F3253" s="2">
        <v>60.0</v>
      </c>
      <c r="G3253" s="2">
        <v>111800.0</v>
      </c>
    </row>
    <row r="3254" ht="14.25" customHeight="1">
      <c r="A3254" s="2">
        <v>3253.0</v>
      </c>
      <c r="B3254" s="2" t="s">
        <v>2479</v>
      </c>
      <c r="C3254" s="2" t="s">
        <v>5742</v>
      </c>
      <c r="D3254" s="2">
        <v>182.0</v>
      </c>
      <c r="E3254" s="2">
        <v>1.0</v>
      </c>
      <c r="F3254" s="2">
        <v>50.0</v>
      </c>
      <c r="G3254" s="2">
        <v>111800.0</v>
      </c>
    </row>
    <row r="3255" ht="14.25" customHeight="1">
      <c r="A3255" s="2">
        <v>3254.0</v>
      </c>
      <c r="B3255" s="2" t="s">
        <v>2582</v>
      </c>
      <c r="C3255" s="2" t="s">
        <v>5743</v>
      </c>
      <c r="D3255" s="2">
        <v>183.0</v>
      </c>
      <c r="E3255" s="2">
        <v>1.0</v>
      </c>
      <c r="F3255" s="2">
        <v>100.0</v>
      </c>
      <c r="G3255" s="2">
        <v>111800.0</v>
      </c>
    </row>
    <row r="3256" ht="14.25" customHeight="1">
      <c r="A3256" s="2">
        <v>3255.0</v>
      </c>
      <c r="B3256" s="2" t="s">
        <v>2576</v>
      </c>
      <c r="C3256" s="2" t="s">
        <v>5744</v>
      </c>
      <c r="D3256" s="2">
        <v>197.0</v>
      </c>
      <c r="E3256" s="2">
        <v>1.0</v>
      </c>
      <c r="F3256" s="2">
        <v>100.0</v>
      </c>
      <c r="G3256" s="2">
        <v>111800.0</v>
      </c>
    </row>
    <row r="3257" ht="14.25" customHeight="1">
      <c r="A3257" s="2">
        <v>3256.0</v>
      </c>
      <c r="B3257" s="2" t="s">
        <v>2524</v>
      </c>
      <c r="C3257" s="2" t="s">
        <v>5745</v>
      </c>
      <c r="D3257" s="2">
        <v>331.0</v>
      </c>
      <c r="E3257" s="2">
        <v>1.0</v>
      </c>
      <c r="F3257" s="2">
        <v>50.0</v>
      </c>
      <c r="G3257" s="2">
        <v>111800.0</v>
      </c>
    </row>
    <row r="3258" ht="14.25" customHeight="1">
      <c r="A3258" s="2">
        <v>3257.0</v>
      </c>
      <c r="B3258" s="2" t="s">
        <v>2636</v>
      </c>
      <c r="C3258" s="2" t="s">
        <v>5746</v>
      </c>
      <c r="D3258" s="2">
        <v>145.0</v>
      </c>
      <c r="E3258" s="2">
        <v>1.0</v>
      </c>
      <c r="F3258" s="2">
        <v>50.0</v>
      </c>
      <c r="G3258" s="2">
        <v>111700.0</v>
      </c>
    </row>
    <row r="3259" ht="14.25" customHeight="1">
      <c r="A3259" s="2">
        <v>3258.0</v>
      </c>
      <c r="B3259" s="2" t="s">
        <v>2512</v>
      </c>
      <c r="C3259" s="2" t="s">
        <v>5747</v>
      </c>
      <c r="D3259" s="2">
        <v>153.0</v>
      </c>
      <c r="E3259" s="2">
        <v>1.0</v>
      </c>
      <c r="F3259" s="2">
        <v>100.0</v>
      </c>
      <c r="G3259" s="2">
        <v>111700.0</v>
      </c>
    </row>
    <row r="3260" ht="14.25" customHeight="1">
      <c r="A3260" s="2">
        <v>3259.0</v>
      </c>
      <c r="B3260" s="2" t="s">
        <v>2553</v>
      </c>
      <c r="C3260" s="2" t="s">
        <v>5748</v>
      </c>
      <c r="D3260" s="2">
        <v>187.0</v>
      </c>
      <c r="E3260" s="2">
        <v>1.0</v>
      </c>
      <c r="F3260" s="2">
        <v>150.0</v>
      </c>
      <c r="G3260" s="2">
        <v>111700.0</v>
      </c>
    </row>
    <row r="3261" ht="14.25" customHeight="1">
      <c r="A3261" s="2">
        <v>3260.0</v>
      </c>
      <c r="B3261" s="2" t="s">
        <v>2621</v>
      </c>
      <c r="C3261" s="2" t="s">
        <v>5749</v>
      </c>
      <c r="D3261" s="2">
        <v>403.0</v>
      </c>
      <c r="E3261" s="2">
        <v>1.0</v>
      </c>
      <c r="F3261" s="2">
        <v>100.0</v>
      </c>
      <c r="G3261" s="2">
        <v>111700.0</v>
      </c>
    </row>
    <row r="3262" ht="14.25" customHeight="1">
      <c r="A3262" s="2">
        <v>3261.0</v>
      </c>
      <c r="B3262" s="2" t="s">
        <v>2505</v>
      </c>
      <c r="C3262" s="2" t="s">
        <v>5750</v>
      </c>
      <c r="D3262" s="2">
        <v>429.0</v>
      </c>
      <c r="E3262" s="2">
        <v>1.0</v>
      </c>
      <c r="F3262" s="2">
        <v>75.0</v>
      </c>
      <c r="G3262" s="2">
        <v>111700.0</v>
      </c>
    </row>
    <row r="3263" ht="14.25" customHeight="1">
      <c r="A3263" s="2">
        <v>3262.0</v>
      </c>
      <c r="B3263" s="2" t="s">
        <v>2686</v>
      </c>
      <c r="C3263" s="2" t="s">
        <v>5751</v>
      </c>
      <c r="D3263" s="2">
        <v>127.0</v>
      </c>
      <c r="E3263" s="2">
        <v>1.0</v>
      </c>
      <c r="F3263" s="2">
        <v>132.0</v>
      </c>
      <c r="G3263" s="2">
        <v>111600.0</v>
      </c>
    </row>
    <row r="3264" ht="14.25" customHeight="1">
      <c r="A3264" s="2">
        <v>3263.0</v>
      </c>
      <c r="B3264" s="2" t="s">
        <v>2744</v>
      </c>
      <c r="C3264" s="2" t="s">
        <v>5752</v>
      </c>
      <c r="D3264" s="2">
        <v>169.0</v>
      </c>
      <c r="E3264" s="2">
        <v>1.0</v>
      </c>
      <c r="F3264" s="2">
        <v>75.0</v>
      </c>
      <c r="G3264" s="2">
        <v>111600.0</v>
      </c>
    </row>
    <row r="3265" ht="14.25" customHeight="1">
      <c r="A3265" s="2">
        <v>3264.0</v>
      </c>
      <c r="B3265" s="2" t="s">
        <v>2501</v>
      </c>
      <c r="C3265" s="2" t="s">
        <v>5753</v>
      </c>
      <c r="D3265" s="2">
        <v>199.0</v>
      </c>
      <c r="E3265" s="2">
        <v>1.0</v>
      </c>
      <c r="F3265" s="2">
        <v>120.0</v>
      </c>
      <c r="G3265" s="2">
        <v>111600.0</v>
      </c>
    </row>
    <row r="3266" ht="14.25" customHeight="1">
      <c r="A3266" s="2">
        <v>3265.0</v>
      </c>
      <c r="B3266" s="2" t="s">
        <v>2488</v>
      </c>
      <c r="C3266" s="2" t="s">
        <v>5754</v>
      </c>
      <c r="D3266" s="2">
        <v>333.0</v>
      </c>
      <c r="E3266" s="2">
        <v>1.0</v>
      </c>
      <c r="F3266" s="2">
        <v>75.0</v>
      </c>
      <c r="G3266" s="2">
        <v>111600.0</v>
      </c>
    </row>
    <row r="3267" ht="14.25" customHeight="1">
      <c r="A3267" s="2">
        <v>3266.0</v>
      </c>
      <c r="B3267" s="2" t="s">
        <v>2505</v>
      </c>
      <c r="C3267" s="2" t="s">
        <v>5755</v>
      </c>
      <c r="D3267" s="2">
        <v>429.0</v>
      </c>
      <c r="E3267" s="2">
        <v>1.0</v>
      </c>
      <c r="F3267" s="2">
        <v>70.0</v>
      </c>
      <c r="G3267" s="2">
        <v>111600.0</v>
      </c>
    </row>
    <row r="3268" ht="14.25" customHeight="1">
      <c r="A3268" s="2">
        <v>3267.0</v>
      </c>
      <c r="B3268" s="2" t="s">
        <v>2571</v>
      </c>
      <c r="C3268" s="2" t="s">
        <v>5756</v>
      </c>
      <c r="D3268" s="2">
        <v>185.0</v>
      </c>
      <c r="E3268" s="2">
        <v>1.0</v>
      </c>
      <c r="F3268" s="2">
        <v>100.0</v>
      </c>
      <c r="G3268" s="2">
        <v>111500.0</v>
      </c>
    </row>
    <row r="3269" ht="14.25" customHeight="1">
      <c r="A3269" s="2">
        <v>3268.0</v>
      </c>
      <c r="B3269" s="2" t="s">
        <v>2651</v>
      </c>
      <c r="C3269" s="2" t="s">
        <v>5757</v>
      </c>
      <c r="D3269" s="2">
        <v>347.0</v>
      </c>
      <c r="E3269" s="2">
        <v>1.0</v>
      </c>
      <c r="F3269" s="2">
        <v>60.0</v>
      </c>
      <c r="G3269" s="2">
        <v>111500.0</v>
      </c>
    </row>
    <row r="3270" ht="14.25" customHeight="1">
      <c r="A3270" s="2">
        <v>3269.0</v>
      </c>
      <c r="B3270" s="2" t="s">
        <v>2477</v>
      </c>
      <c r="C3270" s="2" t="s">
        <v>5758</v>
      </c>
      <c r="D3270" s="2">
        <v>152.0</v>
      </c>
      <c r="E3270" s="2">
        <v>1.0</v>
      </c>
      <c r="F3270" s="2">
        <v>150.0</v>
      </c>
      <c r="G3270" s="2">
        <v>111400.0</v>
      </c>
    </row>
    <row r="3271" ht="14.25" customHeight="1">
      <c r="A3271" s="2">
        <v>3270.0</v>
      </c>
      <c r="B3271" s="2" t="s">
        <v>2477</v>
      </c>
      <c r="C3271" s="2" t="s">
        <v>5759</v>
      </c>
      <c r="D3271" s="2">
        <v>152.0</v>
      </c>
      <c r="E3271" s="2">
        <v>1.0</v>
      </c>
      <c r="F3271" s="2">
        <v>75.0</v>
      </c>
      <c r="G3271" s="2">
        <v>111400.0</v>
      </c>
    </row>
    <row r="3272" ht="14.25" customHeight="1">
      <c r="A3272" s="2">
        <v>3271.0</v>
      </c>
      <c r="B3272" s="2" t="s">
        <v>2594</v>
      </c>
      <c r="C3272" s="2" t="s">
        <v>5760</v>
      </c>
      <c r="D3272" s="2">
        <v>184.0</v>
      </c>
      <c r="E3272" s="2">
        <v>1.0</v>
      </c>
      <c r="F3272" s="2">
        <v>50.0</v>
      </c>
      <c r="G3272" s="2">
        <v>111400.0</v>
      </c>
    </row>
    <row r="3273" ht="14.25" customHeight="1">
      <c r="A3273" s="2">
        <v>3272.0</v>
      </c>
      <c r="B3273" s="2" t="s">
        <v>2507</v>
      </c>
      <c r="C3273" s="2" t="s">
        <v>5761</v>
      </c>
      <c r="D3273" s="2">
        <v>205.0</v>
      </c>
      <c r="E3273" s="2">
        <v>1.0</v>
      </c>
      <c r="F3273" s="2">
        <v>100.0</v>
      </c>
      <c r="G3273" s="2">
        <v>111400.0</v>
      </c>
    </row>
    <row r="3274" ht="14.25" customHeight="1">
      <c r="A3274" s="2">
        <v>3273.0</v>
      </c>
      <c r="B3274" s="2" t="s">
        <v>2488</v>
      </c>
      <c r="C3274" s="2" t="s">
        <v>5762</v>
      </c>
      <c r="D3274" s="2">
        <v>333.0</v>
      </c>
      <c r="E3274" s="2">
        <v>1.0</v>
      </c>
      <c r="F3274" s="2">
        <v>75.0</v>
      </c>
      <c r="G3274" s="2">
        <v>111400.0</v>
      </c>
    </row>
    <row r="3275" ht="14.25" customHeight="1">
      <c r="A3275" s="2">
        <v>3274.0</v>
      </c>
      <c r="B3275" s="2" t="s">
        <v>2651</v>
      </c>
      <c r="C3275" s="2" t="s">
        <v>5763</v>
      </c>
      <c r="D3275" s="2">
        <v>347.0</v>
      </c>
      <c r="E3275" s="2">
        <v>1.0</v>
      </c>
      <c r="F3275" s="2">
        <v>55.0</v>
      </c>
      <c r="G3275" s="2">
        <v>111400.0</v>
      </c>
    </row>
    <row r="3276" ht="14.25" customHeight="1">
      <c r="A3276" s="2">
        <v>3275.0</v>
      </c>
      <c r="B3276" s="2" t="s">
        <v>2744</v>
      </c>
      <c r="C3276" s="2" t="s">
        <v>5764</v>
      </c>
      <c r="D3276" s="2">
        <v>169.0</v>
      </c>
      <c r="E3276" s="2">
        <v>1.0</v>
      </c>
      <c r="F3276" s="2">
        <v>100.0</v>
      </c>
      <c r="G3276" s="2">
        <v>111300.0</v>
      </c>
    </row>
    <row r="3277" ht="14.25" customHeight="1">
      <c r="A3277" s="2">
        <v>3276.0</v>
      </c>
      <c r="B3277" s="2" t="s">
        <v>2479</v>
      </c>
      <c r="C3277" s="2" t="s">
        <v>5765</v>
      </c>
      <c r="D3277" s="2">
        <v>182.0</v>
      </c>
      <c r="E3277" s="2">
        <v>1.0</v>
      </c>
      <c r="F3277" s="2">
        <v>100.0</v>
      </c>
      <c r="G3277" s="2">
        <v>111300.0</v>
      </c>
    </row>
    <row r="3278" ht="14.25" customHeight="1">
      <c r="A3278" s="2">
        <v>3277.0</v>
      </c>
      <c r="B3278" s="2" t="s">
        <v>2479</v>
      </c>
      <c r="C3278" s="2" t="s">
        <v>5766</v>
      </c>
      <c r="D3278" s="2">
        <v>182.0</v>
      </c>
      <c r="E3278" s="2">
        <v>1.0</v>
      </c>
      <c r="F3278" s="2">
        <v>52.0</v>
      </c>
      <c r="G3278" s="2">
        <v>111300.0</v>
      </c>
    </row>
    <row r="3279" ht="14.25" customHeight="1">
      <c r="A3279" s="2">
        <v>3278.0</v>
      </c>
      <c r="B3279" s="2" t="s">
        <v>2582</v>
      </c>
      <c r="C3279" s="2" t="s">
        <v>5767</v>
      </c>
      <c r="D3279" s="2">
        <v>183.0</v>
      </c>
      <c r="E3279" s="2">
        <v>1.0</v>
      </c>
      <c r="F3279" s="2">
        <v>45.0</v>
      </c>
      <c r="G3279" s="2">
        <v>111300.0</v>
      </c>
    </row>
    <row r="3280" ht="14.25" customHeight="1">
      <c r="A3280" s="2">
        <v>3279.0</v>
      </c>
      <c r="B3280" s="2" t="s">
        <v>2541</v>
      </c>
      <c r="C3280" s="2" t="s">
        <v>5768</v>
      </c>
      <c r="D3280" s="2">
        <v>195.0</v>
      </c>
      <c r="E3280" s="2">
        <v>1.0</v>
      </c>
      <c r="F3280" s="2">
        <v>100.0</v>
      </c>
      <c r="G3280" s="2">
        <v>111300.0</v>
      </c>
    </row>
    <row r="3281" ht="14.25" customHeight="1">
      <c r="A3281" s="2">
        <v>3280.0</v>
      </c>
      <c r="B3281" s="2" t="s">
        <v>2541</v>
      </c>
      <c r="C3281" s="2" t="s">
        <v>5769</v>
      </c>
      <c r="D3281" s="2">
        <v>195.0</v>
      </c>
      <c r="E3281" s="2">
        <v>1.0</v>
      </c>
      <c r="F3281" s="2">
        <v>75.0</v>
      </c>
      <c r="G3281" s="2">
        <v>111300.0</v>
      </c>
    </row>
    <row r="3282" ht="14.25" customHeight="1">
      <c r="A3282" s="2">
        <v>3281.0</v>
      </c>
      <c r="B3282" s="2" t="s">
        <v>2501</v>
      </c>
      <c r="C3282" s="2" t="s">
        <v>5770</v>
      </c>
      <c r="D3282" s="2">
        <v>199.0</v>
      </c>
      <c r="E3282" s="2">
        <v>1.0</v>
      </c>
      <c r="F3282" s="2">
        <v>100.0</v>
      </c>
      <c r="G3282" s="2">
        <v>111300.0</v>
      </c>
    </row>
    <row r="3283" ht="14.25" customHeight="1">
      <c r="A3283" s="2">
        <v>3282.0</v>
      </c>
      <c r="B3283" s="2" t="s">
        <v>2505</v>
      </c>
      <c r="C3283" s="2" t="s">
        <v>5771</v>
      </c>
      <c r="D3283" s="2">
        <v>429.0</v>
      </c>
      <c r="E3283" s="2">
        <v>1.0</v>
      </c>
      <c r="F3283" s="2">
        <v>150.0</v>
      </c>
      <c r="G3283" s="2">
        <v>111300.0</v>
      </c>
    </row>
    <row r="3284" ht="14.25" customHeight="1">
      <c r="A3284" s="2">
        <v>3283.0</v>
      </c>
      <c r="B3284" s="2" t="s">
        <v>2475</v>
      </c>
      <c r="C3284" s="2" t="s">
        <v>5772</v>
      </c>
      <c r="D3284" s="2">
        <v>143.0</v>
      </c>
      <c r="E3284" s="2">
        <v>1.0</v>
      </c>
      <c r="F3284" s="2">
        <v>100.0</v>
      </c>
      <c r="G3284" s="2">
        <v>111200.0</v>
      </c>
    </row>
    <row r="3285" ht="14.25" customHeight="1">
      <c r="A3285" s="2">
        <v>3284.0</v>
      </c>
      <c r="B3285" s="2" t="s">
        <v>2571</v>
      </c>
      <c r="C3285" s="2" t="s">
        <v>5773</v>
      </c>
      <c r="D3285" s="2">
        <v>185.0</v>
      </c>
      <c r="E3285" s="2">
        <v>1.0</v>
      </c>
      <c r="F3285" s="2">
        <v>100.0</v>
      </c>
      <c r="G3285" s="2">
        <v>111200.0</v>
      </c>
    </row>
    <row r="3286" ht="14.25" customHeight="1">
      <c r="A3286" s="2">
        <v>3285.0</v>
      </c>
      <c r="B3286" s="2" t="s">
        <v>2503</v>
      </c>
      <c r="C3286" s="2" t="s">
        <v>5774</v>
      </c>
      <c r="D3286" s="2">
        <v>105.0</v>
      </c>
      <c r="E3286" s="2">
        <v>1.0</v>
      </c>
      <c r="F3286" s="2">
        <v>75.0</v>
      </c>
      <c r="G3286" s="2">
        <v>111100.0</v>
      </c>
    </row>
    <row r="3287" ht="14.25" customHeight="1">
      <c r="A3287" s="2">
        <v>3286.0</v>
      </c>
      <c r="B3287" s="2" t="s">
        <v>2582</v>
      </c>
      <c r="C3287" s="2" t="s">
        <v>5775</v>
      </c>
      <c r="D3287" s="2">
        <v>183.0</v>
      </c>
      <c r="E3287" s="2">
        <v>1.0</v>
      </c>
      <c r="F3287" s="2">
        <v>65.0</v>
      </c>
      <c r="G3287" s="2">
        <v>111100.0</v>
      </c>
    </row>
    <row r="3288" ht="14.25" customHeight="1">
      <c r="A3288" s="2">
        <v>3287.0</v>
      </c>
      <c r="B3288" s="2" t="s">
        <v>2518</v>
      </c>
      <c r="C3288" s="2" t="s">
        <v>5776</v>
      </c>
      <c r="D3288" s="2">
        <v>161.0</v>
      </c>
      <c r="E3288" s="2">
        <v>1.0</v>
      </c>
      <c r="F3288" s="2">
        <v>50.0</v>
      </c>
      <c r="G3288" s="2">
        <v>111000.0</v>
      </c>
    </row>
    <row r="3289" ht="14.25" customHeight="1">
      <c r="A3289" s="2">
        <v>3288.0</v>
      </c>
      <c r="B3289" s="2" t="s">
        <v>2518</v>
      </c>
      <c r="C3289" s="2" t="s">
        <v>5777</v>
      </c>
      <c r="D3289" s="2">
        <v>161.0</v>
      </c>
      <c r="E3289" s="2">
        <v>1.0</v>
      </c>
      <c r="F3289" s="2">
        <v>50.0</v>
      </c>
      <c r="G3289" s="2">
        <v>111000.0</v>
      </c>
    </row>
    <row r="3290" ht="14.25" customHeight="1">
      <c r="A3290" s="2">
        <v>3289.0</v>
      </c>
      <c r="B3290" s="2" t="s">
        <v>2604</v>
      </c>
      <c r="C3290" s="2" t="s">
        <v>5778</v>
      </c>
      <c r="D3290" s="2">
        <v>200.0</v>
      </c>
      <c r="E3290" s="2">
        <v>1.0</v>
      </c>
      <c r="F3290" s="2">
        <v>200.0</v>
      </c>
      <c r="G3290" s="2">
        <v>111000.0</v>
      </c>
    </row>
    <row r="3291" ht="14.25" customHeight="1">
      <c r="A3291" s="2">
        <v>3290.0</v>
      </c>
      <c r="B3291" s="2" t="s">
        <v>2503</v>
      </c>
      <c r="C3291" s="2" t="s">
        <v>5779</v>
      </c>
      <c r="D3291" s="2">
        <v>105.0</v>
      </c>
      <c r="E3291" s="2">
        <v>1.0</v>
      </c>
      <c r="F3291" s="2">
        <v>50.0</v>
      </c>
      <c r="G3291" s="2">
        <v>110900.0</v>
      </c>
    </row>
    <row r="3292" ht="14.25" customHeight="1">
      <c r="A3292" s="2">
        <v>3291.0</v>
      </c>
      <c r="B3292" s="2" t="s">
        <v>2636</v>
      </c>
      <c r="C3292" s="2" t="s">
        <v>5780</v>
      </c>
      <c r="D3292" s="2">
        <v>145.0</v>
      </c>
      <c r="E3292" s="2">
        <v>1.0</v>
      </c>
      <c r="F3292" s="2">
        <v>100.0</v>
      </c>
      <c r="G3292" s="2">
        <v>110900.0</v>
      </c>
    </row>
    <row r="3293" ht="14.25" customHeight="1">
      <c r="A3293" s="2">
        <v>3292.0</v>
      </c>
      <c r="B3293" s="2" t="s">
        <v>2636</v>
      </c>
      <c r="C3293" s="2" t="s">
        <v>5781</v>
      </c>
      <c r="D3293" s="2">
        <v>145.0</v>
      </c>
      <c r="E3293" s="2">
        <v>1.0</v>
      </c>
      <c r="F3293" s="2">
        <v>100.0</v>
      </c>
      <c r="G3293" s="2">
        <v>110900.0</v>
      </c>
    </row>
    <row r="3294" ht="14.25" customHeight="1">
      <c r="A3294" s="2">
        <v>3293.0</v>
      </c>
      <c r="B3294" s="2" t="s">
        <v>2479</v>
      </c>
      <c r="C3294" s="2" t="s">
        <v>5782</v>
      </c>
      <c r="D3294" s="2">
        <v>182.0</v>
      </c>
      <c r="E3294" s="2">
        <v>1.0</v>
      </c>
      <c r="F3294" s="2">
        <v>52.0</v>
      </c>
      <c r="G3294" s="2">
        <v>110900.0</v>
      </c>
    </row>
    <row r="3295" ht="14.25" customHeight="1">
      <c r="A3295" s="2">
        <v>3294.0</v>
      </c>
      <c r="B3295" s="2" t="s">
        <v>2651</v>
      </c>
      <c r="C3295" s="2" t="s">
        <v>5783</v>
      </c>
      <c r="D3295" s="2">
        <v>347.0</v>
      </c>
      <c r="E3295" s="2">
        <v>1.0</v>
      </c>
      <c r="F3295" s="2">
        <v>50.0</v>
      </c>
      <c r="G3295" s="2">
        <v>110900.0</v>
      </c>
    </row>
    <row r="3296" ht="14.25" customHeight="1">
      <c r="A3296" s="2">
        <v>3295.0</v>
      </c>
      <c r="B3296" s="2" t="s">
        <v>2549</v>
      </c>
      <c r="C3296" s="2" t="s">
        <v>5784</v>
      </c>
      <c r="D3296" s="2">
        <v>115.0</v>
      </c>
      <c r="E3296" s="2">
        <v>1.0</v>
      </c>
      <c r="F3296" s="2">
        <v>112.5</v>
      </c>
      <c r="G3296" s="2">
        <v>110800.0</v>
      </c>
    </row>
    <row r="3297" ht="14.25" customHeight="1">
      <c r="A3297" s="2">
        <v>3296.0</v>
      </c>
      <c r="B3297" s="2" t="s">
        <v>2561</v>
      </c>
      <c r="C3297" s="2" t="s">
        <v>5785</v>
      </c>
      <c r="D3297" s="2">
        <v>162.0</v>
      </c>
      <c r="E3297" s="2">
        <v>1.0</v>
      </c>
      <c r="F3297" s="2">
        <v>200.0</v>
      </c>
      <c r="G3297" s="2">
        <v>110800.0</v>
      </c>
    </row>
    <row r="3298" ht="14.25" customHeight="1">
      <c r="A3298" s="2">
        <v>3297.0</v>
      </c>
      <c r="B3298" s="2" t="s">
        <v>2571</v>
      </c>
      <c r="C3298" s="2" t="s">
        <v>5786</v>
      </c>
      <c r="D3298" s="2">
        <v>185.0</v>
      </c>
      <c r="E3298" s="2">
        <v>1.0</v>
      </c>
      <c r="F3298" s="2">
        <v>100.0</v>
      </c>
      <c r="G3298" s="2">
        <v>110800.0</v>
      </c>
    </row>
    <row r="3299" ht="14.25" customHeight="1">
      <c r="A3299" s="2">
        <v>3298.0</v>
      </c>
      <c r="B3299" s="2" t="s">
        <v>2524</v>
      </c>
      <c r="C3299" s="2" t="s">
        <v>5787</v>
      </c>
      <c r="D3299" s="2">
        <v>331.0</v>
      </c>
      <c r="E3299" s="2">
        <v>1.0</v>
      </c>
      <c r="F3299" s="2">
        <v>75.0</v>
      </c>
      <c r="G3299" s="2">
        <v>110800.0</v>
      </c>
    </row>
    <row r="3300" ht="14.25" customHeight="1">
      <c r="A3300" s="2">
        <v>3299.0</v>
      </c>
      <c r="B3300" s="2" t="s">
        <v>2686</v>
      </c>
      <c r="C3300" s="2" t="s">
        <v>5788</v>
      </c>
      <c r="D3300" s="2">
        <v>127.0</v>
      </c>
      <c r="E3300" s="2">
        <v>1.0</v>
      </c>
      <c r="F3300" s="2">
        <v>80.0</v>
      </c>
      <c r="G3300" s="2">
        <v>110700.0</v>
      </c>
    </row>
    <row r="3301" ht="14.25" customHeight="1">
      <c r="A3301" s="2">
        <v>3300.0</v>
      </c>
      <c r="B3301" s="2" t="s">
        <v>2534</v>
      </c>
      <c r="C3301" s="2" t="s">
        <v>5789</v>
      </c>
      <c r="D3301" s="2">
        <v>188.0</v>
      </c>
      <c r="E3301" s="2">
        <v>1.0</v>
      </c>
      <c r="F3301" s="2">
        <v>50.0</v>
      </c>
      <c r="G3301" s="2">
        <v>110700.0</v>
      </c>
    </row>
    <row r="3302" ht="14.25" customHeight="1">
      <c r="A3302" s="2">
        <v>3301.0</v>
      </c>
      <c r="B3302" s="2" t="s">
        <v>2507</v>
      </c>
      <c r="C3302" s="2" t="s">
        <v>5790</v>
      </c>
      <c r="D3302" s="2">
        <v>205.0</v>
      </c>
      <c r="E3302" s="2">
        <v>1.0</v>
      </c>
      <c r="F3302" s="2">
        <v>90.0</v>
      </c>
      <c r="G3302" s="2">
        <v>110700.0</v>
      </c>
    </row>
    <row r="3303" ht="14.25" customHeight="1">
      <c r="A3303" s="2">
        <v>3302.0</v>
      </c>
      <c r="B3303" s="2" t="s">
        <v>2505</v>
      </c>
      <c r="C3303" s="2" t="s">
        <v>5791</v>
      </c>
      <c r="D3303" s="2">
        <v>429.0</v>
      </c>
      <c r="E3303" s="2">
        <v>1.0</v>
      </c>
      <c r="F3303" s="2">
        <v>120.0</v>
      </c>
      <c r="G3303" s="2">
        <v>110700.0</v>
      </c>
    </row>
    <row r="3304" ht="14.25" customHeight="1">
      <c r="A3304" s="2">
        <v>3303.0</v>
      </c>
      <c r="B3304" s="2" t="s">
        <v>2512</v>
      </c>
      <c r="C3304" s="2" t="s">
        <v>5792</v>
      </c>
      <c r="D3304" s="2">
        <v>153.0</v>
      </c>
      <c r="E3304" s="2">
        <v>1.0</v>
      </c>
      <c r="F3304" s="2">
        <v>100.0</v>
      </c>
      <c r="G3304" s="2">
        <v>110600.0</v>
      </c>
    </row>
    <row r="3305" ht="14.25" customHeight="1">
      <c r="A3305" s="2">
        <v>3304.0</v>
      </c>
      <c r="B3305" s="2" t="s">
        <v>2518</v>
      </c>
      <c r="C3305" s="2" t="s">
        <v>5793</v>
      </c>
      <c r="D3305" s="2">
        <v>161.0</v>
      </c>
      <c r="E3305" s="2">
        <v>1.0</v>
      </c>
      <c r="F3305" s="2">
        <v>50.0</v>
      </c>
      <c r="G3305" s="2">
        <v>110600.0</v>
      </c>
    </row>
    <row r="3306" ht="14.25" customHeight="1">
      <c r="A3306" s="2">
        <v>3305.0</v>
      </c>
      <c r="B3306" s="2" t="s">
        <v>2534</v>
      </c>
      <c r="C3306" s="2" t="s">
        <v>5794</v>
      </c>
      <c r="D3306" s="2">
        <v>188.0</v>
      </c>
      <c r="E3306" s="2">
        <v>1.0</v>
      </c>
      <c r="F3306" s="2">
        <v>200.0</v>
      </c>
      <c r="G3306" s="2">
        <v>110600.0</v>
      </c>
    </row>
    <row r="3307" ht="14.25" customHeight="1">
      <c r="A3307" s="2">
        <v>3306.0</v>
      </c>
      <c r="B3307" s="2" t="s">
        <v>2507</v>
      </c>
      <c r="C3307" s="2" t="s">
        <v>5795</v>
      </c>
      <c r="D3307" s="2">
        <v>205.0</v>
      </c>
      <c r="E3307" s="2">
        <v>1.0</v>
      </c>
      <c r="F3307" s="2">
        <v>100.0</v>
      </c>
      <c r="G3307" s="2">
        <v>110600.0</v>
      </c>
    </row>
    <row r="3308" ht="14.25" customHeight="1">
      <c r="A3308" s="2">
        <v>3307.0</v>
      </c>
      <c r="B3308" s="2" t="s">
        <v>2503</v>
      </c>
      <c r="C3308" s="2" t="s">
        <v>5796</v>
      </c>
      <c r="D3308" s="2">
        <v>105.0</v>
      </c>
      <c r="E3308" s="2">
        <v>1.0</v>
      </c>
      <c r="F3308" s="2">
        <v>100.0</v>
      </c>
      <c r="G3308" s="2">
        <v>110500.0</v>
      </c>
    </row>
    <row r="3309" ht="14.25" customHeight="1">
      <c r="A3309" s="2">
        <v>3308.0</v>
      </c>
      <c r="B3309" s="2" t="s">
        <v>2686</v>
      </c>
      <c r="C3309" s="2" t="s">
        <v>5797</v>
      </c>
      <c r="D3309" s="2">
        <v>127.0</v>
      </c>
      <c r="E3309" s="2">
        <v>1.0</v>
      </c>
      <c r="F3309" s="2">
        <v>90.0</v>
      </c>
      <c r="G3309" s="2">
        <v>110500.0</v>
      </c>
    </row>
    <row r="3310" ht="14.25" customHeight="1">
      <c r="A3310" s="2">
        <v>3309.0</v>
      </c>
      <c r="B3310" s="2" t="s">
        <v>2636</v>
      </c>
      <c r="C3310" s="2" t="s">
        <v>5798</v>
      </c>
      <c r="D3310" s="2">
        <v>145.0</v>
      </c>
      <c r="E3310" s="2">
        <v>1.0</v>
      </c>
      <c r="F3310" s="2">
        <v>165.0</v>
      </c>
      <c r="G3310" s="2">
        <v>110500.0</v>
      </c>
    </row>
    <row r="3311" ht="14.25" customHeight="1">
      <c r="A3311" s="2">
        <v>3310.0</v>
      </c>
      <c r="B3311" s="2" t="s">
        <v>2477</v>
      </c>
      <c r="C3311" s="2" t="s">
        <v>5799</v>
      </c>
      <c r="D3311" s="2">
        <v>152.0</v>
      </c>
      <c r="E3311" s="2">
        <v>1.0</v>
      </c>
      <c r="F3311" s="2">
        <v>130.0</v>
      </c>
      <c r="G3311" s="2">
        <v>110500.0</v>
      </c>
    </row>
    <row r="3312" ht="14.25" customHeight="1">
      <c r="A3312" s="2">
        <v>3311.0</v>
      </c>
      <c r="B3312" s="2" t="s">
        <v>2561</v>
      </c>
      <c r="C3312" s="2" t="s">
        <v>5800</v>
      </c>
      <c r="D3312" s="2">
        <v>162.0</v>
      </c>
      <c r="E3312" s="2">
        <v>1.0</v>
      </c>
      <c r="F3312" s="2">
        <v>50.0</v>
      </c>
      <c r="G3312" s="2">
        <v>110500.0</v>
      </c>
    </row>
    <row r="3313" ht="14.25" customHeight="1">
      <c r="A3313" s="2">
        <v>3312.0</v>
      </c>
      <c r="B3313" s="2" t="s">
        <v>2534</v>
      </c>
      <c r="C3313" s="2" t="s">
        <v>5801</v>
      </c>
      <c r="D3313" s="2">
        <v>188.0</v>
      </c>
      <c r="E3313" s="2">
        <v>1.0</v>
      </c>
      <c r="F3313" s="2">
        <v>100.0</v>
      </c>
      <c r="G3313" s="2">
        <v>110500.0</v>
      </c>
    </row>
    <row r="3314" ht="14.25" customHeight="1">
      <c r="A3314" s="2">
        <v>3313.0</v>
      </c>
      <c r="B3314" s="2" t="s">
        <v>2507</v>
      </c>
      <c r="C3314" s="2" t="s">
        <v>5802</v>
      </c>
      <c r="D3314" s="2">
        <v>205.0</v>
      </c>
      <c r="E3314" s="2">
        <v>1.0</v>
      </c>
      <c r="F3314" s="2">
        <v>85.0</v>
      </c>
      <c r="G3314" s="2">
        <v>110500.0</v>
      </c>
    </row>
    <row r="3315" ht="14.25" customHeight="1">
      <c r="A3315" s="2">
        <v>3314.0</v>
      </c>
      <c r="B3315" s="2" t="s">
        <v>2507</v>
      </c>
      <c r="C3315" s="2" t="s">
        <v>5803</v>
      </c>
      <c r="D3315" s="2">
        <v>205.0</v>
      </c>
      <c r="E3315" s="2">
        <v>1.0</v>
      </c>
      <c r="F3315" s="2">
        <v>100.0</v>
      </c>
      <c r="G3315" s="2">
        <v>110500.0</v>
      </c>
    </row>
    <row r="3316" ht="14.25" customHeight="1">
      <c r="A3316" s="2">
        <v>3315.0</v>
      </c>
      <c r="B3316" s="2" t="s">
        <v>2636</v>
      </c>
      <c r="C3316" s="2" t="s">
        <v>5804</v>
      </c>
      <c r="D3316" s="2">
        <v>145.0</v>
      </c>
      <c r="E3316" s="2">
        <v>1.0</v>
      </c>
      <c r="F3316" s="2">
        <v>65.0</v>
      </c>
      <c r="G3316" s="2">
        <v>110400.0</v>
      </c>
    </row>
    <row r="3317" ht="14.25" customHeight="1">
      <c r="A3317" s="2">
        <v>3316.0</v>
      </c>
      <c r="B3317" s="2" t="s">
        <v>2636</v>
      </c>
      <c r="C3317" s="2" t="s">
        <v>5805</v>
      </c>
      <c r="D3317" s="2">
        <v>145.0</v>
      </c>
      <c r="E3317" s="2">
        <v>1.0</v>
      </c>
      <c r="F3317" s="2">
        <v>125.0</v>
      </c>
      <c r="G3317" s="2">
        <v>110400.0</v>
      </c>
    </row>
    <row r="3318" ht="14.25" customHeight="1">
      <c r="A3318" s="2">
        <v>3317.0</v>
      </c>
      <c r="B3318" s="2" t="s">
        <v>2497</v>
      </c>
      <c r="C3318" s="2" t="s">
        <v>5806</v>
      </c>
      <c r="D3318" s="2">
        <v>151.0</v>
      </c>
      <c r="E3318" s="2">
        <v>1.0</v>
      </c>
      <c r="F3318" s="2">
        <v>50.0</v>
      </c>
      <c r="G3318" s="2">
        <v>110400.0</v>
      </c>
    </row>
    <row r="3319" ht="14.25" customHeight="1">
      <c r="A3319" s="2">
        <v>3318.0</v>
      </c>
      <c r="B3319" s="2" t="s">
        <v>2497</v>
      </c>
      <c r="C3319" s="2" t="s">
        <v>5807</v>
      </c>
      <c r="D3319" s="2">
        <v>151.0</v>
      </c>
      <c r="E3319" s="2">
        <v>1.0</v>
      </c>
      <c r="F3319" s="2">
        <v>60.0</v>
      </c>
      <c r="G3319" s="2">
        <v>110400.0</v>
      </c>
    </row>
    <row r="3320" ht="14.25" customHeight="1">
      <c r="A3320" s="2">
        <v>3319.0</v>
      </c>
      <c r="B3320" s="2" t="s">
        <v>2512</v>
      </c>
      <c r="C3320" s="2" t="s">
        <v>5808</v>
      </c>
      <c r="D3320" s="2">
        <v>153.0</v>
      </c>
      <c r="E3320" s="2">
        <v>1.0</v>
      </c>
      <c r="F3320" s="2">
        <v>75.0</v>
      </c>
      <c r="G3320" s="2">
        <v>110400.0</v>
      </c>
    </row>
    <row r="3321" ht="14.25" customHeight="1">
      <c r="A3321" s="2">
        <v>3320.0</v>
      </c>
      <c r="B3321" s="2" t="s">
        <v>2541</v>
      </c>
      <c r="C3321" s="2" t="s">
        <v>5809</v>
      </c>
      <c r="D3321" s="2">
        <v>195.0</v>
      </c>
      <c r="E3321" s="2">
        <v>1.0</v>
      </c>
      <c r="F3321" s="2">
        <v>80.0</v>
      </c>
      <c r="G3321" s="2">
        <v>110400.0</v>
      </c>
    </row>
    <row r="3322" ht="14.25" customHeight="1">
      <c r="A3322" s="2">
        <v>3321.0</v>
      </c>
      <c r="B3322" s="2" t="s">
        <v>2541</v>
      </c>
      <c r="C3322" s="2" t="s">
        <v>5810</v>
      </c>
      <c r="D3322" s="2">
        <v>195.0</v>
      </c>
      <c r="E3322" s="2">
        <v>1.0</v>
      </c>
      <c r="F3322" s="2">
        <v>75.0</v>
      </c>
      <c r="G3322" s="2">
        <v>110400.0</v>
      </c>
    </row>
    <row r="3323" ht="14.25" customHeight="1">
      <c r="A3323" s="2">
        <v>3322.0</v>
      </c>
      <c r="B3323" s="2" t="s">
        <v>2488</v>
      </c>
      <c r="C3323" s="2" t="s">
        <v>5811</v>
      </c>
      <c r="D3323" s="2">
        <v>333.0</v>
      </c>
      <c r="E3323" s="2">
        <v>1.0</v>
      </c>
      <c r="F3323" s="2">
        <v>50.0</v>
      </c>
      <c r="G3323" s="2">
        <v>110400.0</v>
      </c>
    </row>
    <row r="3324" ht="14.25" customHeight="1">
      <c r="A3324" s="2">
        <v>3323.0</v>
      </c>
      <c r="B3324" s="2" t="s">
        <v>2582</v>
      </c>
      <c r="C3324" s="2" t="s">
        <v>5812</v>
      </c>
      <c r="D3324" s="2">
        <v>183.0</v>
      </c>
      <c r="E3324" s="2">
        <v>1.0</v>
      </c>
      <c r="F3324" s="2">
        <v>75.0</v>
      </c>
      <c r="G3324" s="2">
        <v>110300.0</v>
      </c>
    </row>
    <row r="3325" ht="14.25" customHeight="1">
      <c r="A3325" s="2">
        <v>3324.0</v>
      </c>
      <c r="B3325" s="2" t="s">
        <v>2604</v>
      </c>
      <c r="C3325" s="2" t="s">
        <v>5813</v>
      </c>
      <c r="D3325" s="2">
        <v>200.0</v>
      </c>
      <c r="E3325" s="2">
        <v>1.0</v>
      </c>
      <c r="F3325" s="2">
        <v>150.0</v>
      </c>
      <c r="G3325" s="2">
        <v>110300.0</v>
      </c>
    </row>
    <row r="3326" ht="14.25" customHeight="1">
      <c r="A3326" s="2">
        <v>3325.0</v>
      </c>
      <c r="B3326" s="2" t="s">
        <v>2518</v>
      </c>
      <c r="C3326" s="2" t="s">
        <v>3990</v>
      </c>
      <c r="D3326" s="2">
        <v>161.0</v>
      </c>
      <c r="E3326" s="2">
        <v>1.0</v>
      </c>
      <c r="F3326" s="2">
        <v>75.0</v>
      </c>
      <c r="G3326" s="2">
        <v>110200.0</v>
      </c>
    </row>
    <row r="3327" ht="14.25" customHeight="1">
      <c r="A3327" s="2">
        <v>3326.0</v>
      </c>
      <c r="B3327" s="2" t="s">
        <v>2594</v>
      </c>
      <c r="C3327" s="2" t="s">
        <v>5814</v>
      </c>
      <c r="D3327" s="2">
        <v>184.0</v>
      </c>
      <c r="E3327" s="2">
        <v>1.0</v>
      </c>
      <c r="F3327" s="2">
        <v>66.0</v>
      </c>
      <c r="G3327" s="2">
        <v>110200.0</v>
      </c>
    </row>
    <row r="3328" ht="14.25" customHeight="1">
      <c r="A3328" s="2">
        <v>3327.0</v>
      </c>
      <c r="B3328" s="2" t="s">
        <v>2553</v>
      </c>
      <c r="C3328" s="2" t="s">
        <v>5815</v>
      </c>
      <c r="D3328" s="2">
        <v>187.0</v>
      </c>
      <c r="E3328" s="2">
        <v>1.0</v>
      </c>
      <c r="F3328" s="2">
        <v>75.0</v>
      </c>
      <c r="G3328" s="2">
        <v>110200.0</v>
      </c>
    </row>
    <row r="3329" ht="14.25" customHeight="1">
      <c r="A3329" s="2">
        <v>3328.0</v>
      </c>
      <c r="B3329" s="2" t="s">
        <v>2507</v>
      </c>
      <c r="C3329" s="2" t="s">
        <v>5816</v>
      </c>
      <c r="D3329" s="2">
        <v>205.0</v>
      </c>
      <c r="E3329" s="2">
        <v>1.0</v>
      </c>
      <c r="F3329" s="2">
        <v>70.0</v>
      </c>
      <c r="G3329" s="2">
        <v>110200.0</v>
      </c>
    </row>
    <row r="3330" ht="14.25" customHeight="1">
      <c r="A3330" s="2">
        <v>3329.0</v>
      </c>
      <c r="B3330" s="2" t="s">
        <v>2488</v>
      </c>
      <c r="C3330" s="2" t="s">
        <v>5817</v>
      </c>
      <c r="D3330" s="2">
        <v>333.0</v>
      </c>
      <c r="E3330" s="2">
        <v>1.0</v>
      </c>
      <c r="F3330" s="2">
        <v>50.0</v>
      </c>
      <c r="G3330" s="2">
        <v>110100.0</v>
      </c>
    </row>
    <row r="3331" ht="14.25" customHeight="1">
      <c r="A3331" s="2">
        <v>3330.0</v>
      </c>
      <c r="B3331" s="2" t="s">
        <v>2488</v>
      </c>
      <c r="C3331" s="2" t="s">
        <v>5818</v>
      </c>
      <c r="D3331" s="2">
        <v>333.0</v>
      </c>
      <c r="E3331" s="2">
        <v>1.0</v>
      </c>
      <c r="F3331" s="2">
        <v>50.0</v>
      </c>
      <c r="G3331" s="2">
        <v>110100.0</v>
      </c>
    </row>
    <row r="3332" ht="14.25" customHeight="1">
      <c r="A3332" s="2">
        <v>3331.0</v>
      </c>
      <c r="B3332" s="2" t="s">
        <v>2621</v>
      </c>
      <c r="C3332" s="2" t="s">
        <v>5819</v>
      </c>
      <c r="D3332" s="2">
        <v>403.0</v>
      </c>
      <c r="E3332" s="2">
        <v>1.0</v>
      </c>
      <c r="F3332" s="2">
        <v>100.0</v>
      </c>
      <c r="G3332" s="2">
        <v>110100.0</v>
      </c>
    </row>
    <row r="3333" ht="14.25" customHeight="1">
      <c r="A3333" s="2">
        <v>3332.0</v>
      </c>
      <c r="B3333" s="2" t="s">
        <v>2503</v>
      </c>
      <c r="C3333" s="2" t="s">
        <v>5820</v>
      </c>
      <c r="D3333" s="2">
        <v>105.0</v>
      </c>
      <c r="E3333" s="2">
        <v>1.0</v>
      </c>
      <c r="F3333" s="2">
        <v>100.0</v>
      </c>
      <c r="G3333" s="2">
        <v>110000.0</v>
      </c>
    </row>
    <row r="3334" ht="14.25" customHeight="1">
      <c r="A3334" s="2">
        <v>3333.0</v>
      </c>
      <c r="B3334" s="2" t="s">
        <v>2571</v>
      </c>
      <c r="C3334" s="2" t="s">
        <v>5821</v>
      </c>
      <c r="D3334" s="2">
        <v>185.0</v>
      </c>
      <c r="E3334" s="2">
        <v>1.0</v>
      </c>
      <c r="F3334" s="2">
        <v>75.0</v>
      </c>
      <c r="G3334" s="2">
        <v>110000.0</v>
      </c>
    </row>
    <row r="3335" ht="14.25" customHeight="1">
      <c r="A3335" s="2">
        <v>3334.0</v>
      </c>
      <c r="B3335" s="2" t="s">
        <v>2604</v>
      </c>
      <c r="C3335" s="2" t="s">
        <v>5822</v>
      </c>
      <c r="D3335" s="2">
        <v>200.0</v>
      </c>
      <c r="E3335" s="2">
        <v>1.0</v>
      </c>
      <c r="F3335" s="2">
        <v>100.0</v>
      </c>
      <c r="G3335" s="2">
        <v>110000.0</v>
      </c>
    </row>
    <row r="3336" ht="14.25" customHeight="1">
      <c r="A3336" s="2">
        <v>3335.0</v>
      </c>
      <c r="B3336" s="2" t="s">
        <v>2505</v>
      </c>
      <c r="C3336" s="2" t="s">
        <v>5823</v>
      </c>
      <c r="D3336" s="2">
        <v>429.0</v>
      </c>
      <c r="E3336" s="2">
        <v>1.0</v>
      </c>
      <c r="F3336" s="2">
        <v>75.0</v>
      </c>
      <c r="G3336" s="2">
        <v>110000.0</v>
      </c>
    </row>
    <row r="3337" ht="14.25" customHeight="1">
      <c r="A3337" s="2">
        <v>3336.0</v>
      </c>
      <c r="B3337" s="2" t="s">
        <v>2518</v>
      </c>
      <c r="C3337" s="2" t="s">
        <v>5824</v>
      </c>
      <c r="D3337" s="2">
        <v>161.0</v>
      </c>
      <c r="E3337" s="2">
        <v>1.0</v>
      </c>
      <c r="F3337" s="2">
        <v>50.0</v>
      </c>
      <c r="G3337" s="2">
        <v>109900.0</v>
      </c>
    </row>
    <row r="3338" ht="14.25" customHeight="1">
      <c r="A3338" s="2">
        <v>3337.0</v>
      </c>
      <c r="B3338" s="2" t="s">
        <v>2479</v>
      </c>
      <c r="C3338" s="2" t="s">
        <v>5825</v>
      </c>
      <c r="D3338" s="2">
        <v>182.0</v>
      </c>
      <c r="E3338" s="2">
        <v>1.0</v>
      </c>
      <c r="F3338" s="2">
        <v>50.0</v>
      </c>
      <c r="G3338" s="2">
        <v>109900.0</v>
      </c>
    </row>
    <row r="3339" ht="14.25" customHeight="1">
      <c r="A3339" s="2">
        <v>3338.0</v>
      </c>
      <c r="B3339" s="2" t="s">
        <v>2582</v>
      </c>
      <c r="C3339" s="2" t="s">
        <v>5826</v>
      </c>
      <c r="D3339" s="2">
        <v>183.0</v>
      </c>
      <c r="E3339" s="2">
        <v>1.0</v>
      </c>
      <c r="F3339" s="2">
        <v>54.0</v>
      </c>
      <c r="G3339" s="2">
        <v>109900.0</v>
      </c>
    </row>
    <row r="3340" ht="14.25" customHeight="1">
      <c r="A3340" s="2">
        <v>3339.0</v>
      </c>
      <c r="B3340" s="2" t="s">
        <v>2507</v>
      </c>
      <c r="C3340" s="2" t="s">
        <v>5827</v>
      </c>
      <c r="D3340" s="2">
        <v>205.0</v>
      </c>
      <c r="E3340" s="2">
        <v>1.0</v>
      </c>
      <c r="F3340" s="2">
        <v>130.0</v>
      </c>
      <c r="G3340" s="2">
        <v>109900.0</v>
      </c>
    </row>
    <row r="3341" ht="14.25" customHeight="1">
      <c r="A3341" s="2">
        <v>3340.0</v>
      </c>
      <c r="B3341" s="2" t="s">
        <v>2475</v>
      </c>
      <c r="C3341" s="2" t="s">
        <v>5828</v>
      </c>
      <c r="D3341" s="2">
        <v>143.0</v>
      </c>
      <c r="E3341" s="2">
        <v>1.0</v>
      </c>
      <c r="F3341" s="2">
        <v>132.0</v>
      </c>
      <c r="G3341" s="2">
        <v>109800.0</v>
      </c>
    </row>
    <row r="3342" ht="14.25" customHeight="1">
      <c r="A3342" s="2">
        <v>3341.0</v>
      </c>
      <c r="B3342" s="2" t="s">
        <v>2582</v>
      </c>
      <c r="C3342" s="2" t="s">
        <v>5829</v>
      </c>
      <c r="D3342" s="2">
        <v>183.0</v>
      </c>
      <c r="E3342" s="2">
        <v>1.0</v>
      </c>
      <c r="F3342" s="2">
        <v>65.0</v>
      </c>
      <c r="G3342" s="2">
        <v>109800.0</v>
      </c>
    </row>
    <row r="3343" ht="14.25" customHeight="1">
      <c r="A3343" s="2">
        <v>3342.0</v>
      </c>
      <c r="B3343" s="2" t="s">
        <v>2571</v>
      </c>
      <c r="C3343" s="2" t="s">
        <v>5830</v>
      </c>
      <c r="D3343" s="2">
        <v>185.0</v>
      </c>
      <c r="E3343" s="2">
        <v>1.0</v>
      </c>
      <c r="F3343" s="2">
        <v>75.0</v>
      </c>
      <c r="G3343" s="2">
        <v>109800.0</v>
      </c>
    </row>
    <row r="3344" ht="14.25" customHeight="1">
      <c r="A3344" s="2">
        <v>3343.0</v>
      </c>
      <c r="B3344" s="2" t="s">
        <v>2501</v>
      </c>
      <c r="C3344" s="2" t="s">
        <v>5831</v>
      </c>
      <c r="D3344" s="2">
        <v>199.0</v>
      </c>
      <c r="E3344" s="2">
        <v>1.0</v>
      </c>
      <c r="F3344" s="2">
        <v>100.0</v>
      </c>
      <c r="G3344" s="2">
        <v>109800.0</v>
      </c>
    </row>
    <row r="3345" ht="14.25" customHeight="1">
      <c r="A3345" s="2">
        <v>3344.0</v>
      </c>
      <c r="B3345" s="2" t="s">
        <v>2524</v>
      </c>
      <c r="C3345" s="2" t="s">
        <v>5832</v>
      </c>
      <c r="D3345" s="2">
        <v>331.0</v>
      </c>
      <c r="E3345" s="2">
        <v>1.0</v>
      </c>
      <c r="F3345" s="2">
        <v>90.0</v>
      </c>
      <c r="G3345" s="2">
        <v>109800.0</v>
      </c>
    </row>
    <row r="3346" ht="14.25" customHeight="1">
      <c r="A3346" s="2">
        <v>3345.0</v>
      </c>
      <c r="B3346" s="2" t="s">
        <v>2636</v>
      </c>
      <c r="C3346" s="2" t="s">
        <v>5833</v>
      </c>
      <c r="D3346" s="2">
        <v>145.0</v>
      </c>
      <c r="E3346" s="2">
        <v>1.0</v>
      </c>
      <c r="F3346" s="2">
        <v>125.0</v>
      </c>
      <c r="G3346" s="2">
        <v>109700.0</v>
      </c>
    </row>
    <row r="3347" ht="14.25" customHeight="1">
      <c r="A3347" s="2">
        <v>3346.0</v>
      </c>
      <c r="B3347" s="2" t="s">
        <v>2479</v>
      </c>
      <c r="C3347" s="2" t="s">
        <v>5834</v>
      </c>
      <c r="D3347" s="2">
        <v>182.0</v>
      </c>
      <c r="E3347" s="2">
        <v>1.0</v>
      </c>
      <c r="F3347" s="2">
        <v>100.0</v>
      </c>
      <c r="G3347" s="2">
        <v>109700.0</v>
      </c>
    </row>
    <row r="3348" ht="14.25" customHeight="1">
      <c r="A3348" s="2">
        <v>3347.0</v>
      </c>
      <c r="B3348" s="2" t="s">
        <v>2582</v>
      </c>
      <c r="C3348" s="2" t="s">
        <v>5835</v>
      </c>
      <c r="D3348" s="2">
        <v>183.0</v>
      </c>
      <c r="E3348" s="2">
        <v>1.0</v>
      </c>
      <c r="F3348" s="2">
        <v>200.0</v>
      </c>
      <c r="G3348" s="2">
        <v>109700.0</v>
      </c>
    </row>
    <row r="3349" ht="14.25" customHeight="1">
      <c r="A3349" s="2">
        <v>3348.0</v>
      </c>
      <c r="B3349" s="2" t="s">
        <v>2571</v>
      </c>
      <c r="C3349" s="2" t="s">
        <v>5836</v>
      </c>
      <c r="D3349" s="2">
        <v>185.0</v>
      </c>
      <c r="E3349" s="2">
        <v>1.0</v>
      </c>
      <c r="F3349" s="2">
        <v>100.0</v>
      </c>
      <c r="G3349" s="2">
        <v>109700.0</v>
      </c>
    </row>
    <row r="3350" ht="14.25" customHeight="1">
      <c r="A3350" s="2">
        <v>3349.0</v>
      </c>
      <c r="B3350" s="2" t="s">
        <v>2571</v>
      </c>
      <c r="C3350" s="2" t="s">
        <v>5837</v>
      </c>
      <c r="D3350" s="2">
        <v>185.0</v>
      </c>
      <c r="E3350" s="2">
        <v>1.0</v>
      </c>
      <c r="F3350" s="2">
        <v>100.0</v>
      </c>
      <c r="G3350" s="2">
        <v>109700.0</v>
      </c>
    </row>
    <row r="3351" ht="14.25" customHeight="1">
      <c r="A3351" s="2">
        <v>3350.0</v>
      </c>
      <c r="B3351" s="2" t="s">
        <v>2636</v>
      </c>
      <c r="C3351" s="2" t="s">
        <v>5838</v>
      </c>
      <c r="D3351" s="2">
        <v>145.0</v>
      </c>
      <c r="E3351" s="2">
        <v>1.0</v>
      </c>
      <c r="F3351" s="2">
        <v>100.0</v>
      </c>
      <c r="G3351" s="2">
        <v>109600.0</v>
      </c>
    </row>
    <row r="3352" ht="14.25" customHeight="1">
      <c r="A3352" s="2">
        <v>3351.0</v>
      </c>
      <c r="B3352" s="2" t="s">
        <v>2541</v>
      </c>
      <c r="C3352" s="2" t="s">
        <v>5839</v>
      </c>
      <c r="D3352" s="2">
        <v>195.0</v>
      </c>
      <c r="E3352" s="2">
        <v>1.0</v>
      </c>
      <c r="F3352" s="2">
        <v>100.0</v>
      </c>
      <c r="G3352" s="2">
        <v>109600.0</v>
      </c>
    </row>
    <row r="3353" ht="14.25" customHeight="1">
      <c r="A3353" s="2">
        <v>3352.0</v>
      </c>
      <c r="B3353" s="2" t="s">
        <v>2604</v>
      </c>
      <c r="C3353" s="2" t="s">
        <v>5840</v>
      </c>
      <c r="D3353" s="2">
        <v>200.0</v>
      </c>
      <c r="E3353" s="2">
        <v>1.0</v>
      </c>
      <c r="F3353" s="2">
        <v>150.0</v>
      </c>
      <c r="G3353" s="2">
        <v>109600.0</v>
      </c>
    </row>
    <row r="3354" ht="14.25" customHeight="1">
      <c r="A3354" s="2">
        <v>3353.0</v>
      </c>
      <c r="B3354" s="2" t="s">
        <v>2505</v>
      </c>
      <c r="C3354" s="2" t="s">
        <v>5841</v>
      </c>
      <c r="D3354" s="2">
        <v>429.0</v>
      </c>
      <c r="E3354" s="2">
        <v>1.0</v>
      </c>
      <c r="F3354" s="2">
        <v>100.0</v>
      </c>
      <c r="G3354" s="2">
        <v>109600.0</v>
      </c>
    </row>
    <row r="3355" ht="14.25" customHeight="1">
      <c r="A3355" s="2">
        <v>3354.0</v>
      </c>
      <c r="B3355" s="2" t="s">
        <v>2686</v>
      </c>
      <c r="C3355" s="2" t="s">
        <v>5842</v>
      </c>
      <c r="D3355" s="2">
        <v>127.0</v>
      </c>
      <c r="E3355" s="2">
        <v>1.0</v>
      </c>
      <c r="F3355" s="2">
        <v>120.0</v>
      </c>
      <c r="G3355" s="2">
        <v>109500.0</v>
      </c>
    </row>
    <row r="3356" ht="14.25" customHeight="1">
      <c r="A3356" s="2">
        <v>3355.0</v>
      </c>
      <c r="B3356" s="2" t="s">
        <v>2561</v>
      </c>
      <c r="C3356" s="2" t="s">
        <v>5843</v>
      </c>
      <c r="D3356" s="2">
        <v>162.0</v>
      </c>
      <c r="E3356" s="2">
        <v>1.0</v>
      </c>
      <c r="F3356" s="2">
        <v>100.0</v>
      </c>
      <c r="G3356" s="2">
        <v>109500.0</v>
      </c>
    </row>
    <row r="3357" ht="14.25" customHeight="1">
      <c r="A3357" s="2">
        <v>3356.0</v>
      </c>
      <c r="B3357" s="2" t="s">
        <v>2594</v>
      </c>
      <c r="C3357" s="2" t="s">
        <v>5844</v>
      </c>
      <c r="D3357" s="2">
        <v>184.0</v>
      </c>
      <c r="E3357" s="2">
        <v>1.0</v>
      </c>
      <c r="F3357" s="2">
        <v>50.0</v>
      </c>
      <c r="G3357" s="2">
        <v>109500.0</v>
      </c>
    </row>
    <row r="3358" ht="14.25" customHeight="1">
      <c r="A3358" s="2">
        <v>3357.0</v>
      </c>
      <c r="B3358" s="2" t="s">
        <v>2534</v>
      </c>
      <c r="C3358" s="2" t="s">
        <v>5845</v>
      </c>
      <c r="D3358" s="2">
        <v>188.0</v>
      </c>
      <c r="E3358" s="2">
        <v>1.0</v>
      </c>
      <c r="F3358" s="2">
        <v>75.0</v>
      </c>
      <c r="G3358" s="2">
        <v>109500.0</v>
      </c>
    </row>
    <row r="3359" ht="14.25" customHeight="1">
      <c r="A3359" s="2">
        <v>3358.0</v>
      </c>
      <c r="B3359" s="2" t="s">
        <v>2507</v>
      </c>
      <c r="C3359" s="2" t="s">
        <v>5846</v>
      </c>
      <c r="D3359" s="2">
        <v>205.0</v>
      </c>
      <c r="E3359" s="2">
        <v>1.0</v>
      </c>
      <c r="F3359" s="2">
        <v>100.0</v>
      </c>
      <c r="G3359" s="2">
        <v>109500.0</v>
      </c>
    </row>
    <row r="3360" ht="14.25" customHeight="1">
      <c r="A3360" s="2">
        <v>3359.0</v>
      </c>
      <c r="B3360" s="2" t="s">
        <v>2507</v>
      </c>
      <c r="C3360" s="2" t="s">
        <v>5847</v>
      </c>
      <c r="D3360" s="2">
        <v>205.0</v>
      </c>
      <c r="E3360" s="2">
        <v>1.0</v>
      </c>
      <c r="F3360" s="2">
        <v>80.0</v>
      </c>
      <c r="G3360" s="2">
        <v>109500.0</v>
      </c>
    </row>
    <row r="3361" ht="14.25" customHeight="1">
      <c r="A3361" s="2">
        <v>3360.0</v>
      </c>
      <c r="B3361" s="2" t="s">
        <v>2636</v>
      </c>
      <c r="C3361" s="2" t="s">
        <v>5848</v>
      </c>
      <c r="D3361" s="2">
        <v>145.0</v>
      </c>
      <c r="E3361" s="2">
        <v>1.0</v>
      </c>
      <c r="F3361" s="2">
        <v>100.0</v>
      </c>
      <c r="G3361" s="2">
        <v>109400.0</v>
      </c>
    </row>
    <row r="3362" ht="14.25" customHeight="1">
      <c r="A3362" s="2">
        <v>3361.0</v>
      </c>
      <c r="B3362" s="2" t="s">
        <v>2582</v>
      </c>
      <c r="C3362" s="2" t="s">
        <v>5849</v>
      </c>
      <c r="D3362" s="2">
        <v>183.0</v>
      </c>
      <c r="E3362" s="2">
        <v>1.0</v>
      </c>
      <c r="F3362" s="2">
        <v>50.0</v>
      </c>
      <c r="G3362" s="2">
        <v>109400.0</v>
      </c>
    </row>
    <row r="3363" ht="14.25" customHeight="1">
      <c r="A3363" s="2">
        <v>3362.0</v>
      </c>
      <c r="B3363" s="2" t="s">
        <v>2507</v>
      </c>
      <c r="C3363" s="2" t="s">
        <v>5850</v>
      </c>
      <c r="D3363" s="2">
        <v>205.0</v>
      </c>
      <c r="E3363" s="2">
        <v>1.0</v>
      </c>
      <c r="F3363" s="2">
        <v>100.0</v>
      </c>
      <c r="G3363" s="2">
        <v>109400.0</v>
      </c>
    </row>
    <row r="3364" ht="14.25" customHeight="1">
      <c r="A3364" s="2">
        <v>3363.0</v>
      </c>
      <c r="B3364" s="2" t="s">
        <v>2503</v>
      </c>
      <c r="C3364" s="2" t="s">
        <v>5851</v>
      </c>
      <c r="D3364" s="2">
        <v>105.0</v>
      </c>
      <c r="E3364" s="2">
        <v>1.0</v>
      </c>
      <c r="F3364" s="2">
        <v>150.0</v>
      </c>
      <c r="G3364" s="2">
        <v>109300.0</v>
      </c>
    </row>
    <row r="3365" ht="14.25" customHeight="1">
      <c r="A3365" s="2">
        <v>3364.0</v>
      </c>
      <c r="B3365" s="2" t="s">
        <v>2636</v>
      </c>
      <c r="C3365" s="2" t="s">
        <v>5852</v>
      </c>
      <c r="D3365" s="2">
        <v>145.0</v>
      </c>
      <c r="E3365" s="2">
        <v>1.0</v>
      </c>
      <c r="F3365" s="2">
        <v>75.0</v>
      </c>
      <c r="G3365" s="2">
        <v>109300.0</v>
      </c>
    </row>
    <row r="3366" ht="14.25" customHeight="1">
      <c r="A3366" s="2">
        <v>3365.0</v>
      </c>
      <c r="B3366" s="2" t="s">
        <v>2561</v>
      </c>
      <c r="C3366" s="2" t="s">
        <v>5853</v>
      </c>
      <c r="D3366" s="2">
        <v>162.0</v>
      </c>
      <c r="E3366" s="2">
        <v>1.0</v>
      </c>
      <c r="F3366" s="2">
        <v>100.0</v>
      </c>
      <c r="G3366" s="2">
        <v>109300.0</v>
      </c>
    </row>
    <row r="3367" ht="14.25" customHeight="1">
      <c r="A3367" s="2">
        <v>3366.0</v>
      </c>
      <c r="B3367" s="2" t="s">
        <v>2479</v>
      </c>
      <c r="C3367" s="2" t="s">
        <v>5854</v>
      </c>
      <c r="D3367" s="2">
        <v>182.0</v>
      </c>
      <c r="E3367" s="2">
        <v>1.0</v>
      </c>
      <c r="F3367" s="2">
        <v>50.0</v>
      </c>
      <c r="G3367" s="2">
        <v>109300.0</v>
      </c>
    </row>
    <row r="3368" ht="14.25" customHeight="1">
      <c r="A3368" s="2">
        <v>3367.0</v>
      </c>
      <c r="B3368" s="2" t="s">
        <v>2582</v>
      </c>
      <c r="C3368" s="2" t="s">
        <v>5855</v>
      </c>
      <c r="D3368" s="2">
        <v>183.0</v>
      </c>
      <c r="E3368" s="2">
        <v>1.0</v>
      </c>
      <c r="F3368" s="2">
        <v>60.0</v>
      </c>
      <c r="G3368" s="2">
        <v>109300.0</v>
      </c>
    </row>
    <row r="3369" ht="14.25" customHeight="1">
      <c r="A3369" s="2">
        <v>3368.0</v>
      </c>
      <c r="B3369" s="2" t="s">
        <v>2524</v>
      </c>
      <c r="C3369" s="2" t="s">
        <v>5856</v>
      </c>
      <c r="D3369" s="2">
        <v>331.0</v>
      </c>
      <c r="E3369" s="2">
        <v>1.0</v>
      </c>
      <c r="F3369" s="2">
        <v>50.0</v>
      </c>
      <c r="G3369" s="2">
        <v>109300.0</v>
      </c>
    </row>
    <row r="3370" ht="14.25" customHeight="1">
      <c r="A3370" s="2">
        <v>3369.0</v>
      </c>
      <c r="B3370" s="2" t="s">
        <v>2488</v>
      </c>
      <c r="C3370" s="2" t="s">
        <v>5857</v>
      </c>
      <c r="D3370" s="2">
        <v>333.0</v>
      </c>
      <c r="E3370" s="2">
        <v>1.0</v>
      </c>
      <c r="F3370" s="2">
        <v>50.0</v>
      </c>
      <c r="G3370" s="2">
        <v>109300.0</v>
      </c>
    </row>
    <row r="3371" ht="14.25" customHeight="1">
      <c r="A3371" s="2">
        <v>3370.0</v>
      </c>
      <c r="B3371" s="2" t="s">
        <v>2497</v>
      </c>
      <c r="C3371" s="2" t="s">
        <v>5858</v>
      </c>
      <c r="D3371" s="2">
        <v>151.0</v>
      </c>
      <c r="E3371" s="2">
        <v>1.0</v>
      </c>
      <c r="F3371" s="2">
        <v>66.0</v>
      </c>
      <c r="G3371" s="2">
        <v>109200.0</v>
      </c>
    </row>
    <row r="3372" ht="14.25" customHeight="1">
      <c r="A3372" s="2">
        <v>3371.0</v>
      </c>
      <c r="B3372" s="2" t="s">
        <v>2582</v>
      </c>
      <c r="C3372" s="2" t="s">
        <v>5859</v>
      </c>
      <c r="D3372" s="2">
        <v>183.0</v>
      </c>
      <c r="E3372" s="2">
        <v>1.0</v>
      </c>
      <c r="F3372" s="2">
        <v>50.0</v>
      </c>
      <c r="G3372" s="2">
        <v>109200.0</v>
      </c>
    </row>
    <row r="3373" ht="14.25" customHeight="1">
      <c r="A3373" s="2">
        <v>3372.0</v>
      </c>
      <c r="B3373" s="2" t="s">
        <v>2488</v>
      </c>
      <c r="C3373" s="2" t="s">
        <v>5860</v>
      </c>
      <c r="D3373" s="2">
        <v>333.0</v>
      </c>
      <c r="E3373" s="2">
        <v>1.0</v>
      </c>
      <c r="F3373" s="2">
        <v>50.0</v>
      </c>
      <c r="G3373" s="2">
        <v>109200.0</v>
      </c>
    </row>
    <row r="3374" ht="14.25" customHeight="1">
      <c r="A3374" s="2">
        <v>3373.0</v>
      </c>
      <c r="B3374" s="2" t="s">
        <v>2686</v>
      </c>
      <c r="C3374" s="2" t="s">
        <v>5861</v>
      </c>
      <c r="D3374" s="2">
        <v>127.0</v>
      </c>
      <c r="E3374" s="2">
        <v>1.0</v>
      </c>
      <c r="F3374" s="2">
        <v>60.0</v>
      </c>
      <c r="G3374" s="2">
        <v>109100.0</v>
      </c>
    </row>
    <row r="3375" ht="14.25" customHeight="1">
      <c r="A3375" s="2">
        <v>3374.0</v>
      </c>
      <c r="B3375" s="2" t="s">
        <v>2636</v>
      </c>
      <c r="C3375" s="2" t="s">
        <v>5862</v>
      </c>
      <c r="D3375" s="2">
        <v>145.0</v>
      </c>
      <c r="E3375" s="2">
        <v>1.0</v>
      </c>
      <c r="F3375" s="2">
        <v>86.0</v>
      </c>
      <c r="G3375" s="2">
        <v>109100.0</v>
      </c>
    </row>
    <row r="3376" ht="14.25" customHeight="1">
      <c r="A3376" s="2">
        <v>3375.0</v>
      </c>
      <c r="B3376" s="2" t="s">
        <v>2512</v>
      </c>
      <c r="C3376" s="2" t="s">
        <v>5863</v>
      </c>
      <c r="D3376" s="2">
        <v>153.0</v>
      </c>
      <c r="E3376" s="2">
        <v>1.0</v>
      </c>
      <c r="F3376" s="2">
        <v>54.0</v>
      </c>
      <c r="G3376" s="2">
        <v>109100.0</v>
      </c>
    </row>
    <row r="3377" ht="14.25" customHeight="1">
      <c r="A3377" s="2">
        <v>3376.0</v>
      </c>
      <c r="B3377" s="2" t="s">
        <v>2582</v>
      </c>
      <c r="C3377" s="2" t="s">
        <v>5864</v>
      </c>
      <c r="D3377" s="2">
        <v>183.0</v>
      </c>
      <c r="E3377" s="2">
        <v>1.0</v>
      </c>
      <c r="F3377" s="2">
        <v>60.0</v>
      </c>
      <c r="G3377" s="2">
        <v>109100.0</v>
      </c>
    </row>
    <row r="3378" ht="14.25" customHeight="1">
      <c r="A3378" s="2">
        <v>3377.0</v>
      </c>
      <c r="B3378" s="2" t="s">
        <v>2501</v>
      </c>
      <c r="C3378" s="2" t="s">
        <v>5865</v>
      </c>
      <c r="D3378" s="2">
        <v>199.0</v>
      </c>
      <c r="E3378" s="2">
        <v>1.0</v>
      </c>
      <c r="F3378" s="2">
        <v>50.0</v>
      </c>
      <c r="G3378" s="2">
        <v>109100.0</v>
      </c>
    </row>
    <row r="3379" ht="14.25" customHeight="1">
      <c r="A3379" s="2">
        <v>3378.0</v>
      </c>
      <c r="B3379" s="2" t="s">
        <v>2501</v>
      </c>
      <c r="C3379" s="2" t="s">
        <v>5866</v>
      </c>
      <c r="D3379" s="2">
        <v>199.0</v>
      </c>
      <c r="E3379" s="2">
        <v>1.0</v>
      </c>
      <c r="F3379" s="2">
        <v>66.0</v>
      </c>
      <c r="G3379" s="2">
        <v>109100.0</v>
      </c>
    </row>
    <row r="3380" ht="14.25" customHeight="1">
      <c r="A3380" s="2">
        <v>3379.0</v>
      </c>
      <c r="B3380" s="2" t="s">
        <v>2621</v>
      </c>
      <c r="C3380" s="2" t="s">
        <v>5867</v>
      </c>
      <c r="D3380" s="2">
        <v>403.0</v>
      </c>
      <c r="E3380" s="2">
        <v>1.0</v>
      </c>
      <c r="F3380" s="2">
        <v>62.5</v>
      </c>
      <c r="G3380" s="2">
        <v>109100.0</v>
      </c>
    </row>
    <row r="3381" ht="14.25" customHeight="1">
      <c r="A3381" s="2">
        <v>3380.0</v>
      </c>
      <c r="B3381" s="2" t="s">
        <v>2512</v>
      </c>
      <c r="C3381" s="2" t="s">
        <v>5868</v>
      </c>
      <c r="D3381" s="2">
        <v>153.0</v>
      </c>
      <c r="E3381" s="2">
        <v>1.0</v>
      </c>
      <c r="F3381" s="2">
        <v>50.0</v>
      </c>
      <c r="G3381" s="2">
        <v>109000.0</v>
      </c>
    </row>
    <row r="3382" ht="14.25" customHeight="1">
      <c r="A3382" s="2">
        <v>3381.0</v>
      </c>
      <c r="B3382" s="2" t="s">
        <v>2561</v>
      </c>
      <c r="C3382" s="2" t="s">
        <v>5869</v>
      </c>
      <c r="D3382" s="2">
        <v>162.0</v>
      </c>
      <c r="E3382" s="2">
        <v>1.0</v>
      </c>
      <c r="F3382" s="2">
        <v>50.0</v>
      </c>
      <c r="G3382" s="2">
        <v>109000.0</v>
      </c>
    </row>
    <row r="3383" ht="14.25" customHeight="1">
      <c r="A3383" s="2">
        <v>3382.0</v>
      </c>
      <c r="B3383" s="2" t="s">
        <v>2651</v>
      </c>
      <c r="C3383" s="2" t="s">
        <v>5870</v>
      </c>
      <c r="D3383" s="2">
        <v>347.0</v>
      </c>
      <c r="E3383" s="2">
        <v>1.0</v>
      </c>
      <c r="F3383" s="2">
        <v>55.0</v>
      </c>
      <c r="G3383" s="2">
        <v>109000.0</v>
      </c>
    </row>
    <row r="3384" ht="14.25" customHeight="1">
      <c r="A3384" s="2">
        <v>3383.0</v>
      </c>
      <c r="B3384" s="2" t="s">
        <v>2501</v>
      </c>
      <c r="C3384" s="2" t="s">
        <v>5871</v>
      </c>
      <c r="D3384" s="2">
        <v>199.0</v>
      </c>
      <c r="E3384" s="2">
        <v>1.0</v>
      </c>
      <c r="F3384" s="2">
        <v>75.0</v>
      </c>
      <c r="G3384" s="2">
        <v>108900.0</v>
      </c>
    </row>
    <row r="3385" ht="14.25" customHeight="1">
      <c r="A3385" s="2">
        <v>3384.0</v>
      </c>
      <c r="B3385" s="2" t="s">
        <v>2505</v>
      </c>
      <c r="C3385" s="2" t="s">
        <v>5872</v>
      </c>
      <c r="D3385" s="2">
        <v>429.0</v>
      </c>
      <c r="E3385" s="2">
        <v>1.0</v>
      </c>
      <c r="F3385" s="2">
        <v>80.0</v>
      </c>
      <c r="G3385" s="2">
        <v>108900.0</v>
      </c>
    </row>
    <row r="3386" ht="14.25" customHeight="1">
      <c r="A3386" s="2">
        <v>3385.0</v>
      </c>
      <c r="B3386" s="2" t="s">
        <v>2636</v>
      </c>
      <c r="C3386" s="2" t="s">
        <v>5873</v>
      </c>
      <c r="D3386" s="2">
        <v>145.0</v>
      </c>
      <c r="E3386" s="2">
        <v>1.0</v>
      </c>
      <c r="F3386" s="2">
        <v>75.0</v>
      </c>
      <c r="G3386" s="2">
        <v>108800.0</v>
      </c>
    </row>
    <row r="3387" ht="14.25" customHeight="1">
      <c r="A3387" s="2">
        <v>3386.0</v>
      </c>
      <c r="B3387" s="2" t="s">
        <v>2518</v>
      </c>
      <c r="C3387" s="2" t="s">
        <v>5874</v>
      </c>
      <c r="D3387" s="2">
        <v>161.0</v>
      </c>
      <c r="E3387" s="2">
        <v>1.0</v>
      </c>
      <c r="F3387" s="2">
        <v>50.0</v>
      </c>
      <c r="G3387" s="2">
        <v>108800.0</v>
      </c>
    </row>
    <row r="3388" ht="14.25" customHeight="1">
      <c r="A3388" s="2">
        <v>3387.0</v>
      </c>
      <c r="B3388" s="2" t="s">
        <v>2505</v>
      </c>
      <c r="C3388" s="2" t="s">
        <v>5875</v>
      </c>
      <c r="D3388" s="2">
        <v>429.0</v>
      </c>
      <c r="E3388" s="2">
        <v>1.0</v>
      </c>
      <c r="F3388" s="2">
        <v>100.0</v>
      </c>
      <c r="G3388" s="2">
        <v>108800.0</v>
      </c>
    </row>
    <row r="3389" ht="14.25" customHeight="1">
      <c r="A3389" s="2">
        <v>3388.0</v>
      </c>
      <c r="B3389" s="2" t="s">
        <v>2604</v>
      </c>
      <c r="C3389" s="2" t="s">
        <v>5876</v>
      </c>
      <c r="D3389" s="2">
        <v>200.0</v>
      </c>
      <c r="E3389" s="2">
        <v>1.0</v>
      </c>
      <c r="F3389" s="2">
        <v>80.0</v>
      </c>
      <c r="G3389" s="2">
        <v>108700.0</v>
      </c>
    </row>
    <row r="3390" ht="14.25" customHeight="1">
      <c r="A3390" s="2">
        <v>3389.0</v>
      </c>
      <c r="B3390" s="2" t="s">
        <v>2594</v>
      </c>
      <c r="C3390" s="2" t="s">
        <v>5877</v>
      </c>
      <c r="D3390" s="2">
        <v>184.0</v>
      </c>
      <c r="E3390" s="2">
        <v>1.0</v>
      </c>
      <c r="F3390" s="2">
        <v>50.0</v>
      </c>
      <c r="G3390" s="2">
        <v>108600.0</v>
      </c>
    </row>
    <row r="3391" ht="14.25" customHeight="1">
      <c r="A3391" s="2">
        <v>3390.0</v>
      </c>
      <c r="B3391" s="2" t="s">
        <v>2571</v>
      </c>
      <c r="C3391" s="2" t="s">
        <v>5878</v>
      </c>
      <c r="D3391" s="2">
        <v>185.0</v>
      </c>
      <c r="E3391" s="2">
        <v>1.0</v>
      </c>
      <c r="F3391" s="2">
        <v>80.0</v>
      </c>
      <c r="G3391" s="2">
        <v>108600.0</v>
      </c>
    </row>
    <row r="3392" ht="14.25" customHeight="1">
      <c r="A3392" s="2">
        <v>3391.0</v>
      </c>
      <c r="B3392" s="2" t="s">
        <v>2553</v>
      </c>
      <c r="C3392" s="2" t="s">
        <v>5879</v>
      </c>
      <c r="D3392" s="2">
        <v>187.0</v>
      </c>
      <c r="E3392" s="2">
        <v>1.0</v>
      </c>
      <c r="F3392" s="2">
        <v>100.0</v>
      </c>
      <c r="G3392" s="2">
        <v>108600.0</v>
      </c>
    </row>
    <row r="3393" ht="14.25" customHeight="1">
      <c r="A3393" s="2">
        <v>3392.0</v>
      </c>
      <c r="B3393" s="2" t="s">
        <v>2501</v>
      </c>
      <c r="C3393" s="2" t="s">
        <v>5880</v>
      </c>
      <c r="D3393" s="2">
        <v>199.0</v>
      </c>
      <c r="E3393" s="2">
        <v>1.0</v>
      </c>
      <c r="F3393" s="2">
        <v>100.0</v>
      </c>
      <c r="G3393" s="2">
        <v>108600.0</v>
      </c>
    </row>
    <row r="3394" ht="14.25" customHeight="1">
      <c r="A3394" s="2">
        <v>3393.0</v>
      </c>
      <c r="B3394" s="2" t="s">
        <v>2524</v>
      </c>
      <c r="C3394" s="2" t="s">
        <v>5881</v>
      </c>
      <c r="D3394" s="2">
        <v>331.0</v>
      </c>
      <c r="E3394" s="2">
        <v>1.0</v>
      </c>
      <c r="F3394" s="2">
        <v>156.0</v>
      </c>
      <c r="G3394" s="2">
        <v>108600.0</v>
      </c>
    </row>
    <row r="3395" ht="14.25" customHeight="1">
      <c r="A3395" s="2">
        <v>3394.0</v>
      </c>
      <c r="B3395" s="2" t="s">
        <v>2512</v>
      </c>
      <c r="C3395" s="2" t="s">
        <v>5882</v>
      </c>
      <c r="D3395" s="2">
        <v>153.0</v>
      </c>
      <c r="E3395" s="2">
        <v>1.0</v>
      </c>
      <c r="F3395" s="2">
        <v>75.0</v>
      </c>
      <c r="G3395" s="2">
        <v>108500.0</v>
      </c>
    </row>
    <row r="3396" ht="14.25" customHeight="1">
      <c r="A3396" s="2">
        <v>3395.0</v>
      </c>
      <c r="B3396" s="2" t="s">
        <v>2518</v>
      </c>
      <c r="C3396" s="2" t="s">
        <v>5883</v>
      </c>
      <c r="D3396" s="2">
        <v>161.0</v>
      </c>
      <c r="E3396" s="2">
        <v>1.0</v>
      </c>
      <c r="F3396" s="2">
        <v>150.0</v>
      </c>
      <c r="G3396" s="2">
        <v>108500.0</v>
      </c>
    </row>
    <row r="3397" ht="14.25" customHeight="1">
      <c r="A3397" s="2">
        <v>3396.0</v>
      </c>
      <c r="B3397" s="2" t="s">
        <v>2594</v>
      </c>
      <c r="C3397" s="2" t="s">
        <v>5884</v>
      </c>
      <c r="D3397" s="2">
        <v>184.0</v>
      </c>
      <c r="E3397" s="2">
        <v>1.0</v>
      </c>
      <c r="F3397" s="2">
        <v>55.0</v>
      </c>
      <c r="G3397" s="2">
        <v>108500.0</v>
      </c>
    </row>
    <row r="3398" ht="14.25" customHeight="1">
      <c r="A3398" s="2">
        <v>3397.0</v>
      </c>
      <c r="B3398" s="2" t="s">
        <v>2501</v>
      </c>
      <c r="C3398" s="2" t="s">
        <v>5885</v>
      </c>
      <c r="D3398" s="2">
        <v>199.0</v>
      </c>
      <c r="E3398" s="2">
        <v>1.0</v>
      </c>
      <c r="F3398" s="2">
        <v>100.0</v>
      </c>
      <c r="G3398" s="2">
        <v>108500.0</v>
      </c>
    </row>
    <row r="3399" ht="14.25" customHeight="1">
      <c r="A3399" s="2">
        <v>3398.0</v>
      </c>
      <c r="B3399" s="2" t="s">
        <v>2512</v>
      </c>
      <c r="C3399" s="2" t="s">
        <v>5886</v>
      </c>
      <c r="D3399" s="2">
        <v>153.0</v>
      </c>
      <c r="E3399" s="2">
        <v>1.0</v>
      </c>
      <c r="F3399" s="2">
        <v>50.0</v>
      </c>
      <c r="G3399" s="2">
        <v>108400.0</v>
      </c>
    </row>
    <row r="3400" ht="14.25" customHeight="1">
      <c r="A3400" s="2">
        <v>3399.0</v>
      </c>
      <c r="B3400" s="2" t="s">
        <v>2571</v>
      </c>
      <c r="C3400" s="2" t="s">
        <v>5887</v>
      </c>
      <c r="D3400" s="2">
        <v>185.0</v>
      </c>
      <c r="E3400" s="2">
        <v>1.0</v>
      </c>
      <c r="F3400" s="2">
        <v>65.0</v>
      </c>
      <c r="G3400" s="2">
        <v>108400.0</v>
      </c>
    </row>
    <row r="3401" ht="14.25" customHeight="1">
      <c r="A3401" s="2">
        <v>3400.0</v>
      </c>
      <c r="B3401" s="2" t="s">
        <v>2621</v>
      </c>
      <c r="C3401" s="2" t="s">
        <v>5888</v>
      </c>
      <c r="D3401" s="2">
        <v>403.0</v>
      </c>
      <c r="E3401" s="2">
        <v>1.0</v>
      </c>
      <c r="F3401" s="2">
        <v>132.0</v>
      </c>
      <c r="G3401" s="2">
        <v>108400.0</v>
      </c>
    </row>
    <row r="3402" ht="14.25" customHeight="1">
      <c r="A3402" s="2">
        <v>3401.0</v>
      </c>
      <c r="B3402" s="2" t="s">
        <v>2582</v>
      </c>
      <c r="C3402" s="2" t="s">
        <v>5889</v>
      </c>
      <c r="D3402" s="2">
        <v>183.0</v>
      </c>
      <c r="E3402" s="2">
        <v>1.0</v>
      </c>
      <c r="F3402" s="2">
        <v>90.0</v>
      </c>
      <c r="G3402" s="2">
        <v>108300.0</v>
      </c>
    </row>
    <row r="3403" ht="14.25" customHeight="1">
      <c r="A3403" s="2">
        <v>3402.0</v>
      </c>
      <c r="B3403" s="2" t="s">
        <v>2507</v>
      </c>
      <c r="C3403" s="2" t="s">
        <v>5890</v>
      </c>
      <c r="D3403" s="2">
        <v>205.0</v>
      </c>
      <c r="E3403" s="2">
        <v>1.0</v>
      </c>
      <c r="F3403" s="2">
        <v>75.0</v>
      </c>
      <c r="G3403" s="2">
        <v>108300.0</v>
      </c>
    </row>
    <row r="3404" ht="14.25" customHeight="1">
      <c r="A3404" s="2">
        <v>3403.0</v>
      </c>
      <c r="B3404" s="2" t="s">
        <v>2524</v>
      </c>
      <c r="C3404" s="2" t="s">
        <v>5891</v>
      </c>
      <c r="D3404" s="2">
        <v>331.0</v>
      </c>
      <c r="E3404" s="2">
        <v>1.0</v>
      </c>
      <c r="F3404" s="2">
        <v>65.0</v>
      </c>
      <c r="G3404" s="2">
        <v>108300.0</v>
      </c>
    </row>
    <row r="3405" ht="14.25" customHeight="1">
      <c r="A3405" s="2">
        <v>3404.0</v>
      </c>
      <c r="B3405" s="2" t="s">
        <v>2505</v>
      </c>
      <c r="C3405" s="2" t="s">
        <v>5892</v>
      </c>
      <c r="D3405" s="2">
        <v>429.0</v>
      </c>
      <c r="E3405" s="2">
        <v>1.0</v>
      </c>
      <c r="F3405" s="2">
        <v>50.0</v>
      </c>
      <c r="G3405" s="2">
        <v>108300.0</v>
      </c>
    </row>
    <row r="3406" ht="14.25" customHeight="1">
      <c r="A3406" s="2">
        <v>3405.0</v>
      </c>
      <c r="B3406" s="2" t="s">
        <v>2505</v>
      </c>
      <c r="C3406" s="2" t="s">
        <v>5893</v>
      </c>
      <c r="D3406" s="2">
        <v>429.0</v>
      </c>
      <c r="E3406" s="2">
        <v>1.0</v>
      </c>
      <c r="F3406" s="2">
        <v>100.0</v>
      </c>
      <c r="G3406" s="2">
        <v>108300.0</v>
      </c>
    </row>
    <row r="3407" ht="14.25" customHeight="1">
      <c r="A3407" s="2">
        <v>3406.0</v>
      </c>
      <c r="B3407" s="2" t="s">
        <v>2512</v>
      </c>
      <c r="C3407" s="2" t="s">
        <v>5894</v>
      </c>
      <c r="D3407" s="2">
        <v>153.0</v>
      </c>
      <c r="E3407" s="2">
        <v>1.0</v>
      </c>
      <c r="F3407" s="2">
        <v>50.0</v>
      </c>
      <c r="G3407" s="2">
        <v>108200.0</v>
      </c>
    </row>
    <row r="3408" ht="14.25" customHeight="1">
      <c r="A3408" s="2">
        <v>3407.0</v>
      </c>
      <c r="B3408" s="2" t="s">
        <v>2744</v>
      </c>
      <c r="C3408" s="2" t="s">
        <v>5895</v>
      </c>
      <c r="D3408" s="2">
        <v>169.0</v>
      </c>
      <c r="E3408" s="2">
        <v>1.0</v>
      </c>
      <c r="F3408" s="2">
        <v>50.0</v>
      </c>
      <c r="G3408" s="2">
        <v>108200.0</v>
      </c>
    </row>
    <row r="3409" ht="14.25" customHeight="1">
      <c r="A3409" s="2">
        <v>3408.0</v>
      </c>
      <c r="B3409" s="2" t="s">
        <v>2582</v>
      </c>
      <c r="C3409" s="2" t="s">
        <v>5896</v>
      </c>
      <c r="D3409" s="2">
        <v>183.0</v>
      </c>
      <c r="E3409" s="2">
        <v>1.0</v>
      </c>
      <c r="F3409" s="2">
        <v>150.0</v>
      </c>
      <c r="G3409" s="2">
        <v>108200.0</v>
      </c>
    </row>
    <row r="3410" ht="14.25" customHeight="1">
      <c r="A3410" s="2">
        <v>3409.0</v>
      </c>
      <c r="B3410" s="2" t="s">
        <v>2534</v>
      </c>
      <c r="C3410" s="2" t="s">
        <v>5897</v>
      </c>
      <c r="D3410" s="2">
        <v>188.0</v>
      </c>
      <c r="E3410" s="2">
        <v>1.0</v>
      </c>
      <c r="F3410" s="2">
        <v>90.0</v>
      </c>
      <c r="G3410" s="2">
        <v>108200.0</v>
      </c>
    </row>
    <row r="3411" ht="14.25" customHeight="1">
      <c r="A3411" s="2">
        <v>3410.0</v>
      </c>
      <c r="B3411" s="2" t="s">
        <v>2541</v>
      </c>
      <c r="C3411" s="2" t="s">
        <v>5898</v>
      </c>
      <c r="D3411" s="2">
        <v>195.0</v>
      </c>
      <c r="E3411" s="2">
        <v>1.0</v>
      </c>
      <c r="F3411" s="2">
        <v>100.0</v>
      </c>
      <c r="G3411" s="2">
        <v>108200.0</v>
      </c>
    </row>
    <row r="3412" ht="14.25" customHeight="1">
      <c r="A3412" s="2">
        <v>3411.0</v>
      </c>
      <c r="B3412" s="2" t="s">
        <v>2501</v>
      </c>
      <c r="C3412" s="2" t="s">
        <v>5899</v>
      </c>
      <c r="D3412" s="2">
        <v>199.0</v>
      </c>
      <c r="E3412" s="2">
        <v>1.0</v>
      </c>
      <c r="F3412" s="2">
        <v>100.0</v>
      </c>
      <c r="G3412" s="2">
        <v>108200.0</v>
      </c>
    </row>
    <row r="3413" ht="14.25" customHeight="1">
      <c r="A3413" s="2">
        <v>3412.0</v>
      </c>
      <c r="B3413" s="2" t="s">
        <v>2945</v>
      </c>
      <c r="C3413" s="2" t="s">
        <v>5900</v>
      </c>
      <c r="D3413" s="2">
        <v>619.0</v>
      </c>
      <c r="E3413" s="2">
        <v>1.0</v>
      </c>
      <c r="F3413" s="2">
        <v>60.0</v>
      </c>
      <c r="G3413" s="2">
        <v>108200.0</v>
      </c>
    </row>
    <row r="3414" ht="14.25" customHeight="1">
      <c r="A3414" s="2">
        <v>3413.0</v>
      </c>
      <c r="B3414" s="2" t="s">
        <v>2561</v>
      </c>
      <c r="C3414" s="2" t="s">
        <v>5901</v>
      </c>
      <c r="D3414" s="2">
        <v>162.0</v>
      </c>
      <c r="E3414" s="2">
        <v>1.0</v>
      </c>
      <c r="F3414" s="2">
        <v>100.0</v>
      </c>
      <c r="G3414" s="2">
        <v>108100.0</v>
      </c>
    </row>
    <row r="3415" ht="14.25" customHeight="1">
      <c r="A3415" s="2">
        <v>3414.0</v>
      </c>
      <c r="B3415" s="2" t="s">
        <v>2582</v>
      </c>
      <c r="C3415" s="2" t="s">
        <v>5902</v>
      </c>
      <c r="D3415" s="2">
        <v>183.0</v>
      </c>
      <c r="E3415" s="2">
        <v>1.0</v>
      </c>
      <c r="F3415" s="2">
        <v>50.0</v>
      </c>
      <c r="G3415" s="2">
        <v>108100.0</v>
      </c>
    </row>
    <row r="3416" ht="14.25" customHeight="1">
      <c r="A3416" s="2">
        <v>3415.0</v>
      </c>
      <c r="B3416" s="2" t="s">
        <v>2594</v>
      </c>
      <c r="C3416" s="2" t="s">
        <v>5903</v>
      </c>
      <c r="D3416" s="2">
        <v>184.0</v>
      </c>
      <c r="E3416" s="2">
        <v>1.0</v>
      </c>
      <c r="F3416" s="2">
        <v>160.0</v>
      </c>
      <c r="G3416" s="2">
        <v>108100.0</v>
      </c>
    </row>
    <row r="3417" ht="14.25" customHeight="1">
      <c r="A3417" s="2">
        <v>3416.0</v>
      </c>
      <c r="B3417" s="2" t="s">
        <v>2576</v>
      </c>
      <c r="C3417" s="2" t="s">
        <v>5904</v>
      </c>
      <c r="D3417" s="2">
        <v>197.0</v>
      </c>
      <c r="E3417" s="2">
        <v>1.0</v>
      </c>
      <c r="F3417" s="2">
        <v>60.0</v>
      </c>
      <c r="G3417" s="2">
        <v>108100.0</v>
      </c>
    </row>
    <row r="3418" ht="14.25" customHeight="1">
      <c r="A3418" s="2">
        <v>3417.0</v>
      </c>
      <c r="B3418" s="2" t="s">
        <v>2524</v>
      </c>
      <c r="C3418" s="2" t="s">
        <v>5905</v>
      </c>
      <c r="D3418" s="2">
        <v>331.0</v>
      </c>
      <c r="E3418" s="2">
        <v>1.0</v>
      </c>
      <c r="F3418" s="2">
        <v>50.0</v>
      </c>
      <c r="G3418" s="2">
        <v>108100.0</v>
      </c>
    </row>
    <row r="3419" ht="14.25" customHeight="1">
      <c r="A3419" s="2">
        <v>3418.0</v>
      </c>
      <c r="B3419" s="2" t="s">
        <v>2524</v>
      </c>
      <c r="C3419" s="2" t="s">
        <v>5906</v>
      </c>
      <c r="D3419" s="2">
        <v>331.0</v>
      </c>
      <c r="E3419" s="2">
        <v>1.0</v>
      </c>
      <c r="F3419" s="2">
        <v>75.0</v>
      </c>
      <c r="G3419" s="2">
        <v>108100.0</v>
      </c>
    </row>
    <row r="3420" ht="14.25" customHeight="1">
      <c r="A3420" s="2">
        <v>3419.0</v>
      </c>
      <c r="B3420" s="2" t="s">
        <v>2651</v>
      </c>
      <c r="C3420" s="2" t="s">
        <v>2895</v>
      </c>
      <c r="D3420" s="2">
        <v>347.0</v>
      </c>
      <c r="E3420" s="2">
        <v>1.0</v>
      </c>
      <c r="F3420" s="2">
        <v>75.0</v>
      </c>
      <c r="G3420" s="2">
        <v>108100.0</v>
      </c>
    </row>
    <row r="3421" ht="14.25" customHeight="1">
      <c r="A3421" s="2">
        <v>3420.0</v>
      </c>
      <c r="B3421" s="2" t="s">
        <v>2558</v>
      </c>
      <c r="C3421" s="2" t="s">
        <v>5907</v>
      </c>
      <c r="D3421" s="2">
        <v>357.0</v>
      </c>
      <c r="E3421" s="2">
        <v>1.0</v>
      </c>
      <c r="F3421" s="2">
        <v>66.0</v>
      </c>
      <c r="G3421" s="2">
        <v>108100.0</v>
      </c>
    </row>
    <row r="3422" ht="14.25" customHeight="1">
      <c r="A3422" s="2">
        <v>3421.0</v>
      </c>
      <c r="B3422" s="2" t="s">
        <v>2686</v>
      </c>
      <c r="C3422" s="2" t="s">
        <v>5908</v>
      </c>
      <c r="D3422" s="2">
        <v>127.0</v>
      </c>
      <c r="E3422" s="2">
        <v>1.0</v>
      </c>
      <c r="F3422" s="2">
        <v>80.0</v>
      </c>
      <c r="G3422" s="2">
        <v>108000.0</v>
      </c>
    </row>
    <row r="3423" ht="14.25" customHeight="1">
      <c r="A3423" s="2">
        <v>3422.0</v>
      </c>
      <c r="B3423" s="2" t="s">
        <v>2686</v>
      </c>
      <c r="C3423" s="2" t="s">
        <v>5909</v>
      </c>
      <c r="D3423" s="2">
        <v>127.0</v>
      </c>
      <c r="E3423" s="2">
        <v>1.0</v>
      </c>
      <c r="F3423" s="2">
        <v>100.0</v>
      </c>
      <c r="G3423" s="2">
        <v>108000.0</v>
      </c>
    </row>
    <row r="3424" ht="14.25" customHeight="1">
      <c r="A3424" s="2">
        <v>3423.0</v>
      </c>
      <c r="B3424" s="2" t="s">
        <v>2477</v>
      </c>
      <c r="C3424" s="2" t="s">
        <v>5910</v>
      </c>
      <c r="D3424" s="2">
        <v>152.0</v>
      </c>
      <c r="E3424" s="2">
        <v>1.0</v>
      </c>
      <c r="F3424" s="2">
        <v>132.0</v>
      </c>
      <c r="G3424" s="2">
        <v>108000.0</v>
      </c>
    </row>
    <row r="3425" ht="14.25" customHeight="1">
      <c r="A3425" s="2">
        <v>3424.0</v>
      </c>
      <c r="B3425" s="2" t="s">
        <v>2518</v>
      </c>
      <c r="C3425" s="2" t="s">
        <v>5911</v>
      </c>
      <c r="D3425" s="2">
        <v>161.0</v>
      </c>
      <c r="E3425" s="2">
        <v>1.0</v>
      </c>
      <c r="F3425" s="2">
        <v>100.0</v>
      </c>
      <c r="G3425" s="2">
        <v>108000.0</v>
      </c>
    </row>
    <row r="3426" ht="14.25" customHeight="1">
      <c r="A3426" s="2">
        <v>3425.0</v>
      </c>
      <c r="B3426" s="2" t="s">
        <v>2582</v>
      </c>
      <c r="C3426" s="2" t="s">
        <v>5912</v>
      </c>
      <c r="D3426" s="2">
        <v>183.0</v>
      </c>
      <c r="E3426" s="2">
        <v>1.0</v>
      </c>
      <c r="F3426" s="2">
        <v>50.0</v>
      </c>
      <c r="G3426" s="2">
        <v>108000.0</v>
      </c>
    </row>
    <row r="3427" ht="14.25" customHeight="1">
      <c r="A3427" s="2">
        <v>3426.0</v>
      </c>
      <c r="B3427" s="2" t="s">
        <v>2534</v>
      </c>
      <c r="C3427" s="2" t="s">
        <v>5913</v>
      </c>
      <c r="D3427" s="2">
        <v>188.0</v>
      </c>
      <c r="E3427" s="2">
        <v>1.0</v>
      </c>
      <c r="F3427" s="2">
        <v>150.0</v>
      </c>
      <c r="G3427" s="2">
        <v>108000.0</v>
      </c>
    </row>
    <row r="3428" ht="14.25" customHeight="1">
      <c r="A3428" s="2">
        <v>3427.0</v>
      </c>
      <c r="B3428" s="2" t="s">
        <v>2686</v>
      </c>
      <c r="C3428" s="2" t="s">
        <v>5914</v>
      </c>
      <c r="D3428" s="2">
        <v>127.0</v>
      </c>
      <c r="E3428" s="2">
        <v>1.0</v>
      </c>
      <c r="F3428" s="2">
        <v>132.0</v>
      </c>
      <c r="G3428" s="2">
        <v>107900.0</v>
      </c>
    </row>
    <row r="3429" ht="14.25" customHeight="1">
      <c r="A3429" s="2">
        <v>3428.0</v>
      </c>
      <c r="B3429" s="2" t="s">
        <v>2636</v>
      </c>
      <c r="C3429" s="2" t="s">
        <v>5915</v>
      </c>
      <c r="D3429" s="2">
        <v>145.0</v>
      </c>
      <c r="E3429" s="2">
        <v>1.0</v>
      </c>
      <c r="F3429" s="2">
        <v>52.0</v>
      </c>
      <c r="G3429" s="2">
        <v>107900.0</v>
      </c>
    </row>
    <row r="3430" ht="14.25" customHeight="1">
      <c r="A3430" s="2">
        <v>3429.0</v>
      </c>
      <c r="B3430" s="2" t="s">
        <v>2477</v>
      </c>
      <c r="C3430" s="2" t="s">
        <v>5916</v>
      </c>
      <c r="D3430" s="2">
        <v>152.0</v>
      </c>
      <c r="E3430" s="2">
        <v>1.0</v>
      </c>
      <c r="F3430" s="2">
        <v>200.0</v>
      </c>
      <c r="G3430" s="2">
        <v>107900.0</v>
      </c>
    </row>
    <row r="3431" ht="14.25" customHeight="1">
      <c r="A3431" s="2">
        <v>3430.0</v>
      </c>
      <c r="B3431" s="2" t="s">
        <v>2477</v>
      </c>
      <c r="C3431" s="2" t="s">
        <v>5917</v>
      </c>
      <c r="D3431" s="2">
        <v>152.0</v>
      </c>
      <c r="E3431" s="2">
        <v>1.0</v>
      </c>
      <c r="F3431" s="2">
        <v>100.0</v>
      </c>
      <c r="G3431" s="2">
        <v>107900.0</v>
      </c>
    </row>
    <row r="3432" ht="14.25" customHeight="1">
      <c r="A3432" s="2">
        <v>3431.0</v>
      </c>
      <c r="B3432" s="2" t="s">
        <v>2541</v>
      </c>
      <c r="C3432" s="2" t="s">
        <v>5918</v>
      </c>
      <c r="D3432" s="2">
        <v>195.0</v>
      </c>
      <c r="E3432" s="2">
        <v>1.0</v>
      </c>
      <c r="F3432" s="2">
        <v>65.0</v>
      </c>
      <c r="G3432" s="2">
        <v>107900.0</v>
      </c>
    </row>
    <row r="3433" ht="14.25" customHeight="1">
      <c r="A3433" s="2">
        <v>3432.0</v>
      </c>
      <c r="B3433" s="2" t="s">
        <v>2524</v>
      </c>
      <c r="C3433" s="2" t="s">
        <v>5919</v>
      </c>
      <c r="D3433" s="2">
        <v>331.0</v>
      </c>
      <c r="E3433" s="2">
        <v>1.0</v>
      </c>
      <c r="F3433" s="2">
        <v>50.0</v>
      </c>
      <c r="G3433" s="2">
        <v>107900.0</v>
      </c>
    </row>
    <row r="3434" ht="14.25" customHeight="1">
      <c r="A3434" s="2">
        <v>3433.0</v>
      </c>
      <c r="B3434" s="2" t="s">
        <v>2524</v>
      </c>
      <c r="C3434" s="2" t="s">
        <v>5920</v>
      </c>
      <c r="D3434" s="2">
        <v>331.0</v>
      </c>
      <c r="E3434" s="2">
        <v>1.0</v>
      </c>
      <c r="F3434" s="2">
        <v>65.0</v>
      </c>
      <c r="G3434" s="2">
        <v>107900.0</v>
      </c>
    </row>
    <row r="3435" ht="14.25" customHeight="1">
      <c r="A3435" s="2">
        <v>3434.0</v>
      </c>
      <c r="B3435" s="2" t="s">
        <v>2945</v>
      </c>
      <c r="C3435" s="2" t="s">
        <v>5921</v>
      </c>
      <c r="D3435" s="2">
        <v>619.0</v>
      </c>
      <c r="E3435" s="2">
        <v>1.0</v>
      </c>
      <c r="F3435" s="2">
        <v>55.0</v>
      </c>
      <c r="G3435" s="2">
        <v>107900.0</v>
      </c>
    </row>
    <row r="3436" ht="14.25" customHeight="1">
      <c r="A3436" s="2">
        <v>3435.0</v>
      </c>
      <c r="B3436" s="2" t="s">
        <v>2636</v>
      </c>
      <c r="C3436" s="2" t="s">
        <v>5922</v>
      </c>
      <c r="D3436" s="2">
        <v>145.0</v>
      </c>
      <c r="E3436" s="2">
        <v>1.0</v>
      </c>
      <c r="F3436" s="2">
        <v>50.0</v>
      </c>
      <c r="G3436" s="2">
        <v>107800.0</v>
      </c>
    </row>
    <row r="3437" ht="14.25" customHeight="1">
      <c r="A3437" s="2">
        <v>3436.0</v>
      </c>
      <c r="B3437" s="2" t="s">
        <v>2512</v>
      </c>
      <c r="C3437" s="2" t="s">
        <v>5923</v>
      </c>
      <c r="D3437" s="2">
        <v>153.0</v>
      </c>
      <c r="E3437" s="2">
        <v>1.0</v>
      </c>
      <c r="F3437" s="2">
        <v>50.0</v>
      </c>
      <c r="G3437" s="2">
        <v>107800.0</v>
      </c>
    </row>
    <row r="3438" ht="14.25" customHeight="1">
      <c r="A3438" s="2">
        <v>3437.0</v>
      </c>
      <c r="B3438" s="2" t="s">
        <v>2576</v>
      </c>
      <c r="C3438" s="2" t="s">
        <v>5924</v>
      </c>
      <c r="D3438" s="2">
        <v>197.0</v>
      </c>
      <c r="E3438" s="2">
        <v>1.0</v>
      </c>
      <c r="F3438" s="2">
        <v>100.0</v>
      </c>
      <c r="G3438" s="2">
        <v>107800.0</v>
      </c>
    </row>
    <row r="3439" ht="14.25" customHeight="1">
      <c r="A3439" s="2">
        <v>3438.0</v>
      </c>
      <c r="B3439" s="2" t="s">
        <v>2549</v>
      </c>
      <c r="C3439" s="2" t="s">
        <v>5925</v>
      </c>
      <c r="D3439" s="2">
        <v>115.0</v>
      </c>
      <c r="E3439" s="2">
        <v>1.0</v>
      </c>
      <c r="F3439" s="2">
        <v>100.0</v>
      </c>
      <c r="G3439" s="2">
        <v>107700.0</v>
      </c>
    </row>
    <row r="3440" ht="14.25" customHeight="1">
      <c r="A3440" s="2">
        <v>3439.0</v>
      </c>
      <c r="B3440" s="2" t="s">
        <v>2636</v>
      </c>
      <c r="C3440" s="2" t="s">
        <v>5926</v>
      </c>
      <c r="D3440" s="2">
        <v>145.0</v>
      </c>
      <c r="E3440" s="2">
        <v>1.0</v>
      </c>
      <c r="F3440" s="2">
        <v>100.0</v>
      </c>
      <c r="G3440" s="2">
        <v>107700.0</v>
      </c>
    </row>
    <row r="3441" ht="14.25" customHeight="1">
      <c r="A3441" s="2">
        <v>3440.0</v>
      </c>
      <c r="B3441" s="2" t="s">
        <v>2561</v>
      </c>
      <c r="C3441" s="2" t="s">
        <v>5927</v>
      </c>
      <c r="D3441" s="2">
        <v>162.0</v>
      </c>
      <c r="E3441" s="2">
        <v>1.0</v>
      </c>
      <c r="F3441" s="2">
        <v>100.0</v>
      </c>
      <c r="G3441" s="2">
        <v>107700.0</v>
      </c>
    </row>
    <row r="3442" ht="14.25" customHeight="1">
      <c r="A3442" s="2">
        <v>3441.0</v>
      </c>
      <c r="B3442" s="2" t="s">
        <v>2479</v>
      </c>
      <c r="C3442" s="2" t="s">
        <v>5928</v>
      </c>
      <c r="D3442" s="2">
        <v>182.0</v>
      </c>
      <c r="E3442" s="2">
        <v>1.0</v>
      </c>
      <c r="F3442" s="2">
        <v>52.0</v>
      </c>
      <c r="G3442" s="2">
        <v>107700.0</v>
      </c>
    </row>
    <row r="3443" ht="14.25" customHeight="1">
      <c r="A3443" s="2">
        <v>3442.0</v>
      </c>
      <c r="B3443" s="2" t="s">
        <v>2479</v>
      </c>
      <c r="C3443" s="2" t="s">
        <v>5929</v>
      </c>
      <c r="D3443" s="2">
        <v>182.0</v>
      </c>
      <c r="E3443" s="2">
        <v>1.0</v>
      </c>
      <c r="F3443" s="2">
        <v>50.0</v>
      </c>
      <c r="G3443" s="2">
        <v>107700.0</v>
      </c>
    </row>
    <row r="3444" ht="14.25" customHeight="1">
      <c r="A3444" s="2">
        <v>3443.0</v>
      </c>
      <c r="B3444" s="2" t="s">
        <v>2507</v>
      </c>
      <c r="C3444" s="2" t="s">
        <v>5930</v>
      </c>
      <c r="D3444" s="2">
        <v>205.0</v>
      </c>
      <c r="E3444" s="2">
        <v>1.0</v>
      </c>
      <c r="F3444" s="2">
        <v>75.0</v>
      </c>
      <c r="G3444" s="2">
        <v>107700.0</v>
      </c>
    </row>
    <row r="3445" ht="14.25" customHeight="1">
      <c r="A3445" s="2">
        <v>3444.0</v>
      </c>
      <c r="B3445" s="2" t="s">
        <v>2503</v>
      </c>
      <c r="C3445" s="2" t="s">
        <v>5931</v>
      </c>
      <c r="D3445" s="2">
        <v>105.0</v>
      </c>
      <c r="E3445" s="2">
        <v>1.0</v>
      </c>
      <c r="F3445" s="2">
        <v>66.0</v>
      </c>
      <c r="G3445" s="2">
        <v>107600.0</v>
      </c>
    </row>
    <row r="3446" ht="14.25" customHeight="1">
      <c r="A3446" s="2">
        <v>3445.0</v>
      </c>
      <c r="B3446" s="2" t="s">
        <v>2512</v>
      </c>
      <c r="C3446" s="2" t="s">
        <v>5932</v>
      </c>
      <c r="D3446" s="2">
        <v>153.0</v>
      </c>
      <c r="E3446" s="2">
        <v>1.0</v>
      </c>
      <c r="F3446" s="2">
        <v>50.0</v>
      </c>
      <c r="G3446" s="2">
        <v>107600.0</v>
      </c>
    </row>
    <row r="3447" ht="14.25" customHeight="1">
      <c r="A3447" s="2">
        <v>3446.0</v>
      </c>
      <c r="B3447" s="2" t="s">
        <v>2621</v>
      </c>
      <c r="C3447" s="2" t="s">
        <v>5933</v>
      </c>
      <c r="D3447" s="2">
        <v>403.0</v>
      </c>
      <c r="E3447" s="2">
        <v>1.0</v>
      </c>
      <c r="F3447" s="2">
        <v>100.0</v>
      </c>
      <c r="G3447" s="2">
        <v>107600.0</v>
      </c>
    </row>
    <row r="3448" ht="14.25" customHeight="1">
      <c r="A3448" s="2">
        <v>3447.0</v>
      </c>
      <c r="B3448" s="2" t="s">
        <v>2945</v>
      </c>
      <c r="C3448" s="2" t="s">
        <v>5934</v>
      </c>
      <c r="D3448" s="2">
        <v>619.0</v>
      </c>
      <c r="E3448" s="2">
        <v>1.0</v>
      </c>
      <c r="F3448" s="2">
        <v>55.0</v>
      </c>
      <c r="G3448" s="2">
        <v>107600.0</v>
      </c>
    </row>
    <row r="3449" ht="14.25" customHeight="1">
      <c r="A3449" s="2">
        <v>3448.0</v>
      </c>
      <c r="B3449" s="2" t="s">
        <v>2549</v>
      </c>
      <c r="C3449" s="2" t="s">
        <v>5935</v>
      </c>
      <c r="D3449" s="2">
        <v>115.0</v>
      </c>
      <c r="E3449" s="2">
        <v>1.0</v>
      </c>
      <c r="F3449" s="2">
        <v>66.0</v>
      </c>
      <c r="G3449" s="2">
        <v>107400.0</v>
      </c>
    </row>
    <row r="3450" ht="14.25" customHeight="1">
      <c r="A3450" s="2">
        <v>3449.0</v>
      </c>
      <c r="B3450" s="2" t="s">
        <v>2475</v>
      </c>
      <c r="C3450" s="2" t="s">
        <v>5936</v>
      </c>
      <c r="D3450" s="2">
        <v>143.0</v>
      </c>
      <c r="E3450" s="2">
        <v>1.0</v>
      </c>
      <c r="F3450" s="2">
        <v>52.0</v>
      </c>
      <c r="G3450" s="2">
        <v>107400.0</v>
      </c>
    </row>
    <row r="3451" ht="14.25" customHeight="1">
      <c r="A3451" s="2">
        <v>3450.0</v>
      </c>
      <c r="B3451" s="2" t="s">
        <v>2477</v>
      </c>
      <c r="C3451" s="2" t="s">
        <v>5937</v>
      </c>
      <c r="D3451" s="2">
        <v>152.0</v>
      </c>
      <c r="E3451" s="2">
        <v>1.0</v>
      </c>
      <c r="F3451" s="2">
        <v>80.0</v>
      </c>
      <c r="G3451" s="2">
        <v>107400.0</v>
      </c>
    </row>
    <row r="3452" ht="14.25" customHeight="1">
      <c r="A3452" s="2">
        <v>3451.0</v>
      </c>
      <c r="B3452" s="2" t="s">
        <v>2561</v>
      </c>
      <c r="C3452" s="2" t="s">
        <v>5938</v>
      </c>
      <c r="D3452" s="2">
        <v>162.0</v>
      </c>
      <c r="E3452" s="2">
        <v>1.0</v>
      </c>
      <c r="F3452" s="2">
        <v>75.0</v>
      </c>
      <c r="G3452" s="2">
        <v>107400.0</v>
      </c>
    </row>
    <row r="3453" ht="14.25" customHeight="1">
      <c r="A3453" s="2">
        <v>3452.0</v>
      </c>
      <c r="B3453" s="2" t="s">
        <v>2561</v>
      </c>
      <c r="C3453" s="2" t="s">
        <v>5939</v>
      </c>
      <c r="D3453" s="2">
        <v>162.0</v>
      </c>
      <c r="E3453" s="2">
        <v>1.0</v>
      </c>
      <c r="F3453" s="2">
        <v>75.0</v>
      </c>
      <c r="G3453" s="2">
        <v>107400.0</v>
      </c>
    </row>
    <row r="3454" ht="14.25" customHeight="1">
      <c r="A3454" s="2">
        <v>3453.0</v>
      </c>
      <c r="B3454" s="2" t="s">
        <v>2507</v>
      </c>
      <c r="C3454" s="2" t="s">
        <v>5940</v>
      </c>
      <c r="D3454" s="2">
        <v>205.0</v>
      </c>
      <c r="E3454" s="2">
        <v>1.0</v>
      </c>
      <c r="F3454" s="2">
        <v>75.0</v>
      </c>
      <c r="G3454" s="2">
        <v>107400.0</v>
      </c>
    </row>
    <row r="3455" ht="14.25" customHeight="1">
      <c r="A3455" s="2">
        <v>3454.0</v>
      </c>
      <c r="B3455" s="2" t="s">
        <v>2621</v>
      </c>
      <c r="C3455" s="2" t="s">
        <v>5941</v>
      </c>
      <c r="D3455" s="2">
        <v>403.0</v>
      </c>
      <c r="E3455" s="2">
        <v>1.0</v>
      </c>
      <c r="F3455" s="2">
        <v>75.0</v>
      </c>
      <c r="G3455" s="2">
        <v>107400.0</v>
      </c>
    </row>
    <row r="3456" ht="14.25" customHeight="1">
      <c r="A3456" s="2">
        <v>3455.0</v>
      </c>
      <c r="B3456" s="2" t="s">
        <v>2512</v>
      </c>
      <c r="C3456" s="2" t="s">
        <v>5942</v>
      </c>
      <c r="D3456" s="2">
        <v>153.0</v>
      </c>
      <c r="E3456" s="2">
        <v>1.0</v>
      </c>
      <c r="F3456" s="2">
        <v>62.5</v>
      </c>
      <c r="G3456" s="2">
        <v>107300.0</v>
      </c>
    </row>
    <row r="3457" ht="14.25" customHeight="1">
      <c r="A3457" s="2">
        <v>3456.0</v>
      </c>
      <c r="B3457" s="2" t="s">
        <v>2501</v>
      </c>
      <c r="C3457" s="2" t="s">
        <v>5943</v>
      </c>
      <c r="D3457" s="2">
        <v>199.0</v>
      </c>
      <c r="E3457" s="2">
        <v>1.0</v>
      </c>
      <c r="F3457" s="2">
        <v>60.0</v>
      </c>
      <c r="G3457" s="2">
        <v>107300.0</v>
      </c>
    </row>
    <row r="3458" ht="14.25" customHeight="1">
      <c r="A3458" s="2">
        <v>3457.0</v>
      </c>
      <c r="B3458" s="2" t="s">
        <v>2507</v>
      </c>
      <c r="C3458" s="2" t="s">
        <v>5944</v>
      </c>
      <c r="D3458" s="2">
        <v>205.0</v>
      </c>
      <c r="E3458" s="2">
        <v>1.0</v>
      </c>
      <c r="F3458" s="2">
        <v>50.0</v>
      </c>
      <c r="G3458" s="2">
        <v>107300.0</v>
      </c>
    </row>
    <row r="3459" ht="14.25" customHeight="1">
      <c r="A3459" s="2">
        <v>3458.0</v>
      </c>
      <c r="B3459" s="2" t="s">
        <v>2636</v>
      </c>
      <c r="C3459" s="2" t="s">
        <v>5945</v>
      </c>
      <c r="D3459" s="2">
        <v>145.0</v>
      </c>
      <c r="E3459" s="2">
        <v>1.0</v>
      </c>
      <c r="F3459" s="2">
        <v>75.0</v>
      </c>
      <c r="G3459" s="2">
        <v>107200.0</v>
      </c>
    </row>
    <row r="3460" ht="14.25" customHeight="1">
      <c r="A3460" s="2">
        <v>3459.0</v>
      </c>
      <c r="B3460" s="2" t="s">
        <v>2477</v>
      </c>
      <c r="C3460" s="2" t="s">
        <v>5946</v>
      </c>
      <c r="D3460" s="2">
        <v>152.0</v>
      </c>
      <c r="E3460" s="2">
        <v>1.0</v>
      </c>
      <c r="F3460" s="2">
        <v>150.0</v>
      </c>
      <c r="G3460" s="2">
        <v>107200.0</v>
      </c>
    </row>
    <row r="3461" ht="14.25" customHeight="1">
      <c r="A3461" s="2">
        <v>3460.0</v>
      </c>
      <c r="B3461" s="2" t="s">
        <v>2571</v>
      </c>
      <c r="C3461" s="2" t="s">
        <v>5947</v>
      </c>
      <c r="D3461" s="2">
        <v>185.0</v>
      </c>
      <c r="E3461" s="2">
        <v>1.0</v>
      </c>
      <c r="F3461" s="2">
        <v>125.0</v>
      </c>
      <c r="G3461" s="2">
        <v>107200.0</v>
      </c>
    </row>
    <row r="3462" ht="14.25" customHeight="1">
      <c r="A3462" s="2">
        <v>3461.0</v>
      </c>
      <c r="B3462" s="2" t="s">
        <v>2553</v>
      </c>
      <c r="C3462" s="2" t="s">
        <v>5948</v>
      </c>
      <c r="D3462" s="2">
        <v>187.0</v>
      </c>
      <c r="E3462" s="2">
        <v>1.0</v>
      </c>
      <c r="F3462" s="2">
        <v>88.0</v>
      </c>
      <c r="G3462" s="2">
        <v>107200.0</v>
      </c>
    </row>
    <row r="3463" ht="14.25" customHeight="1">
      <c r="A3463" s="2">
        <v>3462.0</v>
      </c>
      <c r="B3463" s="2" t="s">
        <v>2507</v>
      </c>
      <c r="C3463" s="2" t="s">
        <v>5949</v>
      </c>
      <c r="D3463" s="2">
        <v>205.0</v>
      </c>
      <c r="E3463" s="2">
        <v>1.0</v>
      </c>
      <c r="F3463" s="2">
        <v>75.0</v>
      </c>
      <c r="G3463" s="2">
        <v>107200.0</v>
      </c>
    </row>
    <row r="3464" ht="14.25" customHeight="1">
      <c r="A3464" s="2">
        <v>3463.0</v>
      </c>
      <c r="B3464" s="2" t="s">
        <v>2621</v>
      </c>
      <c r="C3464" s="2" t="s">
        <v>5950</v>
      </c>
      <c r="D3464" s="2">
        <v>403.0</v>
      </c>
      <c r="E3464" s="2">
        <v>1.0</v>
      </c>
      <c r="F3464" s="2">
        <v>66.0</v>
      </c>
      <c r="G3464" s="2">
        <v>107200.0</v>
      </c>
    </row>
    <row r="3465" ht="14.25" customHeight="1">
      <c r="A3465" s="2">
        <v>3464.0</v>
      </c>
      <c r="B3465" s="2" t="s">
        <v>2518</v>
      </c>
      <c r="C3465" s="2" t="s">
        <v>5951</v>
      </c>
      <c r="D3465" s="2">
        <v>161.0</v>
      </c>
      <c r="E3465" s="2">
        <v>1.0</v>
      </c>
      <c r="F3465" s="2">
        <v>75.0</v>
      </c>
      <c r="G3465" s="2">
        <v>107100.0</v>
      </c>
    </row>
    <row r="3466" ht="14.25" customHeight="1">
      <c r="A3466" s="2">
        <v>3465.0</v>
      </c>
      <c r="B3466" s="2" t="s">
        <v>2582</v>
      </c>
      <c r="C3466" s="2" t="s">
        <v>5952</v>
      </c>
      <c r="D3466" s="2">
        <v>183.0</v>
      </c>
      <c r="E3466" s="2">
        <v>1.0</v>
      </c>
      <c r="F3466" s="2">
        <v>200.0</v>
      </c>
      <c r="G3466" s="2">
        <v>107100.0</v>
      </c>
    </row>
    <row r="3467" ht="14.25" customHeight="1">
      <c r="A3467" s="2">
        <v>3466.0</v>
      </c>
      <c r="B3467" s="2" t="s">
        <v>2553</v>
      </c>
      <c r="C3467" s="2" t="s">
        <v>5953</v>
      </c>
      <c r="D3467" s="2">
        <v>187.0</v>
      </c>
      <c r="E3467" s="2">
        <v>1.0</v>
      </c>
      <c r="F3467" s="2">
        <v>50.0</v>
      </c>
      <c r="G3467" s="2">
        <v>107100.0</v>
      </c>
    </row>
    <row r="3468" ht="14.25" customHeight="1">
      <c r="A3468" s="2">
        <v>3467.0</v>
      </c>
      <c r="B3468" s="2" t="s">
        <v>2686</v>
      </c>
      <c r="C3468" s="2" t="s">
        <v>5954</v>
      </c>
      <c r="D3468" s="2">
        <v>127.0</v>
      </c>
      <c r="E3468" s="2">
        <v>1.0</v>
      </c>
      <c r="F3468" s="2">
        <v>90.0</v>
      </c>
      <c r="G3468" s="2">
        <v>107000.0</v>
      </c>
    </row>
    <row r="3469" ht="14.25" customHeight="1">
      <c r="A3469" s="2">
        <v>3468.0</v>
      </c>
      <c r="B3469" s="2" t="s">
        <v>2561</v>
      </c>
      <c r="C3469" s="2" t="s">
        <v>5955</v>
      </c>
      <c r="D3469" s="2">
        <v>162.0</v>
      </c>
      <c r="E3469" s="2">
        <v>1.0</v>
      </c>
      <c r="F3469" s="2">
        <v>50.0</v>
      </c>
      <c r="G3469" s="2">
        <v>107000.0</v>
      </c>
    </row>
    <row r="3470" ht="14.25" customHeight="1">
      <c r="A3470" s="2">
        <v>3469.0</v>
      </c>
      <c r="B3470" s="2" t="s">
        <v>2744</v>
      </c>
      <c r="C3470" s="2" t="s">
        <v>5956</v>
      </c>
      <c r="D3470" s="2">
        <v>169.0</v>
      </c>
      <c r="E3470" s="2">
        <v>1.0</v>
      </c>
      <c r="F3470" s="2">
        <v>50.0</v>
      </c>
      <c r="G3470" s="2">
        <v>107000.0</v>
      </c>
    </row>
    <row r="3471" ht="14.25" customHeight="1">
      <c r="A3471" s="2">
        <v>3470.0</v>
      </c>
      <c r="B3471" s="2" t="s">
        <v>2582</v>
      </c>
      <c r="C3471" s="2" t="s">
        <v>5957</v>
      </c>
      <c r="D3471" s="2">
        <v>183.0</v>
      </c>
      <c r="E3471" s="2">
        <v>1.0</v>
      </c>
      <c r="F3471" s="2">
        <v>150.0</v>
      </c>
      <c r="G3471" s="2">
        <v>107000.0</v>
      </c>
    </row>
    <row r="3472" ht="14.25" customHeight="1">
      <c r="A3472" s="2">
        <v>3471.0</v>
      </c>
      <c r="B3472" s="2" t="s">
        <v>2541</v>
      </c>
      <c r="C3472" s="2" t="s">
        <v>5958</v>
      </c>
      <c r="D3472" s="2">
        <v>195.0</v>
      </c>
      <c r="E3472" s="2">
        <v>1.0</v>
      </c>
      <c r="F3472" s="2">
        <v>75.0</v>
      </c>
      <c r="G3472" s="2">
        <v>107000.0</v>
      </c>
    </row>
    <row r="3473" ht="14.25" customHeight="1">
      <c r="A3473" s="2">
        <v>3472.0</v>
      </c>
      <c r="B3473" s="2" t="s">
        <v>2604</v>
      </c>
      <c r="C3473" s="2" t="s">
        <v>5959</v>
      </c>
      <c r="D3473" s="2">
        <v>200.0</v>
      </c>
      <c r="E3473" s="2">
        <v>1.0</v>
      </c>
      <c r="F3473" s="2">
        <v>80.0</v>
      </c>
      <c r="G3473" s="2">
        <v>106900.0</v>
      </c>
    </row>
    <row r="3474" ht="14.25" customHeight="1">
      <c r="A3474" s="2">
        <v>3473.0</v>
      </c>
      <c r="B3474" s="2" t="s">
        <v>2594</v>
      </c>
      <c r="C3474" s="2" t="s">
        <v>5960</v>
      </c>
      <c r="D3474" s="2">
        <v>184.0</v>
      </c>
      <c r="E3474" s="2">
        <v>1.0</v>
      </c>
      <c r="F3474" s="2">
        <v>66.0</v>
      </c>
      <c r="G3474" s="2">
        <v>106800.0</v>
      </c>
    </row>
    <row r="3475" ht="14.25" customHeight="1">
      <c r="A3475" s="2">
        <v>3474.0</v>
      </c>
      <c r="B3475" s="2" t="s">
        <v>2621</v>
      </c>
      <c r="C3475" s="2" t="s">
        <v>5961</v>
      </c>
      <c r="D3475" s="2">
        <v>403.0</v>
      </c>
      <c r="E3475" s="2">
        <v>1.0</v>
      </c>
      <c r="F3475" s="2">
        <v>132.0</v>
      </c>
      <c r="G3475" s="2">
        <v>106800.0</v>
      </c>
    </row>
    <row r="3476" ht="14.25" customHeight="1">
      <c r="A3476" s="2">
        <v>3475.0</v>
      </c>
      <c r="B3476" s="2" t="s">
        <v>2505</v>
      </c>
      <c r="C3476" s="2" t="s">
        <v>5962</v>
      </c>
      <c r="D3476" s="2">
        <v>429.0</v>
      </c>
      <c r="E3476" s="2">
        <v>1.0</v>
      </c>
      <c r="F3476" s="2">
        <v>80.0</v>
      </c>
      <c r="G3476" s="2">
        <v>106800.0</v>
      </c>
    </row>
    <row r="3477" ht="14.25" customHeight="1">
      <c r="A3477" s="2">
        <v>3476.0</v>
      </c>
      <c r="B3477" s="2" t="s">
        <v>2475</v>
      </c>
      <c r="C3477" s="2" t="s">
        <v>5963</v>
      </c>
      <c r="D3477" s="2">
        <v>143.0</v>
      </c>
      <c r="E3477" s="2">
        <v>1.0</v>
      </c>
      <c r="F3477" s="2">
        <v>100.0</v>
      </c>
      <c r="G3477" s="2">
        <v>106700.0</v>
      </c>
    </row>
    <row r="3478" ht="14.25" customHeight="1">
      <c r="A3478" s="2">
        <v>3477.0</v>
      </c>
      <c r="B3478" s="2" t="s">
        <v>2582</v>
      </c>
      <c r="C3478" s="2" t="s">
        <v>5964</v>
      </c>
      <c r="D3478" s="2">
        <v>183.0</v>
      </c>
      <c r="E3478" s="2">
        <v>1.0</v>
      </c>
      <c r="F3478" s="2">
        <v>90.0</v>
      </c>
      <c r="G3478" s="2">
        <v>106700.0</v>
      </c>
    </row>
    <row r="3479" ht="14.25" customHeight="1">
      <c r="A3479" s="2">
        <v>3478.0</v>
      </c>
      <c r="B3479" s="2" t="s">
        <v>2534</v>
      </c>
      <c r="C3479" s="2" t="s">
        <v>5965</v>
      </c>
      <c r="D3479" s="2">
        <v>188.0</v>
      </c>
      <c r="E3479" s="2">
        <v>1.0</v>
      </c>
      <c r="F3479" s="2">
        <v>70.0</v>
      </c>
      <c r="G3479" s="2">
        <v>106700.0</v>
      </c>
    </row>
    <row r="3480" ht="14.25" customHeight="1">
      <c r="A3480" s="2">
        <v>3479.0</v>
      </c>
      <c r="B3480" s="2" t="s">
        <v>2507</v>
      </c>
      <c r="C3480" s="2" t="s">
        <v>5966</v>
      </c>
      <c r="D3480" s="2">
        <v>205.0</v>
      </c>
      <c r="E3480" s="2">
        <v>1.0</v>
      </c>
      <c r="F3480" s="2">
        <v>100.0</v>
      </c>
      <c r="G3480" s="2">
        <v>106700.0</v>
      </c>
    </row>
    <row r="3481" ht="14.25" customHeight="1">
      <c r="A3481" s="2">
        <v>3480.0</v>
      </c>
      <c r="B3481" s="2" t="s">
        <v>2621</v>
      </c>
      <c r="C3481" s="2" t="s">
        <v>5967</v>
      </c>
      <c r="D3481" s="2">
        <v>403.0</v>
      </c>
      <c r="E3481" s="2">
        <v>1.0</v>
      </c>
      <c r="F3481" s="2">
        <v>99.0</v>
      </c>
      <c r="G3481" s="2">
        <v>106700.0</v>
      </c>
    </row>
    <row r="3482" ht="14.25" customHeight="1">
      <c r="A3482" s="2">
        <v>3481.0</v>
      </c>
      <c r="B3482" s="2" t="s">
        <v>2621</v>
      </c>
      <c r="C3482" s="2" t="s">
        <v>5968</v>
      </c>
      <c r="D3482" s="2">
        <v>403.0</v>
      </c>
      <c r="E3482" s="2">
        <v>1.0</v>
      </c>
      <c r="F3482" s="2">
        <v>90.0</v>
      </c>
      <c r="G3482" s="2">
        <v>106700.0</v>
      </c>
    </row>
    <row r="3483" ht="14.25" customHeight="1">
      <c r="A3483" s="2">
        <v>3482.0</v>
      </c>
      <c r="B3483" s="2" t="s">
        <v>2571</v>
      </c>
      <c r="C3483" s="2" t="s">
        <v>5969</v>
      </c>
      <c r="D3483" s="2">
        <v>185.0</v>
      </c>
      <c r="E3483" s="2">
        <v>1.0</v>
      </c>
      <c r="F3483" s="2">
        <v>110.0</v>
      </c>
      <c r="G3483" s="2">
        <v>106600.0</v>
      </c>
    </row>
    <row r="3484" ht="14.25" customHeight="1">
      <c r="A3484" s="2">
        <v>3483.0</v>
      </c>
      <c r="B3484" s="2" t="s">
        <v>2507</v>
      </c>
      <c r="C3484" s="2" t="s">
        <v>5970</v>
      </c>
      <c r="D3484" s="2">
        <v>205.0</v>
      </c>
      <c r="E3484" s="2">
        <v>1.0</v>
      </c>
      <c r="F3484" s="2">
        <v>80.0</v>
      </c>
      <c r="G3484" s="2">
        <v>106600.0</v>
      </c>
    </row>
    <row r="3485" ht="14.25" customHeight="1">
      <c r="A3485" s="2">
        <v>3484.0</v>
      </c>
      <c r="B3485" s="2" t="s">
        <v>2479</v>
      </c>
      <c r="C3485" s="2" t="s">
        <v>5971</v>
      </c>
      <c r="D3485" s="2">
        <v>182.0</v>
      </c>
      <c r="E3485" s="2">
        <v>1.0</v>
      </c>
      <c r="F3485" s="2">
        <v>50.0</v>
      </c>
      <c r="G3485" s="2">
        <v>106500.0</v>
      </c>
    </row>
    <row r="3486" ht="14.25" customHeight="1">
      <c r="A3486" s="2">
        <v>3485.0</v>
      </c>
      <c r="B3486" s="2" t="s">
        <v>2553</v>
      </c>
      <c r="C3486" s="2" t="s">
        <v>5972</v>
      </c>
      <c r="D3486" s="2">
        <v>187.0</v>
      </c>
      <c r="E3486" s="2">
        <v>1.0</v>
      </c>
      <c r="F3486" s="2">
        <v>70.0</v>
      </c>
      <c r="G3486" s="2">
        <v>106500.0</v>
      </c>
    </row>
    <row r="3487" ht="14.25" customHeight="1">
      <c r="A3487" s="2">
        <v>3486.0</v>
      </c>
      <c r="B3487" s="2" t="s">
        <v>2621</v>
      </c>
      <c r="C3487" s="2" t="s">
        <v>5973</v>
      </c>
      <c r="D3487" s="2">
        <v>403.0</v>
      </c>
      <c r="E3487" s="2">
        <v>1.0</v>
      </c>
      <c r="F3487" s="2">
        <v>150.0</v>
      </c>
      <c r="G3487" s="2">
        <v>106500.0</v>
      </c>
    </row>
    <row r="3488" ht="14.25" customHeight="1">
      <c r="A3488" s="2">
        <v>3487.0</v>
      </c>
      <c r="B3488" s="2" t="s">
        <v>2512</v>
      </c>
      <c r="C3488" s="2" t="s">
        <v>5974</v>
      </c>
      <c r="D3488" s="2">
        <v>153.0</v>
      </c>
      <c r="E3488" s="2">
        <v>1.0</v>
      </c>
      <c r="F3488" s="2">
        <v>50.0</v>
      </c>
      <c r="G3488" s="2">
        <v>106400.0</v>
      </c>
    </row>
    <row r="3489" ht="14.25" customHeight="1">
      <c r="A3489" s="2">
        <v>3488.0</v>
      </c>
      <c r="B3489" s="2" t="s">
        <v>2518</v>
      </c>
      <c r="C3489" s="2" t="s">
        <v>5975</v>
      </c>
      <c r="D3489" s="2">
        <v>161.0</v>
      </c>
      <c r="E3489" s="2">
        <v>1.0</v>
      </c>
      <c r="F3489" s="2">
        <v>100.0</v>
      </c>
      <c r="G3489" s="2">
        <v>106400.0</v>
      </c>
    </row>
    <row r="3490" ht="14.25" customHeight="1">
      <c r="A3490" s="2">
        <v>3489.0</v>
      </c>
      <c r="B3490" s="2" t="s">
        <v>2561</v>
      </c>
      <c r="C3490" s="2" t="s">
        <v>5976</v>
      </c>
      <c r="D3490" s="2">
        <v>162.0</v>
      </c>
      <c r="E3490" s="2">
        <v>1.0</v>
      </c>
      <c r="F3490" s="2">
        <v>75.0</v>
      </c>
      <c r="G3490" s="2">
        <v>106400.0</v>
      </c>
    </row>
    <row r="3491" ht="14.25" customHeight="1">
      <c r="A3491" s="2">
        <v>3490.0</v>
      </c>
      <c r="B3491" s="2" t="s">
        <v>2594</v>
      </c>
      <c r="C3491" s="2" t="s">
        <v>5977</v>
      </c>
      <c r="D3491" s="2">
        <v>184.0</v>
      </c>
      <c r="E3491" s="2">
        <v>1.0</v>
      </c>
      <c r="F3491" s="2">
        <v>200.0</v>
      </c>
      <c r="G3491" s="2">
        <v>106400.0</v>
      </c>
    </row>
    <row r="3492" ht="14.25" customHeight="1">
      <c r="A3492" s="2">
        <v>3491.0</v>
      </c>
      <c r="B3492" s="2" t="s">
        <v>2604</v>
      </c>
      <c r="C3492" s="2" t="s">
        <v>5978</v>
      </c>
      <c r="D3492" s="2">
        <v>200.0</v>
      </c>
      <c r="E3492" s="2">
        <v>1.0</v>
      </c>
      <c r="F3492" s="2">
        <v>150.0</v>
      </c>
      <c r="G3492" s="2">
        <v>106400.0</v>
      </c>
    </row>
    <row r="3493" ht="14.25" customHeight="1">
      <c r="A3493" s="2">
        <v>3492.0</v>
      </c>
      <c r="B3493" s="2" t="s">
        <v>2512</v>
      </c>
      <c r="C3493" s="2" t="s">
        <v>5979</v>
      </c>
      <c r="D3493" s="2">
        <v>153.0</v>
      </c>
      <c r="E3493" s="2">
        <v>1.0</v>
      </c>
      <c r="F3493" s="2">
        <v>50.0</v>
      </c>
      <c r="G3493" s="2">
        <v>106300.0</v>
      </c>
    </row>
    <row r="3494" ht="14.25" customHeight="1">
      <c r="A3494" s="2">
        <v>3493.0</v>
      </c>
      <c r="B3494" s="2" t="s">
        <v>2594</v>
      </c>
      <c r="C3494" s="2" t="s">
        <v>5980</v>
      </c>
      <c r="D3494" s="2">
        <v>184.0</v>
      </c>
      <c r="E3494" s="2">
        <v>1.0</v>
      </c>
      <c r="F3494" s="2">
        <v>50.0</v>
      </c>
      <c r="G3494" s="2">
        <v>106300.0</v>
      </c>
    </row>
    <row r="3495" ht="14.25" customHeight="1">
      <c r="A3495" s="2">
        <v>3494.0</v>
      </c>
      <c r="B3495" s="2" t="s">
        <v>2507</v>
      </c>
      <c r="C3495" s="2" t="s">
        <v>5981</v>
      </c>
      <c r="D3495" s="2">
        <v>205.0</v>
      </c>
      <c r="E3495" s="2">
        <v>1.0</v>
      </c>
      <c r="F3495" s="2">
        <v>75.0</v>
      </c>
      <c r="G3495" s="2">
        <v>106300.0</v>
      </c>
    </row>
    <row r="3496" ht="14.25" customHeight="1">
      <c r="A3496" s="2">
        <v>3495.0</v>
      </c>
      <c r="B3496" s="2" t="s">
        <v>2507</v>
      </c>
      <c r="C3496" s="2" t="s">
        <v>5982</v>
      </c>
      <c r="D3496" s="2">
        <v>205.0</v>
      </c>
      <c r="E3496" s="2">
        <v>1.0</v>
      </c>
      <c r="F3496" s="2">
        <v>80.0</v>
      </c>
      <c r="G3496" s="2">
        <v>106300.0</v>
      </c>
    </row>
    <row r="3497" ht="14.25" customHeight="1">
      <c r="A3497" s="2">
        <v>3496.0</v>
      </c>
      <c r="B3497" s="2" t="s">
        <v>2505</v>
      </c>
      <c r="C3497" s="2" t="s">
        <v>5983</v>
      </c>
      <c r="D3497" s="2">
        <v>429.0</v>
      </c>
      <c r="E3497" s="2">
        <v>1.0</v>
      </c>
      <c r="F3497" s="2">
        <v>100.0</v>
      </c>
      <c r="G3497" s="2">
        <v>106300.0</v>
      </c>
    </row>
    <row r="3498" ht="14.25" customHeight="1">
      <c r="A3498" s="2">
        <v>3497.0</v>
      </c>
      <c r="B3498" s="2" t="s">
        <v>2475</v>
      </c>
      <c r="C3498" s="2" t="s">
        <v>5984</v>
      </c>
      <c r="D3498" s="2">
        <v>143.0</v>
      </c>
      <c r="E3498" s="2">
        <v>1.0</v>
      </c>
      <c r="F3498" s="2">
        <v>50.0</v>
      </c>
      <c r="G3498" s="2">
        <v>106200.0</v>
      </c>
    </row>
    <row r="3499" ht="14.25" customHeight="1">
      <c r="A3499" s="2">
        <v>3498.0</v>
      </c>
      <c r="B3499" s="2" t="s">
        <v>2561</v>
      </c>
      <c r="C3499" s="2" t="s">
        <v>5985</v>
      </c>
      <c r="D3499" s="2">
        <v>162.0</v>
      </c>
      <c r="E3499" s="2">
        <v>1.0</v>
      </c>
      <c r="F3499" s="2">
        <v>100.0</v>
      </c>
      <c r="G3499" s="2">
        <v>106200.0</v>
      </c>
    </row>
    <row r="3500" ht="14.25" customHeight="1">
      <c r="A3500" s="2">
        <v>3499.0</v>
      </c>
      <c r="B3500" s="2" t="s">
        <v>2576</v>
      </c>
      <c r="C3500" s="2" t="s">
        <v>5986</v>
      </c>
      <c r="D3500" s="2">
        <v>197.0</v>
      </c>
      <c r="E3500" s="2">
        <v>1.0</v>
      </c>
      <c r="F3500" s="2">
        <v>50.0</v>
      </c>
      <c r="G3500" s="2">
        <v>106200.0</v>
      </c>
    </row>
    <row r="3501" ht="14.25" customHeight="1">
      <c r="A3501" s="2">
        <v>3500.0</v>
      </c>
      <c r="B3501" s="2" t="s">
        <v>2621</v>
      </c>
      <c r="C3501" s="2" t="s">
        <v>5987</v>
      </c>
      <c r="D3501" s="2">
        <v>403.0</v>
      </c>
      <c r="E3501" s="2">
        <v>1.0</v>
      </c>
      <c r="F3501" s="2">
        <v>66.0</v>
      </c>
      <c r="G3501" s="2">
        <v>106200.0</v>
      </c>
    </row>
    <row r="3502" ht="14.25" customHeight="1">
      <c r="A3502" s="2">
        <v>3501.0</v>
      </c>
      <c r="B3502" s="2" t="s">
        <v>2505</v>
      </c>
      <c r="C3502" s="2" t="s">
        <v>5988</v>
      </c>
      <c r="D3502" s="2">
        <v>429.0</v>
      </c>
      <c r="E3502" s="2">
        <v>1.0</v>
      </c>
      <c r="F3502" s="2">
        <v>125.0</v>
      </c>
      <c r="G3502" s="2">
        <v>106200.0</v>
      </c>
    </row>
    <row r="3503" ht="14.25" customHeight="1">
      <c r="A3503" s="2">
        <v>3502.0</v>
      </c>
      <c r="B3503" s="2" t="s">
        <v>2503</v>
      </c>
      <c r="C3503" s="2" t="s">
        <v>5989</v>
      </c>
      <c r="D3503" s="2">
        <v>105.0</v>
      </c>
      <c r="E3503" s="2">
        <v>1.0</v>
      </c>
      <c r="F3503" s="2">
        <v>75.0</v>
      </c>
      <c r="G3503" s="2">
        <v>106100.0</v>
      </c>
    </row>
    <row r="3504" ht="14.25" customHeight="1">
      <c r="A3504" s="2">
        <v>3503.0</v>
      </c>
      <c r="B3504" s="2" t="s">
        <v>2636</v>
      </c>
      <c r="C3504" s="2" t="s">
        <v>5990</v>
      </c>
      <c r="D3504" s="2">
        <v>145.0</v>
      </c>
      <c r="E3504" s="2">
        <v>1.0</v>
      </c>
      <c r="F3504" s="2">
        <v>50.0</v>
      </c>
      <c r="G3504" s="2">
        <v>106100.0</v>
      </c>
    </row>
    <row r="3505" ht="14.25" customHeight="1">
      <c r="A3505" s="2">
        <v>3504.0</v>
      </c>
      <c r="B3505" s="2" t="s">
        <v>2497</v>
      </c>
      <c r="C3505" s="2" t="s">
        <v>5991</v>
      </c>
      <c r="D3505" s="2">
        <v>151.0</v>
      </c>
      <c r="E3505" s="2">
        <v>1.0</v>
      </c>
      <c r="F3505" s="2">
        <v>66.0</v>
      </c>
      <c r="G3505" s="2">
        <v>106100.0</v>
      </c>
    </row>
    <row r="3506" ht="14.25" customHeight="1">
      <c r="A3506" s="2">
        <v>3505.0</v>
      </c>
      <c r="B3506" s="2" t="s">
        <v>2621</v>
      </c>
      <c r="C3506" s="2" t="s">
        <v>5992</v>
      </c>
      <c r="D3506" s="2">
        <v>403.0</v>
      </c>
      <c r="E3506" s="2">
        <v>1.0</v>
      </c>
      <c r="F3506" s="2">
        <v>132.0</v>
      </c>
      <c r="G3506" s="2">
        <v>106100.0</v>
      </c>
    </row>
    <row r="3507" ht="14.25" customHeight="1">
      <c r="A3507" s="2">
        <v>3506.0</v>
      </c>
      <c r="B3507" s="2" t="s">
        <v>2686</v>
      </c>
      <c r="C3507" s="2" t="s">
        <v>5993</v>
      </c>
      <c r="D3507" s="2">
        <v>127.0</v>
      </c>
      <c r="E3507" s="2">
        <v>1.0</v>
      </c>
      <c r="F3507" s="2">
        <v>60.0</v>
      </c>
      <c r="G3507" s="2">
        <v>106000.0</v>
      </c>
    </row>
    <row r="3508" ht="14.25" customHeight="1">
      <c r="A3508" s="2">
        <v>3507.0</v>
      </c>
      <c r="B3508" s="2" t="s">
        <v>2512</v>
      </c>
      <c r="C3508" s="2" t="s">
        <v>5994</v>
      </c>
      <c r="D3508" s="2">
        <v>153.0</v>
      </c>
      <c r="E3508" s="2">
        <v>1.0</v>
      </c>
      <c r="F3508" s="2">
        <v>50.0</v>
      </c>
      <c r="G3508" s="2">
        <v>106000.0</v>
      </c>
    </row>
    <row r="3509" ht="14.25" customHeight="1">
      <c r="A3509" s="2">
        <v>3508.0</v>
      </c>
      <c r="B3509" s="2" t="s">
        <v>2518</v>
      </c>
      <c r="C3509" s="2" t="s">
        <v>5995</v>
      </c>
      <c r="D3509" s="2">
        <v>161.0</v>
      </c>
      <c r="E3509" s="2">
        <v>1.0</v>
      </c>
      <c r="F3509" s="2">
        <v>100.0</v>
      </c>
      <c r="G3509" s="2">
        <v>106000.0</v>
      </c>
    </row>
    <row r="3510" ht="14.25" customHeight="1">
      <c r="A3510" s="2">
        <v>3509.0</v>
      </c>
      <c r="B3510" s="2" t="s">
        <v>2561</v>
      </c>
      <c r="C3510" s="2" t="s">
        <v>5996</v>
      </c>
      <c r="D3510" s="2">
        <v>162.0</v>
      </c>
      <c r="E3510" s="2">
        <v>1.0</v>
      </c>
      <c r="F3510" s="2">
        <v>50.0</v>
      </c>
      <c r="G3510" s="2">
        <v>106000.0</v>
      </c>
    </row>
    <row r="3511" ht="14.25" customHeight="1">
      <c r="A3511" s="2">
        <v>3510.0</v>
      </c>
      <c r="B3511" s="2" t="s">
        <v>2604</v>
      </c>
      <c r="C3511" s="2" t="s">
        <v>5997</v>
      </c>
      <c r="D3511" s="2">
        <v>200.0</v>
      </c>
      <c r="E3511" s="2">
        <v>1.0</v>
      </c>
      <c r="F3511" s="2">
        <v>110.0</v>
      </c>
      <c r="G3511" s="2">
        <v>106000.0</v>
      </c>
    </row>
    <row r="3512" ht="14.25" customHeight="1">
      <c r="A3512" s="2">
        <v>3511.0</v>
      </c>
      <c r="B3512" s="2" t="s">
        <v>2621</v>
      </c>
      <c r="C3512" s="2" t="s">
        <v>5998</v>
      </c>
      <c r="D3512" s="2">
        <v>403.0</v>
      </c>
      <c r="E3512" s="2">
        <v>1.0</v>
      </c>
      <c r="F3512" s="2">
        <v>50.0</v>
      </c>
      <c r="G3512" s="2">
        <v>106000.0</v>
      </c>
    </row>
    <row r="3513" ht="14.25" customHeight="1">
      <c r="A3513" s="2">
        <v>3512.0</v>
      </c>
      <c r="B3513" s="2" t="s">
        <v>2505</v>
      </c>
      <c r="C3513" s="2" t="s">
        <v>5999</v>
      </c>
      <c r="D3513" s="2">
        <v>429.0</v>
      </c>
      <c r="E3513" s="2">
        <v>1.0</v>
      </c>
      <c r="F3513" s="2">
        <v>70.0</v>
      </c>
      <c r="G3513" s="2">
        <v>106000.0</v>
      </c>
    </row>
    <row r="3514" ht="14.25" customHeight="1">
      <c r="A3514" s="2">
        <v>3513.0</v>
      </c>
      <c r="B3514" s="2" t="s">
        <v>2582</v>
      </c>
      <c r="C3514" s="2" t="s">
        <v>6000</v>
      </c>
      <c r="D3514" s="2">
        <v>183.0</v>
      </c>
      <c r="E3514" s="2">
        <v>1.0</v>
      </c>
      <c r="F3514" s="2">
        <v>100.0</v>
      </c>
      <c r="G3514" s="2">
        <v>105900.0</v>
      </c>
    </row>
    <row r="3515" ht="14.25" customHeight="1">
      <c r="A3515" s="2">
        <v>3514.0</v>
      </c>
      <c r="B3515" s="2" t="s">
        <v>2553</v>
      </c>
      <c r="C3515" s="2" t="s">
        <v>6001</v>
      </c>
      <c r="D3515" s="2">
        <v>187.0</v>
      </c>
      <c r="E3515" s="2">
        <v>1.0</v>
      </c>
      <c r="F3515" s="2">
        <v>75.0</v>
      </c>
      <c r="G3515" s="2">
        <v>105900.0</v>
      </c>
    </row>
    <row r="3516" ht="14.25" customHeight="1">
      <c r="A3516" s="2">
        <v>3515.0</v>
      </c>
      <c r="B3516" s="2" t="s">
        <v>2518</v>
      </c>
      <c r="C3516" s="2" t="s">
        <v>6002</v>
      </c>
      <c r="D3516" s="2">
        <v>161.0</v>
      </c>
      <c r="E3516" s="2">
        <v>1.0</v>
      </c>
      <c r="F3516" s="2">
        <v>50.0</v>
      </c>
      <c r="G3516" s="2">
        <v>105800.0</v>
      </c>
    </row>
    <row r="3517" ht="14.25" customHeight="1">
      <c r="A3517" s="2">
        <v>3516.0</v>
      </c>
      <c r="B3517" s="2" t="s">
        <v>2518</v>
      </c>
      <c r="C3517" s="2" t="s">
        <v>6003</v>
      </c>
      <c r="D3517" s="2">
        <v>161.0</v>
      </c>
      <c r="E3517" s="2">
        <v>1.0</v>
      </c>
      <c r="F3517" s="2">
        <v>50.0</v>
      </c>
      <c r="G3517" s="2">
        <v>105800.0</v>
      </c>
    </row>
    <row r="3518" ht="14.25" customHeight="1">
      <c r="A3518" s="2">
        <v>3517.0</v>
      </c>
      <c r="B3518" s="2" t="s">
        <v>2553</v>
      </c>
      <c r="C3518" s="2" t="s">
        <v>6004</v>
      </c>
      <c r="D3518" s="2">
        <v>187.0</v>
      </c>
      <c r="E3518" s="2">
        <v>1.0</v>
      </c>
      <c r="F3518" s="2">
        <v>110.0</v>
      </c>
      <c r="G3518" s="2">
        <v>105800.0</v>
      </c>
    </row>
    <row r="3519" ht="14.25" customHeight="1">
      <c r="A3519" s="2">
        <v>3518.0</v>
      </c>
      <c r="B3519" s="2" t="s">
        <v>2541</v>
      </c>
      <c r="C3519" s="2" t="s">
        <v>6005</v>
      </c>
      <c r="D3519" s="2">
        <v>195.0</v>
      </c>
      <c r="E3519" s="2">
        <v>1.0</v>
      </c>
      <c r="F3519" s="2">
        <v>90.0</v>
      </c>
      <c r="G3519" s="2">
        <v>105800.0</v>
      </c>
    </row>
    <row r="3520" ht="14.25" customHeight="1">
      <c r="A3520" s="2">
        <v>3519.0</v>
      </c>
      <c r="B3520" s="2" t="s">
        <v>2541</v>
      </c>
      <c r="C3520" s="2" t="s">
        <v>6006</v>
      </c>
      <c r="D3520" s="2">
        <v>195.0</v>
      </c>
      <c r="E3520" s="2">
        <v>1.0</v>
      </c>
      <c r="F3520" s="2">
        <v>75.0</v>
      </c>
      <c r="G3520" s="2">
        <v>105800.0</v>
      </c>
    </row>
    <row r="3521" ht="14.25" customHeight="1">
      <c r="A3521" s="2">
        <v>3520.0</v>
      </c>
      <c r="B3521" s="2" t="s">
        <v>2604</v>
      </c>
      <c r="C3521" s="2" t="s">
        <v>6007</v>
      </c>
      <c r="D3521" s="2">
        <v>200.0</v>
      </c>
      <c r="E3521" s="2">
        <v>1.0</v>
      </c>
      <c r="F3521" s="2">
        <v>100.1</v>
      </c>
      <c r="G3521" s="2">
        <v>105800.0</v>
      </c>
    </row>
    <row r="3522" ht="14.25" customHeight="1">
      <c r="A3522" s="2">
        <v>3521.0</v>
      </c>
      <c r="B3522" s="2" t="s">
        <v>2507</v>
      </c>
      <c r="C3522" s="2" t="s">
        <v>6008</v>
      </c>
      <c r="D3522" s="2">
        <v>205.0</v>
      </c>
      <c r="E3522" s="2">
        <v>1.0</v>
      </c>
      <c r="F3522" s="2">
        <v>70.0</v>
      </c>
      <c r="G3522" s="2">
        <v>105800.0</v>
      </c>
    </row>
    <row r="3523" ht="14.25" customHeight="1">
      <c r="A3523" s="2">
        <v>3522.0</v>
      </c>
      <c r="B3523" s="2" t="s">
        <v>2945</v>
      </c>
      <c r="C3523" s="2" t="s">
        <v>6009</v>
      </c>
      <c r="D3523" s="2">
        <v>619.0</v>
      </c>
      <c r="E3523" s="2">
        <v>1.0</v>
      </c>
      <c r="F3523" s="2">
        <v>60.0</v>
      </c>
      <c r="G3523" s="2">
        <v>105800.0</v>
      </c>
    </row>
    <row r="3524" ht="14.25" customHeight="1">
      <c r="A3524" s="2">
        <v>3523.0</v>
      </c>
      <c r="B3524" s="2" t="s">
        <v>2524</v>
      </c>
      <c r="C3524" s="2" t="s">
        <v>6010</v>
      </c>
      <c r="D3524" s="2">
        <v>331.0</v>
      </c>
      <c r="E3524" s="2">
        <v>1.0</v>
      </c>
      <c r="F3524" s="2">
        <v>50.0</v>
      </c>
      <c r="G3524" s="2">
        <v>105700.0</v>
      </c>
    </row>
    <row r="3525" ht="14.25" customHeight="1">
      <c r="A3525" s="2">
        <v>3524.0</v>
      </c>
      <c r="B3525" s="2" t="s">
        <v>2524</v>
      </c>
      <c r="C3525" s="2" t="s">
        <v>6011</v>
      </c>
      <c r="D3525" s="2">
        <v>331.0</v>
      </c>
      <c r="E3525" s="2">
        <v>1.0</v>
      </c>
      <c r="F3525" s="2">
        <v>75.0</v>
      </c>
      <c r="G3525" s="2">
        <v>105700.0</v>
      </c>
    </row>
    <row r="3526" ht="14.25" customHeight="1">
      <c r="A3526" s="2">
        <v>3525.0</v>
      </c>
      <c r="B3526" s="2" t="s">
        <v>2945</v>
      </c>
      <c r="C3526" s="2" t="s">
        <v>6012</v>
      </c>
      <c r="D3526" s="2">
        <v>619.0</v>
      </c>
      <c r="E3526" s="2">
        <v>1.0</v>
      </c>
      <c r="F3526" s="2">
        <v>60.0</v>
      </c>
      <c r="G3526" s="2">
        <v>105700.0</v>
      </c>
    </row>
    <row r="3527" ht="14.25" customHeight="1">
      <c r="A3527" s="2">
        <v>3526.0</v>
      </c>
      <c r="B3527" s="2" t="s">
        <v>2636</v>
      </c>
      <c r="C3527" s="2" t="s">
        <v>6013</v>
      </c>
      <c r="D3527" s="2">
        <v>145.0</v>
      </c>
      <c r="E3527" s="2">
        <v>1.0</v>
      </c>
      <c r="F3527" s="2">
        <v>55.0</v>
      </c>
      <c r="G3527" s="2">
        <v>105600.0</v>
      </c>
    </row>
    <row r="3528" ht="14.25" customHeight="1">
      <c r="A3528" s="2">
        <v>3527.0</v>
      </c>
      <c r="B3528" s="2" t="s">
        <v>2497</v>
      </c>
      <c r="C3528" s="2" t="s">
        <v>6014</v>
      </c>
      <c r="D3528" s="2">
        <v>151.0</v>
      </c>
      <c r="E3528" s="2">
        <v>1.0</v>
      </c>
      <c r="F3528" s="2">
        <v>100.0</v>
      </c>
      <c r="G3528" s="2">
        <v>105600.0</v>
      </c>
    </row>
    <row r="3529" ht="14.25" customHeight="1">
      <c r="A3529" s="2">
        <v>3528.0</v>
      </c>
      <c r="B3529" s="2" t="s">
        <v>2518</v>
      </c>
      <c r="C3529" s="2" t="s">
        <v>6015</v>
      </c>
      <c r="D3529" s="2">
        <v>161.0</v>
      </c>
      <c r="E3529" s="2">
        <v>1.0</v>
      </c>
      <c r="F3529" s="2">
        <v>125.0</v>
      </c>
      <c r="G3529" s="2">
        <v>105600.0</v>
      </c>
    </row>
    <row r="3530" ht="14.25" customHeight="1">
      <c r="A3530" s="2">
        <v>3529.0</v>
      </c>
      <c r="B3530" s="2" t="s">
        <v>2479</v>
      </c>
      <c r="C3530" s="2" t="s">
        <v>6016</v>
      </c>
      <c r="D3530" s="2">
        <v>182.0</v>
      </c>
      <c r="E3530" s="2">
        <v>1.0</v>
      </c>
      <c r="F3530" s="2">
        <v>50.0</v>
      </c>
      <c r="G3530" s="2">
        <v>105600.0</v>
      </c>
    </row>
    <row r="3531" ht="14.25" customHeight="1">
      <c r="A3531" s="2">
        <v>3530.0</v>
      </c>
      <c r="B3531" s="2" t="s">
        <v>2507</v>
      </c>
      <c r="C3531" s="2" t="s">
        <v>6017</v>
      </c>
      <c r="D3531" s="2">
        <v>205.0</v>
      </c>
      <c r="E3531" s="2">
        <v>1.0</v>
      </c>
      <c r="F3531" s="2">
        <v>100.0</v>
      </c>
      <c r="G3531" s="2">
        <v>105600.0</v>
      </c>
    </row>
    <row r="3532" ht="14.25" customHeight="1">
      <c r="A3532" s="2">
        <v>3531.0</v>
      </c>
      <c r="B3532" s="2" t="s">
        <v>2636</v>
      </c>
      <c r="C3532" s="2" t="s">
        <v>6018</v>
      </c>
      <c r="D3532" s="2">
        <v>145.0</v>
      </c>
      <c r="E3532" s="2">
        <v>1.0</v>
      </c>
      <c r="F3532" s="2">
        <v>125.0</v>
      </c>
      <c r="G3532" s="2">
        <v>105500.0</v>
      </c>
    </row>
    <row r="3533" ht="14.25" customHeight="1">
      <c r="A3533" s="2">
        <v>3532.0</v>
      </c>
      <c r="B3533" s="2" t="s">
        <v>2518</v>
      </c>
      <c r="C3533" s="2" t="s">
        <v>6019</v>
      </c>
      <c r="D3533" s="2">
        <v>161.0</v>
      </c>
      <c r="E3533" s="2">
        <v>1.0</v>
      </c>
      <c r="F3533" s="2">
        <v>100.0</v>
      </c>
      <c r="G3533" s="2">
        <v>105500.0</v>
      </c>
    </row>
    <row r="3534" ht="14.25" customHeight="1">
      <c r="A3534" s="2">
        <v>3533.0</v>
      </c>
      <c r="B3534" s="2" t="s">
        <v>2553</v>
      </c>
      <c r="C3534" s="2" t="s">
        <v>6020</v>
      </c>
      <c r="D3534" s="2">
        <v>187.0</v>
      </c>
      <c r="E3534" s="2">
        <v>1.0</v>
      </c>
      <c r="F3534" s="2">
        <v>100.0</v>
      </c>
      <c r="G3534" s="2">
        <v>105500.0</v>
      </c>
    </row>
    <row r="3535" ht="14.25" customHeight="1">
      <c r="A3535" s="2">
        <v>3534.0</v>
      </c>
      <c r="B3535" s="2" t="s">
        <v>2505</v>
      </c>
      <c r="C3535" s="2" t="s">
        <v>6021</v>
      </c>
      <c r="D3535" s="2">
        <v>429.0</v>
      </c>
      <c r="E3535" s="2">
        <v>1.0</v>
      </c>
      <c r="F3535" s="2">
        <v>130.0</v>
      </c>
      <c r="G3535" s="2">
        <v>105500.0</v>
      </c>
    </row>
    <row r="3536" ht="14.25" customHeight="1">
      <c r="A3536" s="2">
        <v>3535.0</v>
      </c>
      <c r="B3536" s="2" t="s">
        <v>2686</v>
      </c>
      <c r="C3536" s="2" t="s">
        <v>6022</v>
      </c>
      <c r="D3536" s="2">
        <v>127.0</v>
      </c>
      <c r="E3536" s="2">
        <v>1.0</v>
      </c>
      <c r="F3536" s="2">
        <v>120.0</v>
      </c>
      <c r="G3536" s="2">
        <v>105400.0</v>
      </c>
    </row>
    <row r="3537" ht="14.25" customHeight="1">
      <c r="A3537" s="2">
        <v>3536.0</v>
      </c>
      <c r="B3537" s="2" t="s">
        <v>2594</v>
      </c>
      <c r="C3537" s="2" t="s">
        <v>6023</v>
      </c>
      <c r="D3537" s="2">
        <v>184.0</v>
      </c>
      <c r="E3537" s="2">
        <v>1.0</v>
      </c>
      <c r="F3537" s="2">
        <v>75.0</v>
      </c>
      <c r="G3537" s="2">
        <v>105400.0</v>
      </c>
    </row>
    <row r="3538" ht="14.25" customHeight="1">
      <c r="A3538" s="2">
        <v>3537.0</v>
      </c>
      <c r="B3538" s="2" t="s">
        <v>2512</v>
      </c>
      <c r="C3538" s="2" t="s">
        <v>6024</v>
      </c>
      <c r="D3538" s="2">
        <v>153.0</v>
      </c>
      <c r="E3538" s="2">
        <v>1.0</v>
      </c>
      <c r="F3538" s="2">
        <v>50.0</v>
      </c>
      <c r="G3538" s="2">
        <v>105300.0</v>
      </c>
    </row>
    <row r="3539" ht="14.25" customHeight="1">
      <c r="A3539" s="2">
        <v>3538.0</v>
      </c>
      <c r="B3539" s="2" t="s">
        <v>2582</v>
      </c>
      <c r="C3539" s="2" t="s">
        <v>6025</v>
      </c>
      <c r="D3539" s="2">
        <v>183.0</v>
      </c>
      <c r="E3539" s="2">
        <v>1.0</v>
      </c>
      <c r="F3539" s="2">
        <v>100.0</v>
      </c>
      <c r="G3539" s="2">
        <v>105300.0</v>
      </c>
    </row>
    <row r="3540" ht="14.25" customHeight="1">
      <c r="A3540" s="2">
        <v>3539.0</v>
      </c>
      <c r="B3540" s="2" t="s">
        <v>2571</v>
      </c>
      <c r="C3540" s="2" t="s">
        <v>6026</v>
      </c>
      <c r="D3540" s="2">
        <v>185.0</v>
      </c>
      <c r="E3540" s="2">
        <v>1.0</v>
      </c>
      <c r="F3540" s="2">
        <v>75.0</v>
      </c>
      <c r="G3540" s="2">
        <v>105300.0</v>
      </c>
    </row>
    <row r="3541" ht="14.25" customHeight="1">
      <c r="A3541" s="2">
        <v>3540.0</v>
      </c>
      <c r="B3541" s="2" t="s">
        <v>2576</v>
      </c>
      <c r="C3541" s="2" t="s">
        <v>6027</v>
      </c>
      <c r="D3541" s="2">
        <v>197.0</v>
      </c>
      <c r="E3541" s="2">
        <v>1.0</v>
      </c>
      <c r="F3541" s="2">
        <v>66.0</v>
      </c>
      <c r="G3541" s="2">
        <v>105300.0</v>
      </c>
    </row>
    <row r="3542" ht="14.25" customHeight="1">
      <c r="A3542" s="2">
        <v>3541.0</v>
      </c>
      <c r="B3542" s="2" t="s">
        <v>2507</v>
      </c>
      <c r="C3542" s="2" t="s">
        <v>6028</v>
      </c>
      <c r="D3542" s="2">
        <v>205.0</v>
      </c>
      <c r="E3542" s="2">
        <v>1.0</v>
      </c>
      <c r="F3542" s="2">
        <v>100.0</v>
      </c>
      <c r="G3542" s="2">
        <v>105300.0</v>
      </c>
    </row>
    <row r="3543" ht="14.25" customHeight="1">
      <c r="A3543" s="2">
        <v>3542.0</v>
      </c>
      <c r="B3543" s="2" t="s">
        <v>2621</v>
      </c>
      <c r="C3543" s="2" t="s">
        <v>6029</v>
      </c>
      <c r="D3543" s="2">
        <v>403.0</v>
      </c>
      <c r="E3543" s="2">
        <v>1.0</v>
      </c>
      <c r="F3543" s="2">
        <v>66.0</v>
      </c>
      <c r="G3543" s="2">
        <v>105300.0</v>
      </c>
    </row>
    <row r="3544" ht="14.25" customHeight="1">
      <c r="A3544" s="2">
        <v>3543.0</v>
      </c>
      <c r="B3544" s="2" t="s">
        <v>2505</v>
      </c>
      <c r="C3544" s="2" t="s">
        <v>6030</v>
      </c>
      <c r="D3544" s="2">
        <v>429.0</v>
      </c>
      <c r="E3544" s="2">
        <v>1.0</v>
      </c>
      <c r="F3544" s="2">
        <v>70.0</v>
      </c>
      <c r="G3544" s="2">
        <v>105300.0</v>
      </c>
    </row>
    <row r="3545" ht="14.25" customHeight="1">
      <c r="A3545" s="2">
        <v>3544.0</v>
      </c>
      <c r="B3545" s="2" t="s">
        <v>2636</v>
      </c>
      <c r="C3545" s="2" t="s">
        <v>6031</v>
      </c>
      <c r="D3545" s="2">
        <v>145.0</v>
      </c>
      <c r="E3545" s="2">
        <v>1.0</v>
      </c>
      <c r="F3545" s="2">
        <v>60.0</v>
      </c>
      <c r="G3545" s="2">
        <v>105200.0</v>
      </c>
    </row>
    <row r="3546" ht="14.25" customHeight="1">
      <c r="A3546" s="2">
        <v>3545.0</v>
      </c>
      <c r="B3546" s="2" t="s">
        <v>2512</v>
      </c>
      <c r="C3546" s="2" t="s">
        <v>6032</v>
      </c>
      <c r="D3546" s="2">
        <v>153.0</v>
      </c>
      <c r="E3546" s="2">
        <v>1.0</v>
      </c>
      <c r="F3546" s="2">
        <v>50.0</v>
      </c>
      <c r="G3546" s="2">
        <v>105200.0</v>
      </c>
    </row>
    <row r="3547" ht="14.25" customHeight="1">
      <c r="A3547" s="2">
        <v>3546.0</v>
      </c>
      <c r="B3547" s="2" t="s">
        <v>2744</v>
      </c>
      <c r="C3547" s="2" t="s">
        <v>6033</v>
      </c>
      <c r="D3547" s="2">
        <v>169.0</v>
      </c>
      <c r="E3547" s="2">
        <v>1.0</v>
      </c>
      <c r="F3547" s="2">
        <v>120.0</v>
      </c>
      <c r="G3547" s="2">
        <v>105200.0</v>
      </c>
    </row>
    <row r="3548" ht="14.25" customHeight="1">
      <c r="A3548" s="2">
        <v>3547.0</v>
      </c>
      <c r="B3548" s="2" t="s">
        <v>2576</v>
      </c>
      <c r="C3548" s="2" t="s">
        <v>6034</v>
      </c>
      <c r="D3548" s="2">
        <v>197.0</v>
      </c>
      <c r="E3548" s="2">
        <v>1.0</v>
      </c>
      <c r="F3548" s="2">
        <v>100.0</v>
      </c>
      <c r="G3548" s="2">
        <v>105200.0</v>
      </c>
    </row>
    <row r="3549" ht="14.25" customHeight="1">
      <c r="A3549" s="2">
        <v>3548.0</v>
      </c>
      <c r="B3549" s="2" t="s">
        <v>2475</v>
      </c>
      <c r="C3549" s="2" t="s">
        <v>6035</v>
      </c>
      <c r="D3549" s="2">
        <v>143.0</v>
      </c>
      <c r="E3549" s="2">
        <v>1.0</v>
      </c>
      <c r="F3549" s="2">
        <v>60.0</v>
      </c>
      <c r="G3549" s="2">
        <v>105100.0</v>
      </c>
    </row>
    <row r="3550" ht="14.25" customHeight="1">
      <c r="A3550" s="2">
        <v>3549.0</v>
      </c>
      <c r="B3550" s="2" t="s">
        <v>2636</v>
      </c>
      <c r="C3550" s="2" t="s">
        <v>6036</v>
      </c>
      <c r="D3550" s="2">
        <v>145.0</v>
      </c>
      <c r="E3550" s="2">
        <v>1.0</v>
      </c>
      <c r="F3550" s="2">
        <v>100.0</v>
      </c>
      <c r="G3550" s="2">
        <v>105100.0</v>
      </c>
    </row>
    <row r="3551" ht="14.25" customHeight="1">
      <c r="A3551" s="2">
        <v>3550.0</v>
      </c>
      <c r="B3551" s="2" t="s">
        <v>2479</v>
      </c>
      <c r="C3551" s="2" t="s">
        <v>6037</v>
      </c>
      <c r="D3551" s="2">
        <v>182.0</v>
      </c>
      <c r="E3551" s="2">
        <v>1.0</v>
      </c>
      <c r="F3551" s="2">
        <v>50.0</v>
      </c>
      <c r="G3551" s="2">
        <v>105100.0</v>
      </c>
    </row>
    <row r="3552" ht="14.25" customHeight="1">
      <c r="A3552" s="2">
        <v>3551.0</v>
      </c>
      <c r="B3552" s="2" t="s">
        <v>2582</v>
      </c>
      <c r="C3552" s="2" t="s">
        <v>6038</v>
      </c>
      <c r="D3552" s="2">
        <v>183.0</v>
      </c>
      <c r="E3552" s="2">
        <v>1.0</v>
      </c>
      <c r="F3552" s="2">
        <v>50.0</v>
      </c>
      <c r="G3552" s="2">
        <v>105100.0</v>
      </c>
    </row>
    <row r="3553" ht="14.25" customHeight="1">
      <c r="A3553" s="2">
        <v>3552.0</v>
      </c>
      <c r="B3553" s="2" t="s">
        <v>2594</v>
      </c>
      <c r="C3553" s="2" t="s">
        <v>6039</v>
      </c>
      <c r="D3553" s="2">
        <v>184.0</v>
      </c>
      <c r="E3553" s="2">
        <v>1.0</v>
      </c>
      <c r="F3553" s="2">
        <v>75.0</v>
      </c>
      <c r="G3553" s="2">
        <v>105100.0</v>
      </c>
    </row>
    <row r="3554" ht="14.25" customHeight="1">
      <c r="A3554" s="2">
        <v>3553.0</v>
      </c>
      <c r="B3554" s="2" t="s">
        <v>2571</v>
      </c>
      <c r="C3554" s="2" t="s">
        <v>6040</v>
      </c>
      <c r="D3554" s="2">
        <v>185.0</v>
      </c>
      <c r="E3554" s="2">
        <v>1.0</v>
      </c>
      <c r="F3554" s="2">
        <v>100.0</v>
      </c>
      <c r="G3554" s="2">
        <v>105100.0</v>
      </c>
    </row>
    <row r="3555" ht="14.25" customHeight="1">
      <c r="A3555" s="2">
        <v>3554.0</v>
      </c>
      <c r="B3555" s="2" t="s">
        <v>2553</v>
      </c>
      <c r="C3555" s="2" t="s">
        <v>6041</v>
      </c>
      <c r="D3555" s="2">
        <v>187.0</v>
      </c>
      <c r="E3555" s="2">
        <v>1.0</v>
      </c>
      <c r="F3555" s="2">
        <v>70.0</v>
      </c>
      <c r="G3555" s="2">
        <v>105100.0</v>
      </c>
    </row>
    <row r="3556" ht="14.25" customHeight="1">
      <c r="A3556" s="2">
        <v>3555.0</v>
      </c>
      <c r="B3556" s="2" t="s">
        <v>2636</v>
      </c>
      <c r="C3556" s="2" t="s">
        <v>6042</v>
      </c>
      <c r="D3556" s="2">
        <v>145.0</v>
      </c>
      <c r="E3556" s="2">
        <v>1.0</v>
      </c>
      <c r="F3556" s="2">
        <v>102.6</v>
      </c>
      <c r="G3556" s="2">
        <v>105000.0</v>
      </c>
    </row>
    <row r="3557" ht="14.25" customHeight="1">
      <c r="A3557" s="2">
        <v>3556.0</v>
      </c>
      <c r="B3557" s="2" t="s">
        <v>2636</v>
      </c>
      <c r="C3557" s="2" t="s">
        <v>6043</v>
      </c>
      <c r="D3557" s="2">
        <v>145.0</v>
      </c>
      <c r="E3557" s="2">
        <v>1.0</v>
      </c>
      <c r="F3557" s="2">
        <v>75.0</v>
      </c>
      <c r="G3557" s="2">
        <v>105000.0</v>
      </c>
    </row>
    <row r="3558" ht="14.25" customHeight="1">
      <c r="A3558" s="2">
        <v>3557.0</v>
      </c>
      <c r="B3558" s="2" t="s">
        <v>2561</v>
      </c>
      <c r="C3558" s="2" t="s">
        <v>6044</v>
      </c>
      <c r="D3558" s="2">
        <v>162.0</v>
      </c>
      <c r="E3558" s="2">
        <v>1.0</v>
      </c>
      <c r="F3558" s="2">
        <v>100.0</v>
      </c>
      <c r="G3558" s="2">
        <v>105000.0</v>
      </c>
    </row>
    <row r="3559" ht="14.25" customHeight="1">
      <c r="A3559" s="2">
        <v>3558.0</v>
      </c>
      <c r="B3559" s="2" t="s">
        <v>2582</v>
      </c>
      <c r="C3559" s="2" t="s">
        <v>6045</v>
      </c>
      <c r="D3559" s="2">
        <v>183.0</v>
      </c>
      <c r="E3559" s="2">
        <v>1.0</v>
      </c>
      <c r="F3559" s="2">
        <v>75.0</v>
      </c>
      <c r="G3559" s="2">
        <v>105000.0</v>
      </c>
    </row>
    <row r="3560" ht="14.25" customHeight="1">
      <c r="A3560" s="2">
        <v>3559.0</v>
      </c>
      <c r="B3560" s="2" t="s">
        <v>2501</v>
      </c>
      <c r="C3560" s="2" t="s">
        <v>6046</v>
      </c>
      <c r="D3560" s="2">
        <v>199.0</v>
      </c>
      <c r="E3560" s="2">
        <v>1.0</v>
      </c>
      <c r="F3560" s="2">
        <v>100.0</v>
      </c>
      <c r="G3560" s="2">
        <v>105000.0</v>
      </c>
    </row>
    <row r="3561" ht="14.25" customHeight="1">
      <c r="A3561" s="2">
        <v>3560.0</v>
      </c>
      <c r="B3561" s="2" t="s">
        <v>2501</v>
      </c>
      <c r="C3561" s="2" t="s">
        <v>6047</v>
      </c>
      <c r="D3561" s="2">
        <v>199.0</v>
      </c>
      <c r="E3561" s="2">
        <v>1.0</v>
      </c>
      <c r="F3561" s="2">
        <v>54.0</v>
      </c>
      <c r="G3561" s="2">
        <v>105000.0</v>
      </c>
    </row>
    <row r="3562" ht="14.25" customHeight="1">
      <c r="A3562" s="2">
        <v>3561.0</v>
      </c>
      <c r="B3562" s="2" t="s">
        <v>2501</v>
      </c>
      <c r="C3562" s="2" t="s">
        <v>6048</v>
      </c>
      <c r="D3562" s="2">
        <v>199.0</v>
      </c>
      <c r="E3562" s="2">
        <v>1.0</v>
      </c>
      <c r="F3562" s="2">
        <v>66.0</v>
      </c>
      <c r="G3562" s="2">
        <v>105000.0</v>
      </c>
    </row>
    <row r="3563" ht="14.25" customHeight="1">
      <c r="A3563" s="2">
        <v>3562.0</v>
      </c>
      <c r="B3563" s="2" t="s">
        <v>2604</v>
      </c>
      <c r="C3563" s="2" t="s">
        <v>6049</v>
      </c>
      <c r="D3563" s="2">
        <v>200.0</v>
      </c>
      <c r="E3563" s="2">
        <v>1.0</v>
      </c>
      <c r="F3563" s="2">
        <v>100.0</v>
      </c>
      <c r="G3563" s="2">
        <v>105000.0</v>
      </c>
    </row>
    <row r="3564" ht="14.25" customHeight="1">
      <c r="A3564" s="2">
        <v>3563.0</v>
      </c>
      <c r="B3564" s="2" t="s">
        <v>2507</v>
      </c>
      <c r="C3564" s="2" t="s">
        <v>6050</v>
      </c>
      <c r="D3564" s="2">
        <v>205.0</v>
      </c>
      <c r="E3564" s="2">
        <v>1.0</v>
      </c>
      <c r="F3564" s="2">
        <v>100.0</v>
      </c>
      <c r="G3564" s="2">
        <v>105000.0</v>
      </c>
    </row>
    <row r="3565" ht="14.25" customHeight="1">
      <c r="A3565" s="2">
        <v>3564.0</v>
      </c>
      <c r="B3565" s="2" t="s">
        <v>2571</v>
      </c>
      <c r="C3565" s="2" t="s">
        <v>6051</v>
      </c>
      <c r="D3565" s="2">
        <v>185.0</v>
      </c>
      <c r="E3565" s="2">
        <v>1.0</v>
      </c>
      <c r="F3565" s="2">
        <v>100.0</v>
      </c>
      <c r="G3565" s="2">
        <v>104900.0</v>
      </c>
    </row>
    <row r="3566" ht="14.25" customHeight="1">
      <c r="A3566" s="2">
        <v>3565.0</v>
      </c>
      <c r="B3566" s="2" t="s">
        <v>2534</v>
      </c>
      <c r="C3566" s="2" t="s">
        <v>6052</v>
      </c>
      <c r="D3566" s="2">
        <v>188.0</v>
      </c>
      <c r="E3566" s="2">
        <v>1.0</v>
      </c>
      <c r="F3566" s="2">
        <v>100.0</v>
      </c>
      <c r="G3566" s="2">
        <v>104900.0</v>
      </c>
    </row>
    <row r="3567" ht="14.25" customHeight="1">
      <c r="A3567" s="2">
        <v>3566.0</v>
      </c>
      <c r="B3567" s="2" t="s">
        <v>2491</v>
      </c>
      <c r="C3567" s="2" t="s">
        <v>6053</v>
      </c>
      <c r="D3567" s="2">
        <v>116.0</v>
      </c>
      <c r="E3567" s="2">
        <v>1.0</v>
      </c>
      <c r="F3567" s="2">
        <v>100.0</v>
      </c>
      <c r="G3567" s="2">
        <v>104800.0</v>
      </c>
    </row>
    <row r="3568" ht="14.25" customHeight="1">
      <c r="A3568" s="2">
        <v>3567.0</v>
      </c>
      <c r="B3568" s="2" t="s">
        <v>2561</v>
      </c>
      <c r="C3568" s="2" t="s">
        <v>6054</v>
      </c>
      <c r="D3568" s="2">
        <v>162.0</v>
      </c>
      <c r="E3568" s="2">
        <v>1.0</v>
      </c>
      <c r="F3568" s="2">
        <v>105.0</v>
      </c>
      <c r="G3568" s="2">
        <v>104800.0</v>
      </c>
    </row>
    <row r="3569" ht="14.25" customHeight="1">
      <c r="A3569" s="2">
        <v>3568.0</v>
      </c>
      <c r="B3569" s="2" t="s">
        <v>2744</v>
      </c>
      <c r="C3569" s="2" t="s">
        <v>6055</v>
      </c>
      <c r="D3569" s="2">
        <v>169.0</v>
      </c>
      <c r="E3569" s="2">
        <v>1.0</v>
      </c>
      <c r="F3569" s="2">
        <v>100.0</v>
      </c>
      <c r="G3569" s="2">
        <v>104800.0</v>
      </c>
    </row>
    <row r="3570" ht="14.25" customHeight="1">
      <c r="A3570" s="2">
        <v>3569.0</v>
      </c>
      <c r="B3570" s="2" t="s">
        <v>2582</v>
      </c>
      <c r="C3570" s="2" t="s">
        <v>6056</v>
      </c>
      <c r="D3570" s="2">
        <v>183.0</v>
      </c>
      <c r="E3570" s="2">
        <v>1.0</v>
      </c>
      <c r="F3570" s="2">
        <v>200.0</v>
      </c>
      <c r="G3570" s="2">
        <v>104800.0</v>
      </c>
    </row>
    <row r="3571" ht="14.25" customHeight="1">
      <c r="A3571" s="2">
        <v>3570.0</v>
      </c>
      <c r="B3571" s="2" t="s">
        <v>2553</v>
      </c>
      <c r="C3571" s="2" t="s">
        <v>6057</v>
      </c>
      <c r="D3571" s="2">
        <v>187.0</v>
      </c>
      <c r="E3571" s="2">
        <v>1.0</v>
      </c>
      <c r="F3571" s="2">
        <v>100.0</v>
      </c>
      <c r="G3571" s="2">
        <v>104800.0</v>
      </c>
    </row>
    <row r="3572" ht="14.25" customHeight="1">
      <c r="A3572" s="2">
        <v>3571.0</v>
      </c>
      <c r="B3572" s="2" t="s">
        <v>2507</v>
      </c>
      <c r="C3572" s="2" t="s">
        <v>6058</v>
      </c>
      <c r="D3572" s="2">
        <v>205.0</v>
      </c>
      <c r="E3572" s="2">
        <v>1.0</v>
      </c>
      <c r="F3572" s="2">
        <v>90.0</v>
      </c>
      <c r="G3572" s="2">
        <v>104800.0</v>
      </c>
    </row>
    <row r="3573" ht="14.25" customHeight="1">
      <c r="A3573" s="2">
        <v>3572.0</v>
      </c>
      <c r="B3573" s="2" t="s">
        <v>2507</v>
      </c>
      <c r="C3573" s="2" t="s">
        <v>6059</v>
      </c>
      <c r="D3573" s="2">
        <v>205.0</v>
      </c>
      <c r="E3573" s="2">
        <v>1.0</v>
      </c>
      <c r="F3573" s="2">
        <v>80.0</v>
      </c>
      <c r="G3573" s="2">
        <v>104800.0</v>
      </c>
    </row>
    <row r="3574" ht="14.25" customHeight="1">
      <c r="A3574" s="2">
        <v>3573.0</v>
      </c>
      <c r="B3574" s="2" t="s">
        <v>2651</v>
      </c>
      <c r="C3574" s="2" t="s">
        <v>6060</v>
      </c>
      <c r="D3574" s="2">
        <v>347.0</v>
      </c>
      <c r="E3574" s="2">
        <v>1.0</v>
      </c>
      <c r="F3574" s="2">
        <v>60.0</v>
      </c>
      <c r="G3574" s="2">
        <v>104800.0</v>
      </c>
    </row>
    <row r="3575" ht="14.25" customHeight="1">
      <c r="A3575" s="2">
        <v>3574.0</v>
      </c>
      <c r="B3575" s="2" t="s">
        <v>2549</v>
      </c>
      <c r="C3575" s="2" t="s">
        <v>6061</v>
      </c>
      <c r="D3575" s="2">
        <v>115.0</v>
      </c>
      <c r="E3575" s="2">
        <v>1.0</v>
      </c>
      <c r="F3575" s="2">
        <v>100.0</v>
      </c>
      <c r="G3575" s="2">
        <v>104700.0</v>
      </c>
    </row>
    <row r="3576" ht="14.25" customHeight="1">
      <c r="A3576" s="2">
        <v>3575.0</v>
      </c>
      <c r="B3576" s="2" t="s">
        <v>2475</v>
      </c>
      <c r="C3576" s="2" t="s">
        <v>6062</v>
      </c>
      <c r="D3576" s="2">
        <v>143.0</v>
      </c>
      <c r="E3576" s="2">
        <v>1.0</v>
      </c>
      <c r="F3576" s="2">
        <v>125.0</v>
      </c>
      <c r="G3576" s="2">
        <v>104700.0</v>
      </c>
    </row>
    <row r="3577" ht="14.25" customHeight="1">
      <c r="A3577" s="2">
        <v>3576.0</v>
      </c>
      <c r="B3577" s="2" t="s">
        <v>2561</v>
      </c>
      <c r="C3577" s="2" t="s">
        <v>6063</v>
      </c>
      <c r="D3577" s="2">
        <v>162.0</v>
      </c>
      <c r="E3577" s="2">
        <v>1.0</v>
      </c>
      <c r="F3577" s="2">
        <v>50.0</v>
      </c>
      <c r="G3577" s="2">
        <v>104700.0</v>
      </c>
    </row>
    <row r="3578" ht="14.25" customHeight="1">
      <c r="A3578" s="2">
        <v>3577.0</v>
      </c>
      <c r="B3578" s="2" t="s">
        <v>2604</v>
      </c>
      <c r="C3578" s="2" t="s">
        <v>6064</v>
      </c>
      <c r="D3578" s="2">
        <v>200.0</v>
      </c>
      <c r="E3578" s="2">
        <v>1.0</v>
      </c>
      <c r="F3578" s="2">
        <v>100.1</v>
      </c>
      <c r="G3578" s="2">
        <v>104700.0</v>
      </c>
    </row>
    <row r="3579" ht="14.25" customHeight="1">
      <c r="A3579" s="2">
        <v>3578.0</v>
      </c>
      <c r="B3579" s="2" t="s">
        <v>2505</v>
      </c>
      <c r="C3579" s="2" t="s">
        <v>6065</v>
      </c>
      <c r="D3579" s="2">
        <v>429.0</v>
      </c>
      <c r="E3579" s="2">
        <v>1.0</v>
      </c>
      <c r="F3579" s="2">
        <v>125.0</v>
      </c>
      <c r="G3579" s="2">
        <v>104700.0</v>
      </c>
    </row>
    <row r="3580" ht="14.25" customHeight="1">
      <c r="A3580" s="2">
        <v>3579.0</v>
      </c>
      <c r="B3580" s="2" t="s">
        <v>2549</v>
      </c>
      <c r="C3580" s="2" t="s">
        <v>6066</v>
      </c>
      <c r="D3580" s="2">
        <v>115.0</v>
      </c>
      <c r="E3580" s="2">
        <v>1.0</v>
      </c>
      <c r="F3580" s="2">
        <v>45.0</v>
      </c>
      <c r="G3580" s="2">
        <v>104600.0</v>
      </c>
    </row>
    <row r="3581" ht="14.25" customHeight="1">
      <c r="A3581" s="2">
        <v>3580.0</v>
      </c>
      <c r="B3581" s="2" t="s">
        <v>2534</v>
      </c>
      <c r="C3581" s="2" t="s">
        <v>6067</v>
      </c>
      <c r="D3581" s="2">
        <v>188.0</v>
      </c>
      <c r="E3581" s="2">
        <v>1.0</v>
      </c>
      <c r="F3581" s="2">
        <v>110.0</v>
      </c>
      <c r="G3581" s="2">
        <v>104600.0</v>
      </c>
    </row>
    <row r="3582" ht="14.25" customHeight="1">
      <c r="A3582" s="2">
        <v>3581.0</v>
      </c>
      <c r="B3582" s="2" t="s">
        <v>2507</v>
      </c>
      <c r="C3582" s="2" t="s">
        <v>6068</v>
      </c>
      <c r="D3582" s="2">
        <v>205.0</v>
      </c>
      <c r="E3582" s="2">
        <v>1.0</v>
      </c>
      <c r="F3582" s="2">
        <v>105.0</v>
      </c>
      <c r="G3582" s="2">
        <v>104600.0</v>
      </c>
    </row>
    <row r="3583" ht="14.25" customHeight="1">
      <c r="A3583" s="2">
        <v>3582.0</v>
      </c>
      <c r="B3583" s="2" t="s">
        <v>2505</v>
      </c>
      <c r="C3583" s="2" t="s">
        <v>6069</v>
      </c>
      <c r="D3583" s="2">
        <v>429.0</v>
      </c>
      <c r="E3583" s="2">
        <v>1.0</v>
      </c>
      <c r="F3583" s="2">
        <v>70.0</v>
      </c>
      <c r="G3583" s="2">
        <v>104600.0</v>
      </c>
    </row>
    <row r="3584" ht="14.25" customHeight="1">
      <c r="A3584" s="2">
        <v>3583.0</v>
      </c>
      <c r="B3584" s="2" t="s">
        <v>2497</v>
      </c>
      <c r="C3584" s="2" t="s">
        <v>6070</v>
      </c>
      <c r="D3584" s="2">
        <v>151.0</v>
      </c>
      <c r="E3584" s="2">
        <v>1.0</v>
      </c>
      <c r="F3584" s="2">
        <v>60.0</v>
      </c>
      <c r="G3584" s="2">
        <v>104500.0</v>
      </c>
    </row>
    <row r="3585" ht="14.25" customHeight="1">
      <c r="A3585" s="2">
        <v>3584.0</v>
      </c>
      <c r="B3585" s="2" t="s">
        <v>2561</v>
      </c>
      <c r="C3585" s="2" t="s">
        <v>6071</v>
      </c>
      <c r="D3585" s="2">
        <v>162.0</v>
      </c>
      <c r="E3585" s="2">
        <v>1.0</v>
      </c>
      <c r="F3585" s="2">
        <v>50.0</v>
      </c>
      <c r="G3585" s="2">
        <v>104500.0</v>
      </c>
    </row>
    <row r="3586" ht="14.25" customHeight="1">
      <c r="A3586" s="2">
        <v>3585.0</v>
      </c>
      <c r="B3586" s="2" t="s">
        <v>2479</v>
      </c>
      <c r="C3586" s="2" t="s">
        <v>6072</v>
      </c>
      <c r="D3586" s="2">
        <v>182.0</v>
      </c>
      <c r="E3586" s="2">
        <v>1.0</v>
      </c>
      <c r="F3586" s="2">
        <v>75.0</v>
      </c>
      <c r="G3586" s="2">
        <v>104500.0</v>
      </c>
    </row>
    <row r="3587" ht="14.25" customHeight="1">
      <c r="A3587" s="2">
        <v>3586.0</v>
      </c>
      <c r="B3587" s="2" t="s">
        <v>2553</v>
      </c>
      <c r="C3587" s="2" t="s">
        <v>6073</v>
      </c>
      <c r="D3587" s="2">
        <v>187.0</v>
      </c>
      <c r="E3587" s="2">
        <v>1.0</v>
      </c>
      <c r="F3587" s="2">
        <v>50.0</v>
      </c>
      <c r="G3587" s="2">
        <v>104500.0</v>
      </c>
    </row>
    <row r="3588" ht="14.25" customHeight="1">
      <c r="A3588" s="2">
        <v>3587.0</v>
      </c>
      <c r="B3588" s="2" t="s">
        <v>2475</v>
      </c>
      <c r="C3588" s="2" t="s">
        <v>6074</v>
      </c>
      <c r="D3588" s="2">
        <v>143.0</v>
      </c>
      <c r="E3588" s="2">
        <v>1.0</v>
      </c>
      <c r="F3588" s="2">
        <v>52.0</v>
      </c>
      <c r="G3588" s="2">
        <v>104400.0</v>
      </c>
    </row>
    <row r="3589" ht="14.25" customHeight="1">
      <c r="A3589" s="2">
        <v>3588.0</v>
      </c>
      <c r="B3589" s="2" t="s">
        <v>2636</v>
      </c>
      <c r="C3589" s="2" t="s">
        <v>6075</v>
      </c>
      <c r="D3589" s="2">
        <v>145.0</v>
      </c>
      <c r="E3589" s="2">
        <v>1.0</v>
      </c>
      <c r="F3589" s="2">
        <v>75.0</v>
      </c>
      <c r="G3589" s="2">
        <v>104400.0</v>
      </c>
    </row>
    <row r="3590" ht="14.25" customHeight="1">
      <c r="A3590" s="2">
        <v>3589.0</v>
      </c>
      <c r="B3590" s="2" t="s">
        <v>2582</v>
      </c>
      <c r="C3590" s="2" t="s">
        <v>6076</v>
      </c>
      <c r="D3590" s="2">
        <v>183.0</v>
      </c>
      <c r="E3590" s="2">
        <v>1.0</v>
      </c>
      <c r="F3590" s="2">
        <v>60.0</v>
      </c>
      <c r="G3590" s="2">
        <v>104400.0</v>
      </c>
    </row>
    <row r="3591" ht="14.25" customHeight="1">
      <c r="A3591" s="2">
        <v>3590.0</v>
      </c>
      <c r="B3591" s="2" t="s">
        <v>2576</v>
      </c>
      <c r="C3591" s="2" t="s">
        <v>6077</v>
      </c>
      <c r="D3591" s="2">
        <v>197.0</v>
      </c>
      <c r="E3591" s="2">
        <v>1.0</v>
      </c>
      <c r="F3591" s="2">
        <v>100.0</v>
      </c>
      <c r="G3591" s="2">
        <v>104400.0</v>
      </c>
    </row>
    <row r="3592" ht="14.25" customHeight="1">
      <c r="A3592" s="2">
        <v>3591.0</v>
      </c>
      <c r="B3592" s="2" t="s">
        <v>2604</v>
      </c>
      <c r="C3592" s="2" t="s">
        <v>6078</v>
      </c>
      <c r="D3592" s="2">
        <v>200.0</v>
      </c>
      <c r="E3592" s="2">
        <v>1.0</v>
      </c>
      <c r="F3592" s="2">
        <v>100.0</v>
      </c>
      <c r="G3592" s="2">
        <v>104400.0</v>
      </c>
    </row>
    <row r="3593" ht="14.25" customHeight="1">
      <c r="A3593" s="2">
        <v>3592.0</v>
      </c>
      <c r="B3593" s="2" t="s">
        <v>2571</v>
      </c>
      <c r="C3593" s="2" t="s">
        <v>6079</v>
      </c>
      <c r="D3593" s="2">
        <v>185.0</v>
      </c>
      <c r="E3593" s="2">
        <v>1.0</v>
      </c>
      <c r="F3593" s="2">
        <v>100.0</v>
      </c>
      <c r="G3593" s="2">
        <v>104300.0</v>
      </c>
    </row>
    <row r="3594" ht="14.25" customHeight="1">
      <c r="A3594" s="2">
        <v>3593.0</v>
      </c>
      <c r="B3594" s="2" t="s">
        <v>2553</v>
      </c>
      <c r="C3594" s="2" t="s">
        <v>6080</v>
      </c>
      <c r="D3594" s="2">
        <v>187.0</v>
      </c>
      <c r="E3594" s="2">
        <v>1.0</v>
      </c>
      <c r="F3594" s="2">
        <v>100.0</v>
      </c>
      <c r="G3594" s="2">
        <v>104300.0</v>
      </c>
    </row>
    <row r="3595" ht="14.25" customHeight="1">
      <c r="A3595" s="2">
        <v>3594.0</v>
      </c>
      <c r="B3595" s="2" t="s">
        <v>2541</v>
      </c>
      <c r="C3595" s="2" t="s">
        <v>6081</v>
      </c>
      <c r="D3595" s="2">
        <v>195.0</v>
      </c>
      <c r="E3595" s="2">
        <v>1.0</v>
      </c>
      <c r="F3595" s="2">
        <v>66.0</v>
      </c>
      <c r="G3595" s="2">
        <v>104300.0</v>
      </c>
    </row>
    <row r="3596" ht="14.25" customHeight="1">
      <c r="A3596" s="2">
        <v>3595.0</v>
      </c>
      <c r="B3596" s="2" t="s">
        <v>2604</v>
      </c>
      <c r="C3596" s="2" t="s">
        <v>6082</v>
      </c>
      <c r="D3596" s="2">
        <v>200.0</v>
      </c>
      <c r="E3596" s="2">
        <v>1.0</v>
      </c>
      <c r="F3596" s="2">
        <v>50.0</v>
      </c>
      <c r="G3596" s="2">
        <v>104300.0</v>
      </c>
    </row>
    <row r="3597" ht="14.25" customHeight="1">
      <c r="A3597" s="2">
        <v>3596.0</v>
      </c>
      <c r="B3597" s="2" t="s">
        <v>2651</v>
      </c>
      <c r="C3597" s="2" t="s">
        <v>6083</v>
      </c>
      <c r="D3597" s="2">
        <v>347.0</v>
      </c>
      <c r="E3597" s="2">
        <v>1.0</v>
      </c>
      <c r="F3597" s="2">
        <v>54.0</v>
      </c>
      <c r="G3597" s="2">
        <v>104300.0</v>
      </c>
    </row>
    <row r="3598" ht="14.25" customHeight="1">
      <c r="A3598" s="2">
        <v>3597.0</v>
      </c>
      <c r="B3598" s="2" t="s">
        <v>2686</v>
      </c>
      <c r="C3598" s="2" t="s">
        <v>6084</v>
      </c>
      <c r="D3598" s="2">
        <v>127.0</v>
      </c>
      <c r="E3598" s="2">
        <v>1.0</v>
      </c>
      <c r="F3598" s="2">
        <v>105.0</v>
      </c>
      <c r="G3598" s="2">
        <v>104200.0</v>
      </c>
    </row>
    <row r="3599" ht="14.25" customHeight="1">
      <c r="A3599" s="2">
        <v>3598.0</v>
      </c>
      <c r="B3599" s="2" t="s">
        <v>2507</v>
      </c>
      <c r="C3599" s="2" t="s">
        <v>6085</v>
      </c>
      <c r="D3599" s="2">
        <v>205.0</v>
      </c>
      <c r="E3599" s="2">
        <v>1.0</v>
      </c>
      <c r="F3599" s="2">
        <v>90.0</v>
      </c>
      <c r="G3599" s="2">
        <v>104200.0</v>
      </c>
    </row>
    <row r="3600" ht="14.25" customHeight="1">
      <c r="A3600" s="2">
        <v>3599.0</v>
      </c>
      <c r="B3600" s="2" t="s">
        <v>2512</v>
      </c>
      <c r="C3600" s="2" t="s">
        <v>6086</v>
      </c>
      <c r="D3600" s="2">
        <v>153.0</v>
      </c>
      <c r="E3600" s="2">
        <v>1.0</v>
      </c>
      <c r="F3600" s="2">
        <v>75.0</v>
      </c>
      <c r="G3600" s="2">
        <v>104100.0</v>
      </c>
    </row>
    <row r="3601" ht="14.25" customHeight="1">
      <c r="A3601" s="2">
        <v>3600.0</v>
      </c>
      <c r="B3601" s="2" t="s">
        <v>2518</v>
      </c>
      <c r="C3601" s="2" t="s">
        <v>6087</v>
      </c>
      <c r="D3601" s="2">
        <v>161.0</v>
      </c>
      <c r="E3601" s="2">
        <v>1.0</v>
      </c>
      <c r="F3601" s="2">
        <v>75.0</v>
      </c>
      <c r="G3601" s="2">
        <v>104100.0</v>
      </c>
    </row>
    <row r="3602" ht="14.25" customHeight="1">
      <c r="A3602" s="2">
        <v>3601.0</v>
      </c>
      <c r="B3602" s="2" t="s">
        <v>2553</v>
      </c>
      <c r="C3602" s="2" t="s">
        <v>6088</v>
      </c>
      <c r="D3602" s="2">
        <v>187.0</v>
      </c>
      <c r="E3602" s="2">
        <v>1.0</v>
      </c>
      <c r="F3602" s="2">
        <v>50.0</v>
      </c>
      <c r="G3602" s="2">
        <v>104100.0</v>
      </c>
    </row>
    <row r="3603" ht="14.25" customHeight="1">
      <c r="A3603" s="2">
        <v>3602.0</v>
      </c>
      <c r="B3603" s="2" t="s">
        <v>2512</v>
      </c>
      <c r="C3603" s="2" t="s">
        <v>6089</v>
      </c>
      <c r="D3603" s="2">
        <v>153.0</v>
      </c>
      <c r="E3603" s="2">
        <v>1.0</v>
      </c>
      <c r="F3603" s="2">
        <v>50.0</v>
      </c>
      <c r="G3603" s="2">
        <v>104000.0</v>
      </c>
    </row>
    <row r="3604" ht="14.25" customHeight="1">
      <c r="A3604" s="2">
        <v>3603.0</v>
      </c>
      <c r="B3604" s="2" t="s">
        <v>2744</v>
      </c>
      <c r="C3604" s="2" t="s">
        <v>6090</v>
      </c>
      <c r="D3604" s="2">
        <v>169.0</v>
      </c>
      <c r="E3604" s="2">
        <v>1.0</v>
      </c>
      <c r="F3604" s="2">
        <v>100.0</v>
      </c>
      <c r="G3604" s="2">
        <v>104000.0</v>
      </c>
    </row>
    <row r="3605" ht="14.25" customHeight="1">
      <c r="A3605" s="2">
        <v>3604.0</v>
      </c>
      <c r="B3605" s="2" t="s">
        <v>2479</v>
      </c>
      <c r="C3605" s="2" t="s">
        <v>6091</v>
      </c>
      <c r="D3605" s="2">
        <v>182.0</v>
      </c>
      <c r="E3605" s="2">
        <v>1.0</v>
      </c>
      <c r="F3605" s="2">
        <v>100.0</v>
      </c>
      <c r="G3605" s="2">
        <v>104000.0</v>
      </c>
    </row>
    <row r="3606" ht="14.25" customHeight="1">
      <c r="A3606" s="2">
        <v>3605.0</v>
      </c>
      <c r="B3606" s="2" t="s">
        <v>2582</v>
      </c>
      <c r="C3606" s="2" t="s">
        <v>6092</v>
      </c>
      <c r="D3606" s="2">
        <v>183.0</v>
      </c>
      <c r="E3606" s="2">
        <v>1.0</v>
      </c>
      <c r="F3606" s="2">
        <v>100.0</v>
      </c>
      <c r="G3606" s="2">
        <v>104000.0</v>
      </c>
    </row>
    <row r="3607" ht="14.25" customHeight="1">
      <c r="A3607" s="2">
        <v>3606.0</v>
      </c>
      <c r="B3607" s="2" t="s">
        <v>2507</v>
      </c>
      <c r="C3607" s="2" t="s">
        <v>6093</v>
      </c>
      <c r="D3607" s="2">
        <v>205.0</v>
      </c>
      <c r="E3607" s="2">
        <v>1.0</v>
      </c>
      <c r="F3607" s="2">
        <v>75.0</v>
      </c>
      <c r="G3607" s="2">
        <v>104000.0</v>
      </c>
    </row>
    <row r="3608" ht="14.25" customHeight="1">
      <c r="A3608" s="2">
        <v>3607.0</v>
      </c>
      <c r="B3608" s="2" t="s">
        <v>2512</v>
      </c>
      <c r="C3608" s="2" t="s">
        <v>6094</v>
      </c>
      <c r="D3608" s="2">
        <v>153.0</v>
      </c>
      <c r="E3608" s="2">
        <v>1.0</v>
      </c>
      <c r="F3608" s="2">
        <v>50.0</v>
      </c>
      <c r="G3608" s="2">
        <v>103900.0</v>
      </c>
    </row>
    <row r="3609" ht="14.25" customHeight="1">
      <c r="A3609" s="2">
        <v>3608.0</v>
      </c>
      <c r="B3609" s="2" t="s">
        <v>2621</v>
      </c>
      <c r="C3609" s="2" t="s">
        <v>6095</v>
      </c>
      <c r="D3609" s="2">
        <v>403.0</v>
      </c>
      <c r="E3609" s="2">
        <v>1.0</v>
      </c>
      <c r="F3609" s="2">
        <v>100.0</v>
      </c>
      <c r="G3609" s="2">
        <v>103900.0</v>
      </c>
    </row>
    <row r="3610" ht="14.25" customHeight="1">
      <c r="A3610" s="2">
        <v>3609.0</v>
      </c>
      <c r="B3610" s="2" t="s">
        <v>2518</v>
      </c>
      <c r="C3610" s="2" t="s">
        <v>6096</v>
      </c>
      <c r="D3610" s="2">
        <v>161.0</v>
      </c>
      <c r="E3610" s="2">
        <v>1.0</v>
      </c>
      <c r="F3610" s="2">
        <v>100.0</v>
      </c>
      <c r="G3610" s="2">
        <v>103800.0</v>
      </c>
    </row>
    <row r="3611" ht="14.25" customHeight="1">
      <c r="A3611" s="2">
        <v>3610.0</v>
      </c>
      <c r="B3611" s="2" t="s">
        <v>2561</v>
      </c>
      <c r="C3611" s="2" t="s">
        <v>6097</v>
      </c>
      <c r="D3611" s="2">
        <v>162.0</v>
      </c>
      <c r="E3611" s="2">
        <v>1.0</v>
      </c>
      <c r="F3611" s="2">
        <v>50.0</v>
      </c>
      <c r="G3611" s="2">
        <v>103800.0</v>
      </c>
    </row>
    <row r="3612" ht="14.25" customHeight="1">
      <c r="A3612" s="2">
        <v>3611.0</v>
      </c>
      <c r="B3612" s="2" t="s">
        <v>2594</v>
      </c>
      <c r="C3612" s="2" t="s">
        <v>6098</v>
      </c>
      <c r="D3612" s="2">
        <v>184.0</v>
      </c>
      <c r="E3612" s="2">
        <v>1.0</v>
      </c>
      <c r="F3612" s="2">
        <v>70.0</v>
      </c>
      <c r="G3612" s="2">
        <v>103800.0</v>
      </c>
    </row>
    <row r="3613" ht="14.25" customHeight="1">
      <c r="A3613" s="2">
        <v>3612.0</v>
      </c>
      <c r="B3613" s="2" t="s">
        <v>2576</v>
      </c>
      <c r="C3613" s="2" t="s">
        <v>6099</v>
      </c>
      <c r="D3613" s="2">
        <v>197.0</v>
      </c>
      <c r="E3613" s="2">
        <v>1.0</v>
      </c>
      <c r="F3613" s="2">
        <v>75.0</v>
      </c>
      <c r="G3613" s="2">
        <v>103800.0</v>
      </c>
    </row>
    <row r="3614" ht="14.25" customHeight="1">
      <c r="A3614" s="2">
        <v>3613.0</v>
      </c>
      <c r="B3614" s="2" t="s">
        <v>2507</v>
      </c>
      <c r="C3614" s="2" t="s">
        <v>6100</v>
      </c>
      <c r="D3614" s="2">
        <v>205.0</v>
      </c>
      <c r="E3614" s="2">
        <v>1.0</v>
      </c>
      <c r="F3614" s="2">
        <v>100.0</v>
      </c>
      <c r="G3614" s="2">
        <v>103800.0</v>
      </c>
    </row>
    <row r="3615" ht="14.25" customHeight="1">
      <c r="A3615" s="2">
        <v>3614.0</v>
      </c>
      <c r="B3615" s="2" t="s">
        <v>2651</v>
      </c>
      <c r="C3615" s="2" t="s">
        <v>6101</v>
      </c>
      <c r="D3615" s="2">
        <v>347.0</v>
      </c>
      <c r="E3615" s="2">
        <v>1.0</v>
      </c>
      <c r="F3615" s="2">
        <v>60.0</v>
      </c>
      <c r="G3615" s="2">
        <v>103800.0</v>
      </c>
    </row>
    <row r="3616" ht="14.25" customHeight="1">
      <c r="A3616" s="2">
        <v>3615.0</v>
      </c>
      <c r="B3616" s="2" t="s">
        <v>2518</v>
      </c>
      <c r="C3616" s="2" t="s">
        <v>6102</v>
      </c>
      <c r="D3616" s="2">
        <v>161.0</v>
      </c>
      <c r="E3616" s="2">
        <v>1.0</v>
      </c>
      <c r="F3616" s="2">
        <v>54.0</v>
      </c>
      <c r="G3616" s="2">
        <v>103700.0</v>
      </c>
    </row>
    <row r="3617" ht="14.25" customHeight="1">
      <c r="A3617" s="2">
        <v>3616.0</v>
      </c>
      <c r="B3617" s="2" t="s">
        <v>2594</v>
      </c>
      <c r="C3617" s="2" t="s">
        <v>6103</v>
      </c>
      <c r="D3617" s="2">
        <v>184.0</v>
      </c>
      <c r="E3617" s="2">
        <v>1.0</v>
      </c>
      <c r="F3617" s="2">
        <v>62.5</v>
      </c>
      <c r="G3617" s="2">
        <v>103700.0</v>
      </c>
    </row>
    <row r="3618" ht="14.25" customHeight="1">
      <c r="A3618" s="2">
        <v>3617.0</v>
      </c>
      <c r="B3618" s="2" t="s">
        <v>2501</v>
      </c>
      <c r="C3618" s="2" t="s">
        <v>6104</v>
      </c>
      <c r="D3618" s="2">
        <v>199.0</v>
      </c>
      <c r="E3618" s="2">
        <v>1.0</v>
      </c>
      <c r="F3618" s="2">
        <v>50.0</v>
      </c>
      <c r="G3618" s="2">
        <v>103700.0</v>
      </c>
    </row>
    <row r="3619" ht="14.25" customHeight="1">
      <c r="A3619" s="2">
        <v>3618.0</v>
      </c>
      <c r="B3619" s="2" t="s">
        <v>2524</v>
      </c>
      <c r="C3619" s="2" t="s">
        <v>6105</v>
      </c>
      <c r="D3619" s="2">
        <v>331.0</v>
      </c>
      <c r="E3619" s="2">
        <v>1.0</v>
      </c>
      <c r="F3619" s="2">
        <v>50.0</v>
      </c>
      <c r="G3619" s="2">
        <v>103700.0</v>
      </c>
    </row>
    <row r="3620" ht="14.25" customHeight="1">
      <c r="A3620" s="2">
        <v>3619.0</v>
      </c>
      <c r="B3620" s="2" t="s">
        <v>2561</v>
      </c>
      <c r="C3620" s="2" t="s">
        <v>6106</v>
      </c>
      <c r="D3620" s="2">
        <v>162.0</v>
      </c>
      <c r="E3620" s="2">
        <v>1.0</v>
      </c>
      <c r="F3620" s="2">
        <v>100.0</v>
      </c>
      <c r="G3620" s="2">
        <v>103600.0</v>
      </c>
    </row>
    <row r="3621" ht="14.25" customHeight="1">
      <c r="A3621" s="2">
        <v>3620.0</v>
      </c>
      <c r="B3621" s="2" t="s">
        <v>2479</v>
      </c>
      <c r="C3621" s="2" t="s">
        <v>6107</v>
      </c>
      <c r="D3621" s="2">
        <v>182.0</v>
      </c>
      <c r="E3621" s="2">
        <v>1.0</v>
      </c>
      <c r="F3621" s="2">
        <v>50.0</v>
      </c>
      <c r="G3621" s="2">
        <v>103600.0</v>
      </c>
    </row>
    <row r="3622" ht="14.25" customHeight="1">
      <c r="A3622" s="2">
        <v>3621.0</v>
      </c>
      <c r="B3622" s="2" t="s">
        <v>2604</v>
      </c>
      <c r="C3622" s="2" t="s">
        <v>6108</v>
      </c>
      <c r="D3622" s="2">
        <v>200.0</v>
      </c>
      <c r="E3622" s="2">
        <v>1.0</v>
      </c>
      <c r="F3622" s="2">
        <v>100.0</v>
      </c>
      <c r="G3622" s="2">
        <v>103600.0</v>
      </c>
    </row>
    <row r="3623" ht="14.25" customHeight="1">
      <c r="A3623" s="2">
        <v>3622.0</v>
      </c>
      <c r="B3623" s="2" t="s">
        <v>2524</v>
      </c>
      <c r="C3623" s="2" t="s">
        <v>6109</v>
      </c>
      <c r="D3623" s="2">
        <v>331.0</v>
      </c>
      <c r="E3623" s="2">
        <v>1.0</v>
      </c>
      <c r="F3623" s="2">
        <v>50.0</v>
      </c>
      <c r="G3623" s="2">
        <v>103600.0</v>
      </c>
    </row>
    <row r="3624" ht="14.25" customHeight="1">
      <c r="A3624" s="2">
        <v>3623.0</v>
      </c>
      <c r="B3624" s="2" t="s">
        <v>2505</v>
      </c>
      <c r="C3624" s="2" t="s">
        <v>6110</v>
      </c>
      <c r="D3624" s="2">
        <v>429.0</v>
      </c>
      <c r="E3624" s="2">
        <v>1.0</v>
      </c>
      <c r="F3624" s="2">
        <v>100.0</v>
      </c>
      <c r="G3624" s="2">
        <v>103600.0</v>
      </c>
    </row>
    <row r="3625" ht="14.25" customHeight="1">
      <c r="A3625" s="2">
        <v>3624.0</v>
      </c>
      <c r="B3625" s="2" t="s">
        <v>2503</v>
      </c>
      <c r="C3625" s="2" t="s">
        <v>6111</v>
      </c>
      <c r="D3625" s="2">
        <v>105.0</v>
      </c>
      <c r="E3625" s="2">
        <v>1.0</v>
      </c>
      <c r="F3625" s="2">
        <v>66.0</v>
      </c>
      <c r="G3625" s="2">
        <v>103500.0</v>
      </c>
    </row>
    <row r="3626" ht="14.25" customHeight="1">
      <c r="A3626" s="2">
        <v>3625.0</v>
      </c>
      <c r="B3626" s="2" t="s">
        <v>2497</v>
      </c>
      <c r="C3626" s="2" t="s">
        <v>6112</v>
      </c>
      <c r="D3626" s="2">
        <v>151.0</v>
      </c>
      <c r="E3626" s="2">
        <v>1.0</v>
      </c>
      <c r="F3626" s="2">
        <v>70.0</v>
      </c>
      <c r="G3626" s="2">
        <v>103500.0</v>
      </c>
    </row>
    <row r="3627" ht="14.25" customHeight="1">
      <c r="A3627" s="2">
        <v>3626.0</v>
      </c>
      <c r="B3627" s="2" t="s">
        <v>2479</v>
      </c>
      <c r="C3627" s="2" t="s">
        <v>6113</v>
      </c>
      <c r="D3627" s="2">
        <v>182.0</v>
      </c>
      <c r="E3627" s="2">
        <v>1.0</v>
      </c>
      <c r="F3627" s="2">
        <v>50.0</v>
      </c>
      <c r="G3627" s="2">
        <v>103500.0</v>
      </c>
    </row>
    <row r="3628" ht="14.25" customHeight="1">
      <c r="A3628" s="2">
        <v>3627.0</v>
      </c>
      <c r="B3628" s="2" t="s">
        <v>2553</v>
      </c>
      <c r="C3628" s="2" t="s">
        <v>6114</v>
      </c>
      <c r="D3628" s="2">
        <v>187.0</v>
      </c>
      <c r="E3628" s="2">
        <v>1.0</v>
      </c>
      <c r="F3628" s="2">
        <v>85.0</v>
      </c>
      <c r="G3628" s="2">
        <v>103500.0</v>
      </c>
    </row>
    <row r="3629" ht="14.25" customHeight="1">
      <c r="A3629" s="2">
        <v>3628.0</v>
      </c>
      <c r="B3629" s="2" t="s">
        <v>2553</v>
      </c>
      <c r="C3629" s="2" t="s">
        <v>6115</v>
      </c>
      <c r="D3629" s="2">
        <v>187.0</v>
      </c>
      <c r="E3629" s="2">
        <v>1.0</v>
      </c>
      <c r="F3629" s="2">
        <v>100.0</v>
      </c>
      <c r="G3629" s="2">
        <v>103500.0</v>
      </c>
    </row>
    <row r="3630" ht="14.25" customHeight="1">
      <c r="A3630" s="2">
        <v>3629.0</v>
      </c>
      <c r="B3630" s="2" t="s">
        <v>2507</v>
      </c>
      <c r="C3630" s="2" t="s">
        <v>6116</v>
      </c>
      <c r="D3630" s="2">
        <v>205.0</v>
      </c>
      <c r="E3630" s="2">
        <v>1.0</v>
      </c>
      <c r="F3630" s="2">
        <v>85.0</v>
      </c>
      <c r="G3630" s="2">
        <v>103500.0</v>
      </c>
    </row>
    <row r="3631" ht="14.25" customHeight="1">
      <c r="A3631" s="2">
        <v>3630.0</v>
      </c>
      <c r="B3631" s="2" t="s">
        <v>2505</v>
      </c>
      <c r="C3631" s="2" t="s">
        <v>6117</v>
      </c>
      <c r="D3631" s="2">
        <v>429.0</v>
      </c>
      <c r="E3631" s="2">
        <v>1.0</v>
      </c>
      <c r="F3631" s="2">
        <v>80.0</v>
      </c>
      <c r="G3631" s="2">
        <v>103500.0</v>
      </c>
    </row>
    <row r="3632" ht="14.25" customHeight="1">
      <c r="A3632" s="2">
        <v>3631.0</v>
      </c>
      <c r="B3632" s="2" t="s">
        <v>2491</v>
      </c>
      <c r="C3632" s="2" t="s">
        <v>6118</v>
      </c>
      <c r="D3632" s="2">
        <v>116.0</v>
      </c>
      <c r="E3632" s="2">
        <v>1.0</v>
      </c>
      <c r="F3632" s="2">
        <v>100.0</v>
      </c>
      <c r="G3632" s="2">
        <v>103400.0</v>
      </c>
    </row>
    <row r="3633" ht="14.25" customHeight="1">
      <c r="A3633" s="2">
        <v>3632.0</v>
      </c>
      <c r="B3633" s="2" t="s">
        <v>2505</v>
      </c>
      <c r="C3633" s="2" t="s">
        <v>6119</v>
      </c>
      <c r="D3633" s="2">
        <v>429.0</v>
      </c>
      <c r="E3633" s="2">
        <v>1.0</v>
      </c>
      <c r="F3633" s="2">
        <v>100.0</v>
      </c>
      <c r="G3633" s="2">
        <v>103400.0</v>
      </c>
    </row>
    <row r="3634" ht="14.25" customHeight="1">
      <c r="A3634" s="2">
        <v>3633.0</v>
      </c>
      <c r="B3634" s="2" t="s">
        <v>2549</v>
      </c>
      <c r="C3634" s="2" t="s">
        <v>6120</v>
      </c>
      <c r="D3634" s="2">
        <v>115.0</v>
      </c>
      <c r="E3634" s="2">
        <v>1.0</v>
      </c>
      <c r="F3634" s="2">
        <v>65.0</v>
      </c>
      <c r="G3634" s="2">
        <v>103300.0</v>
      </c>
    </row>
    <row r="3635" ht="14.25" customHeight="1">
      <c r="A3635" s="2">
        <v>3634.0</v>
      </c>
      <c r="B3635" s="2" t="s">
        <v>2561</v>
      </c>
      <c r="C3635" s="2" t="s">
        <v>6121</v>
      </c>
      <c r="D3635" s="2">
        <v>162.0</v>
      </c>
      <c r="E3635" s="2">
        <v>1.0</v>
      </c>
      <c r="F3635" s="2">
        <v>50.0</v>
      </c>
      <c r="G3635" s="2">
        <v>103300.0</v>
      </c>
    </row>
    <row r="3636" ht="14.25" customHeight="1">
      <c r="A3636" s="2">
        <v>3635.0</v>
      </c>
      <c r="B3636" s="2" t="s">
        <v>2744</v>
      </c>
      <c r="C3636" s="2" t="s">
        <v>6122</v>
      </c>
      <c r="D3636" s="2">
        <v>169.0</v>
      </c>
      <c r="E3636" s="2">
        <v>1.0</v>
      </c>
      <c r="F3636" s="2">
        <v>100.0</v>
      </c>
      <c r="G3636" s="2">
        <v>103300.0</v>
      </c>
    </row>
    <row r="3637" ht="14.25" customHeight="1">
      <c r="A3637" s="2">
        <v>3636.0</v>
      </c>
      <c r="B3637" s="2" t="s">
        <v>2507</v>
      </c>
      <c r="C3637" s="2" t="s">
        <v>6123</v>
      </c>
      <c r="D3637" s="2">
        <v>205.0</v>
      </c>
      <c r="E3637" s="2">
        <v>1.0</v>
      </c>
      <c r="F3637" s="2">
        <v>150.0</v>
      </c>
      <c r="G3637" s="2">
        <v>103300.0</v>
      </c>
    </row>
    <row r="3638" ht="14.25" customHeight="1">
      <c r="A3638" s="2">
        <v>3637.0</v>
      </c>
      <c r="B3638" s="2" t="s">
        <v>2488</v>
      </c>
      <c r="C3638" s="2" t="s">
        <v>6124</v>
      </c>
      <c r="D3638" s="2">
        <v>333.0</v>
      </c>
      <c r="E3638" s="2">
        <v>1.0</v>
      </c>
      <c r="F3638" s="2">
        <v>50.0</v>
      </c>
      <c r="G3638" s="2">
        <v>103300.0</v>
      </c>
    </row>
    <row r="3639" ht="14.25" customHeight="1">
      <c r="A3639" s="2">
        <v>3638.0</v>
      </c>
      <c r="B3639" s="2" t="s">
        <v>2475</v>
      </c>
      <c r="C3639" s="2" t="s">
        <v>6125</v>
      </c>
      <c r="D3639" s="2">
        <v>143.0</v>
      </c>
      <c r="E3639" s="2">
        <v>1.0</v>
      </c>
      <c r="F3639" s="2">
        <v>50.0</v>
      </c>
      <c r="G3639" s="2">
        <v>103200.0</v>
      </c>
    </row>
    <row r="3640" ht="14.25" customHeight="1">
      <c r="A3640" s="2">
        <v>3639.0</v>
      </c>
      <c r="B3640" s="2" t="s">
        <v>2497</v>
      </c>
      <c r="C3640" s="2" t="s">
        <v>6126</v>
      </c>
      <c r="D3640" s="2">
        <v>151.0</v>
      </c>
      <c r="E3640" s="2">
        <v>1.0</v>
      </c>
      <c r="F3640" s="2">
        <v>60.0</v>
      </c>
      <c r="G3640" s="2">
        <v>103200.0</v>
      </c>
    </row>
    <row r="3641" ht="14.25" customHeight="1">
      <c r="A3641" s="2">
        <v>3640.0</v>
      </c>
      <c r="B3641" s="2" t="s">
        <v>2561</v>
      </c>
      <c r="C3641" s="2" t="s">
        <v>6127</v>
      </c>
      <c r="D3641" s="2">
        <v>162.0</v>
      </c>
      <c r="E3641" s="2">
        <v>1.0</v>
      </c>
      <c r="F3641" s="2">
        <v>75.0</v>
      </c>
      <c r="G3641" s="2">
        <v>103200.0</v>
      </c>
    </row>
    <row r="3642" ht="14.25" customHeight="1">
      <c r="A3642" s="2">
        <v>3641.0</v>
      </c>
      <c r="B3642" s="2" t="s">
        <v>2501</v>
      </c>
      <c r="C3642" s="2" t="s">
        <v>6128</v>
      </c>
      <c r="D3642" s="2">
        <v>199.0</v>
      </c>
      <c r="E3642" s="2">
        <v>1.0</v>
      </c>
      <c r="F3642" s="2">
        <v>80.0</v>
      </c>
      <c r="G3642" s="2">
        <v>103200.0</v>
      </c>
    </row>
    <row r="3643" ht="14.25" customHeight="1">
      <c r="A3643" s="2">
        <v>3642.0</v>
      </c>
      <c r="B3643" s="2" t="s">
        <v>2507</v>
      </c>
      <c r="C3643" s="2" t="s">
        <v>6129</v>
      </c>
      <c r="D3643" s="2">
        <v>205.0</v>
      </c>
      <c r="E3643" s="2">
        <v>1.0</v>
      </c>
      <c r="F3643" s="2">
        <v>100.0</v>
      </c>
      <c r="G3643" s="2">
        <v>103200.0</v>
      </c>
    </row>
    <row r="3644" ht="14.25" customHeight="1">
      <c r="A3644" s="2">
        <v>3643.0</v>
      </c>
      <c r="B3644" s="2" t="s">
        <v>2621</v>
      </c>
      <c r="C3644" s="2" t="s">
        <v>6130</v>
      </c>
      <c r="D3644" s="2">
        <v>403.0</v>
      </c>
      <c r="E3644" s="2">
        <v>1.0</v>
      </c>
      <c r="F3644" s="2">
        <v>75.0</v>
      </c>
      <c r="G3644" s="2">
        <v>103200.0</v>
      </c>
    </row>
    <row r="3645" ht="14.25" customHeight="1">
      <c r="A3645" s="2">
        <v>3644.0</v>
      </c>
      <c r="B3645" s="2" t="s">
        <v>2582</v>
      </c>
      <c r="C3645" s="2" t="s">
        <v>6131</v>
      </c>
      <c r="D3645" s="2">
        <v>183.0</v>
      </c>
      <c r="E3645" s="2">
        <v>1.0</v>
      </c>
      <c r="F3645" s="2">
        <v>110.0</v>
      </c>
      <c r="G3645" s="2">
        <v>103100.0</v>
      </c>
    </row>
    <row r="3646" ht="14.25" customHeight="1">
      <c r="A3646" s="2">
        <v>3645.0</v>
      </c>
      <c r="B3646" s="2" t="s">
        <v>2576</v>
      </c>
      <c r="C3646" s="2" t="s">
        <v>6132</v>
      </c>
      <c r="D3646" s="2">
        <v>197.0</v>
      </c>
      <c r="E3646" s="2">
        <v>1.0</v>
      </c>
      <c r="F3646" s="2">
        <v>100.0</v>
      </c>
      <c r="G3646" s="2">
        <v>103100.0</v>
      </c>
    </row>
    <row r="3647" ht="14.25" customHeight="1">
      <c r="A3647" s="2">
        <v>3646.0</v>
      </c>
      <c r="B3647" s="2" t="s">
        <v>2604</v>
      </c>
      <c r="C3647" s="2" t="s">
        <v>6133</v>
      </c>
      <c r="D3647" s="2">
        <v>200.0</v>
      </c>
      <c r="E3647" s="2">
        <v>1.0</v>
      </c>
      <c r="F3647" s="2">
        <v>100.0</v>
      </c>
      <c r="G3647" s="2">
        <v>103100.0</v>
      </c>
    </row>
    <row r="3648" ht="14.25" customHeight="1">
      <c r="A3648" s="2">
        <v>3647.0</v>
      </c>
      <c r="B3648" s="2" t="s">
        <v>2651</v>
      </c>
      <c r="C3648" s="2" t="s">
        <v>6134</v>
      </c>
      <c r="D3648" s="2">
        <v>347.0</v>
      </c>
      <c r="E3648" s="2">
        <v>1.0</v>
      </c>
      <c r="F3648" s="2">
        <v>65.0</v>
      </c>
      <c r="G3648" s="2">
        <v>103100.0</v>
      </c>
    </row>
    <row r="3649" ht="14.25" customHeight="1">
      <c r="A3649" s="2">
        <v>3648.0</v>
      </c>
      <c r="B3649" s="2" t="s">
        <v>2503</v>
      </c>
      <c r="C3649" s="2" t="s">
        <v>6135</v>
      </c>
      <c r="D3649" s="2">
        <v>105.0</v>
      </c>
      <c r="E3649" s="2">
        <v>1.0</v>
      </c>
      <c r="F3649" s="2">
        <v>66.0</v>
      </c>
      <c r="G3649" s="2">
        <v>103000.0</v>
      </c>
    </row>
    <row r="3650" ht="14.25" customHeight="1">
      <c r="A3650" s="2">
        <v>3649.0</v>
      </c>
      <c r="B3650" s="2" t="s">
        <v>2497</v>
      </c>
      <c r="C3650" s="2" t="s">
        <v>6136</v>
      </c>
      <c r="D3650" s="2">
        <v>151.0</v>
      </c>
      <c r="E3650" s="2">
        <v>1.0</v>
      </c>
      <c r="F3650" s="2">
        <v>99.0</v>
      </c>
      <c r="G3650" s="2">
        <v>103000.0</v>
      </c>
    </row>
    <row r="3651" ht="14.25" customHeight="1">
      <c r="A3651" s="2">
        <v>3650.0</v>
      </c>
      <c r="B3651" s="2" t="s">
        <v>2518</v>
      </c>
      <c r="C3651" s="2" t="s">
        <v>6137</v>
      </c>
      <c r="D3651" s="2">
        <v>161.0</v>
      </c>
      <c r="E3651" s="2">
        <v>1.0</v>
      </c>
      <c r="F3651" s="2">
        <v>75.0</v>
      </c>
      <c r="G3651" s="2">
        <v>103000.0</v>
      </c>
    </row>
    <row r="3652" ht="14.25" customHeight="1">
      <c r="A3652" s="2">
        <v>3651.0</v>
      </c>
      <c r="B3652" s="2" t="s">
        <v>2479</v>
      </c>
      <c r="C3652" s="2" t="s">
        <v>6138</v>
      </c>
      <c r="D3652" s="2">
        <v>182.0</v>
      </c>
      <c r="E3652" s="2">
        <v>1.0</v>
      </c>
      <c r="F3652" s="2">
        <v>50.0</v>
      </c>
      <c r="G3652" s="2">
        <v>103000.0</v>
      </c>
    </row>
    <row r="3653" ht="14.25" customHeight="1">
      <c r="A3653" s="2">
        <v>3652.0</v>
      </c>
      <c r="B3653" s="2" t="s">
        <v>2505</v>
      </c>
      <c r="C3653" s="2" t="s">
        <v>6139</v>
      </c>
      <c r="D3653" s="2">
        <v>429.0</v>
      </c>
      <c r="E3653" s="2">
        <v>1.0</v>
      </c>
      <c r="F3653" s="2">
        <v>66.0</v>
      </c>
      <c r="G3653" s="2">
        <v>103000.0</v>
      </c>
    </row>
    <row r="3654" ht="14.25" customHeight="1">
      <c r="A3654" s="2">
        <v>3653.0</v>
      </c>
      <c r="B3654" s="2" t="s">
        <v>2512</v>
      </c>
      <c r="C3654" s="2" t="s">
        <v>6140</v>
      </c>
      <c r="D3654" s="2">
        <v>153.0</v>
      </c>
      <c r="E3654" s="2">
        <v>1.0</v>
      </c>
      <c r="F3654" s="2">
        <v>50.0</v>
      </c>
      <c r="G3654" s="2">
        <v>102900.0</v>
      </c>
    </row>
    <row r="3655" ht="14.25" customHeight="1">
      <c r="A3655" s="2">
        <v>3654.0</v>
      </c>
      <c r="B3655" s="2" t="s">
        <v>2553</v>
      </c>
      <c r="C3655" s="2" t="s">
        <v>6141</v>
      </c>
      <c r="D3655" s="2">
        <v>187.0</v>
      </c>
      <c r="E3655" s="2">
        <v>1.0</v>
      </c>
      <c r="F3655" s="2">
        <v>70.0</v>
      </c>
      <c r="G3655" s="2">
        <v>102900.0</v>
      </c>
    </row>
    <row r="3656" ht="14.25" customHeight="1">
      <c r="A3656" s="2">
        <v>3655.0</v>
      </c>
      <c r="B3656" s="2" t="s">
        <v>2507</v>
      </c>
      <c r="C3656" s="2" t="s">
        <v>6142</v>
      </c>
      <c r="D3656" s="2">
        <v>205.0</v>
      </c>
      <c r="E3656" s="2">
        <v>1.0</v>
      </c>
      <c r="F3656" s="2">
        <v>75.0</v>
      </c>
      <c r="G3656" s="2">
        <v>102900.0</v>
      </c>
    </row>
    <row r="3657" ht="14.25" customHeight="1">
      <c r="A3657" s="2">
        <v>3656.0</v>
      </c>
      <c r="B3657" s="2" t="s">
        <v>2636</v>
      </c>
      <c r="C3657" s="2" t="s">
        <v>6143</v>
      </c>
      <c r="D3657" s="2">
        <v>145.0</v>
      </c>
      <c r="E3657" s="2">
        <v>1.0</v>
      </c>
      <c r="F3657" s="2">
        <v>132.0</v>
      </c>
      <c r="G3657" s="2">
        <v>102800.0</v>
      </c>
    </row>
    <row r="3658" ht="14.25" customHeight="1">
      <c r="A3658" s="2">
        <v>3657.0</v>
      </c>
      <c r="B3658" s="2" t="s">
        <v>2636</v>
      </c>
      <c r="C3658" s="2" t="s">
        <v>6144</v>
      </c>
      <c r="D3658" s="2">
        <v>145.0</v>
      </c>
      <c r="E3658" s="2">
        <v>1.0</v>
      </c>
      <c r="F3658" s="2">
        <v>80.0</v>
      </c>
      <c r="G3658" s="2">
        <v>102800.0</v>
      </c>
    </row>
    <row r="3659" ht="14.25" customHeight="1">
      <c r="A3659" s="2">
        <v>3658.0</v>
      </c>
      <c r="B3659" s="2" t="s">
        <v>2477</v>
      </c>
      <c r="C3659" s="2" t="s">
        <v>6145</v>
      </c>
      <c r="D3659" s="2">
        <v>152.0</v>
      </c>
      <c r="E3659" s="2">
        <v>1.0</v>
      </c>
      <c r="F3659" s="2">
        <v>100.0</v>
      </c>
      <c r="G3659" s="2">
        <v>102800.0</v>
      </c>
    </row>
    <row r="3660" ht="14.25" customHeight="1">
      <c r="A3660" s="2">
        <v>3659.0</v>
      </c>
      <c r="B3660" s="2" t="s">
        <v>2512</v>
      </c>
      <c r="C3660" s="2" t="s">
        <v>6146</v>
      </c>
      <c r="D3660" s="2">
        <v>153.0</v>
      </c>
      <c r="E3660" s="2">
        <v>1.0</v>
      </c>
      <c r="F3660" s="2">
        <v>100.0</v>
      </c>
      <c r="G3660" s="2">
        <v>102800.0</v>
      </c>
    </row>
    <row r="3661" ht="14.25" customHeight="1">
      <c r="A3661" s="2">
        <v>3660.0</v>
      </c>
      <c r="B3661" s="2" t="s">
        <v>2744</v>
      </c>
      <c r="C3661" s="2" t="s">
        <v>6147</v>
      </c>
      <c r="D3661" s="2">
        <v>169.0</v>
      </c>
      <c r="E3661" s="2">
        <v>1.0</v>
      </c>
      <c r="F3661" s="2">
        <v>50.0</v>
      </c>
      <c r="G3661" s="2">
        <v>102800.0</v>
      </c>
    </row>
    <row r="3662" ht="14.25" customHeight="1">
      <c r="A3662" s="2">
        <v>3661.0</v>
      </c>
      <c r="B3662" s="2" t="s">
        <v>2594</v>
      </c>
      <c r="C3662" s="2" t="s">
        <v>6148</v>
      </c>
      <c r="D3662" s="2">
        <v>184.0</v>
      </c>
      <c r="E3662" s="2">
        <v>1.0</v>
      </c>
      <c r="F3662" s="2">
        <v>75.0</v>
      </c>
      <c r="G3662" s="2">
        <v>102800.0</v>
      </c>
    </row>
    <row r="3663" ht="14.25" customHeight="1">
      <c r="A3663" s="2">
        <v>3662.0</v>
      </c>
      <c r="B3663" s="2" t="s">
        <v>2541</v>
      </c>
      <c r="C3663" s="2" t="s">
        <v>6149</v>
      </c>
      <c r="D3663" s="2">
        <v>195.0</v>
      </c>
      <c r="E3663" s="2">
        <v>1.0</v>
      </c>
      <c r="F3663" s="2">
        <v>50.0</v>
      </c>
      <c r="G3663" s="2">
        <v>102800.0</v>
      </c>
    </row>
    <row r="3664" ht="14.25" customHeight="1">
      <c r="A3664" s="2">
        <v>3663.0</v>
      </c>
      <c r="B3664" s="2" t="s">
        <v>2501</v>
      </c>
      <c r="C3664" s="2" t="s">
        <v>6150</v>
      </c>
      <c r="D3664" s="2">
        <v>199.0</v>
      </c>
      <c r="E3664" s="2">
        <v>1.0</v>
      </c>
      <c r="F3664" s="2">
        <v>100.0</v>
      </c>
      <c r="G3664" s="2">
        <v>102800.0</v>
      </c>
    </row>
    <row r="3665" ht="14.25" customHeight="1">
      <c r="A3665" s="2">
        <v>3664.0</v>
      </c>
      <c r="B3665" s="2" t="s">
        <v>2524</v>
      </c>
      <c r="C3665" s="2" t="s">
        <v>6151</v>
      </c>
      <c r="D3665" s="2">
        <v>331.0</v>
      </c>
      <c r="E3665" s="2">
        <v>1.0</v>
      </c>
      <c r="F3665" s="2">
        <v>75.0</v>
      </c>
      <c r="G3665" s="2">
        <v>102800.0</v>
      </c>
    </row>
    <row r="3666" ht="14.25" customHeight="1">
      <c r="A3666" s="2">
        <v>3665.0</v>
      </c>
      <c r="B3666" s="2" t="s">
        <v>2561</v>
      </c>
      <c r="C3666" s="2" t="s">
        <v>6152</v>
      </c>
      <c r="D3666" s="2">
        <v>162.0</v>
      </c>
      <c r="E3666" s="2">
        <v>1.0</v>
      </c>
      <c r="F3666" s="2">
        <v>60.0</v>
      </c>
      <c r="G3666" s="2">
        <v>102700.0</v>
      </c>
    </row>
    <row r="3667" ht="14.25" customHeight="1">
      <c r="A3667" s="2">
        <v>3666.0</v>
      </c>
      <c r="B3667" s="2" t="s">
        <v>2582</v>
      </c>
      <c r="C3667" s="2" t="s">
        <v>6153</v>
      </c>
      <c r="D3667" s="2">
        <v>183.0</v>
      </c>
      <c r="E3667" s="2">
        <v>1.0</v>
      </c>
      <c r="F3667" s="2">
        <v>60.0</v>
      </c>
      <c r="G3667" s="2">
        <v>102700.0</v>
      </c>
    </row>
    <row r="3668" ht="14.25" customHeight="1">
      <c r="A3668" s="2">
        <v>3667.0</v>
      </c>
      <c r="B3668" s="2" t="s">
        <v>2576</v>
      </c>
      <c r="C3668" s="2" t="s">
        <v>6154</v>
      </c>
      <c r="D3668" s="2">
        <v>197.0</v>
      </c>
      <c r="E3668" s="2">
        <v>1.0</v>
      </c>
      <c r="F3668" s="2">
        <v>75.0</v>
      </c>
      <c r="G3668" s="2">
        <v>102700.0</v>
      </c>
    </row>
    <row r="3669" ht="14.25" customHeight="1">
      <c r="A3669" s="2">
        <v>3668.0</v>
      </c>
      <c r="B3669" s="2" t="s">
        <v>2524</v>
      </c>
      <c r="C3669" s="2" t="s">
        <v>6155</v>
      </c>
      <c r="D3669" s="2">
        <v>331.0</v>
      </c>
      <c r="E3669" s="2">
        <v>1.0</v>
      </c>
      <c r="F3669" s="2">
        <v>50.0</v>
      </c>
      <c r="G3669" s="2">
        <v>102700.0</v>
      </c>
    </row>
    <row r="3670" ht="14.25" customHeight="1">
      <c r="A3670" s="2">
        <v>3669.0</v>
      </c>
      <c r="B3670" s="2" t="s">
        <v>2534</v>
      </c>
      <c r="C3670" s="2" t="s">
        <v>6156</v>
      </c>
      <c r="D3670" s="2">
        <v>188.0</v>
      </c>
      <c r="E3670" s="2">
        <v>1.0</v>
      </c>
      <c r="F3670" s="2">
        <v>75.0</v>
      </c>
      <c r="G3670" s="2">
        <v>102600.0</v>
      </c>
    </row>
    <row r="3671" ht="14.25" customHeight="1">
      <c r="A3671" s="2">
        <v>3670.0</v>
      </c>
      <c r="B3671" s="2" t="s">
        <v>2512</v>
      </c>
      <c r="C3671" s="2" t="s">
        <v>6157</v>
      </c>
      <c r="D3671" s="2">
        <v>153.0</v>
      </c>
      <c r="E3671" s="2">
        <v>1.0</v>
      </c>
      <c r="F3671" s="2">
        <v>75.0</v>
      </c>
      <c r="G3671" s="2">
        <v>102500.0</v>
      </c>
    </row>
    <row r="3672" ht="14.25" customHeight="1">
      <c r="A3672" s="2">
        <v>3671.0</v>
      </c>
      <c r="B3672" s="2" t="s">
        <v>2512</v>
      </c>
      <c r="C3672" s="2" t="s">
        <v>6158</v>
      </c>
      <c r="D3672" s="2">
        <v>153.0</v>
      </c>
      <c r="E3672" s="2">
        <v>1.0</v>
      </c>
      <c r="F3672" s="2">
        <v>50.0</v>
      </c>
      <c r="G3672" s="2">
        <v>102500.0</v>
      </c>
    </row>
    <row r="3673" ht="14.25" customHeight="1">
      <c r="A3673" s="2">
        <v>3672.0</v>
      </c>
      <c r="B3673" s="2" t="s">
        <v>2512</v>
      </c>
      <c r="C3673" s="2" t="s">
        <v>6159</v>
      </c>
      <c r="D3673" s="2">
        <v>153.0</v>
      </c>
      <c r="E3673" s="2">
        <v>1.0</v>
      </c>
      <c r="F3673" s="2">
        <v>50.0</v>
      </c>
      <c r="G3673" s="2">
        <v>102500.0</v>
      </c>
    </row>
    <row r="3674" ht="14.25" customHeight="1">
      <c r="A3674" s="2">
        <v>3673.0</v>
      </c>
      <c r="B3674" s="2" t="s">
        <v>2479</v>
      </c>
      <c r="C3674" s="2" t="s">
        <v>6160</v>
      </c>
      <c r="D3674" s="2">
        <v>182.0</v>
      </c>
      <c r="E3674" s="2">
        <v>1.0</v>
      </c>
      <c r="F3674" s="2">
        <v>50.0</v>
      </c>
      <c r="G3674" s="2">
        <v>102500.0</v>
      </c>
    </row>
    <row r="3675" ht="14.25" customHeight="1">
      <c r="A3675" s="2">
        <v>3674.0</v>
      </c>
      <c r="B3675" s="2" t="s">
        <v>2501</v>
      </c>
      <c r="C3675" s="2" t="s">
        <v>6161</v>
      </c>
      <c r="D3675" s="2">
        <v>199.0</v>
      </c>
      <c r="E3675" s="2">
        <v>1.0</v>
      </c>
      <c r="F3675" s="2">
        <v>100.0</v>
      </c>
      <c r="G3675" s="2">
        <v>102500.0</v>
      </c>
    </row>
    <row r="3676" ht="14.25" customHeight="1">
      <c r="A3676" s="2">
        <v>3675.0</v>
      </c>
      <c r="B3676" s="2" t="s">
        <v>2604</v>
      </c>
      <c r="C3676" s="2" t="s">
        <v>6162</v>
      </c>
      <c r="D3676" s="2">
        <v>200.0</v>
      </c>
      <c r="E3676" s="2">
        <v>1.0</v>
      </c>
      <c r="F3676" s="2">
        <v>50.0</v>
      </c>
      <c r="G3676" s="2">
        <v>102500.0</v>
      </c>
    </row>
    <row r="3677" ht="14.25" customHeight="1">
      <c r="A3677" s="2">
        <v>3676.0</v>
      </c>
      <c r="B3677" s="2" t="s">
        <v>2507</v>
      </c>
      <c r="C3677" s="2" t="s">
        <v>6163</v>
      </c>
      <c r="D3677" s="2">
        <v>205.0</v>
      </c>
      <c r="E3677" s="2">
        <v>1.0</v>
      </c>
      <c r="F3677" s="2">
        <v>100.0</v>
      </c>
      <c r="G3677" s="2">
        <v>102500.0</v>
      </c>
    </row>
    <row r="3678" ht="14.25" customHeight="1">
      <c r="A3678" s="2">
        <v>3677.0</v>
      </c>
      <c r="B3678" s="2" t="s">
        <v>2503</v>
      </c>
      <c r="C3678" s="2" t="s">
        <v>6164</v>
      </c>
      <c r="D3678" s="2">
        <v>105.0</v>
      </c>
      <c r="E3678" s="2">
        <v>1.0</v>
      </c>
      <c r="F3678" s="2">
        <v>70.0</v>
      </c>
      <c r="G3678" s="2">
        <v>102300.0</v>
      </c>
    </row>
    <row r="3679" ht="14.25" customHeight="1">
      <c r="A3679" s="2">
        <v>3678.0</v>
      </c>
      <c r="B3679" s="2" t="s">
        <v>2549</v>
      </c>
      <c r="C3679" s="2" t="s">
        <v>3454</v>
      </c>
      <c r="D3679" s="2">
        <v>115.0</v>
      </c>
      <c r="E3679" s="2">
        <v>1.0</v>
      </c>
      <c r="F3679" s="2">
        <v>100.0</v>
      </c>
      <c r="G3679" s="2">
        <v>102300.0</v>
      </c>
    </row>
    <row r="3680" ht="14.25" customHeight="1">
      <c r="A3680" s="2">
        <v>3679.0</v>
      </c>
      <c r="B3680" s="2" t="s">
        <v>2553</v>
      </c>
      <c r="C3680" s="2" t="s">
        <v>6165</v>
      </c>
      <c r="D3680" s="2">
        <v>187.0</v>
      </c>
      <c r="E3680" s="2">
        <v>1.0</v>
      </c>
      <c r="F3680" s="2">
        <v>65.0</v>
      </c>
      <c r="G3680" s="2">
        <v>102300.0</v>
      </c>
    </row>
    <row r="3681" ht="14.25" customHeight="1">
      <c r="A3681" s="2">
        <v>3680.0</v>
      </c>
      <c r="B3681" s="2" t="s">
        <v>2507</v>
      </c>
      <c r="C3681" s="2" t="s">
        <v>6166</v>
      </c>
      <c r="D3681" s="2">
        <v>205.0</v>
      </c>
      <c r="E3681" s="2">
        <v>1.0</v>
      </c>
      <c r="F3681" s="2">
        <v>75.0</v>
      </c>
      <c r="G3681" s="2">
        <v>102300.0</v>
      </c>
    </row>
    <row r="3682" ht="14.25" customHeight="1">
      <c r="A3682" s="2">
        <v>3681.0</v>
      </c>
      <c r="B3682" s="2" t="s">
        <v>2475</v>
      </c>
      <c r="C3682" s="2" t="s">
        <v>6167</v>
      </c>
      <c r="D3682" s="2">
        <v>143.0</v>
      </c>
      <c r="E3682" s="2">
        <v>1.0</v>
      </c>
      <c r="F3682" s="2">
        <v>50.0</v>
      </c>
      <c r="G3682" s="2">
        <v>102200.0</v>
      </c>
    </row>
    <row r="3683" ht="14.25" customHeight="1">
      <c r="A3683" s="2">
        <v>3682.0</v>
      </c>
      <c r="B3683" s="2" t="s">
        <v>2636</v>
      </c>
      <c r="C3683" s="2" t="s">
        <v>6168</v>
      </c>
      <c r="D3683" s="2">
        <v>145.0</v>
      </c>
      <c r="E3683" s="2">
        <v>1.0</v>
      </c>
      <c r="F3683" s="2">
        <v>60.0</v>
      </c>
      <c r="G3683" s="2">
        <v>102200.0</v>
      </c>
    </row>
    <row r="3684" ht="14.25" customHeight="1">
      <c r="A3684" s="2">
        <v>3683.0</v>
      </c>
      <c r="B3684" s="2" t="s">
        <v>2518</v>
      </c>
      <c r="C3684" s="2" t="s">
        <v>6169</v>
      </c>
      <c r="D3684" s="2">
        <v>161.0</v>
      </c>
      <c r="E3684" s="2">
        <v>1.0</v>
      </c>
      <c r="F3684" s="2">
        <v>100.0</v>
      </c>
      <c r="G3684" s="2">
        <v>102200.0</v>
      </c>
    </row>
    <row r="3685" ht="14.25" customHeight="1">
      <c r="A3685" s="2">
        <v>3684.0</v>
      </c>
      <c r="B3685" s="2" t="s">
        <v>2518</v>
      </c>
      <c r="C3685" s="2" t="s">
        <v>6170</v>
      </c>
      <c r="D3685" s="2">
        <v>161.0</v>
      </c>
      <c r="E3685" s="2">
        <v>1.0</v>
      </c>
      <c r="F3685" s="2">
        <v>50.0</v>
      </c>
      <c r="G3685" s="2">
        <v>102200.0</v>
      </c>
    </row>
    <row r="3686" ht="14.25" customHeight="1">
      <c r="A3686" s="2">
        <v>3685.0</v>
      </c>
      <c r="B3686" s="2" t="s">
        <v>2604</v>
      </c>
      <c r="C3686" s="2" t="s">
        <v>6171</v>
      </c>
      <c r="D3686" s="2">
        <v>200.0</v>
      </c>
      <c r="E3686" s="2">
        <v>1.0</v>
      </c>
      <c r="F3686" s="2">
        <v>100.1</v>
      </c>
      <c r="G3686" s="2">
        <v>102200.0</v>
      </c>
    </row>
    <row r="3687" ht="14.25" customHeight="1">
      <c r="A3687" s="2">
        <v>3686.0</v>
      </c>
      <c r="B3687" s="2" t="s">
        <v>2744</v>
      </c>
      <c r="C3687" s="2" t="s">
        <v>6172</v>
      </c>
      <c r="D3687" s="2">
        <v>169.0</v>
      </c>
      <c r="E3687" s="2">
        <v>1.0</v>
      </c>
      <c r="F3687" s="2">
        <v>50.0</v>
      </c>
      <c r="G3687" s="2">
        <v>102100.0</v>
      </c>
    </row>
    <row r="3688" ht="14.25" customHeight="1">
      <c r="A3688" s="2">
        <v>3687.0</v>
      </c>
      <c r="B3688" s="2" t="s">
        <v>2479</v>
      </c>
      <c r="C3688" s="2" t="s">
        <v>6173</v>
      </c>
      <c r="D3688" s="2">
        <v>182.0</v>
      </c>
      <c r="E3688" s="2">
        <v>1.0</v>
      </c>
      <c r="F3688" s="2">
        <v>75.0</v>
      </c>
      <c r="G3688" s="2">
        <v>102100.0</v>
      </c>
    </row>
    <row r="3689" ht="14.25" customHeight="1">
      <c r="A3689" s="2">
        <v>3688.0</v>
      </c>
      <c r="B3689" s="2" t="s">
        <v>2594</v>
      </c>
      <c r="C3689" s="2" t="s">
        <v>6174</v>
      </c>
      <c r="D3689" s="2">
        <v>184.0</v>
      </c>
      <c r="E3689" s="2">
        <v>1.0</v>
      </c>
      <c r="F3689" s="2">
        <v>66.0</v>
      </c>
      <c r="G3689" s="2">
        <v>102100.0</v>
      </c>
    </row>
    <row r="3690" ht="14.25" customHeight="1">
      <c r="A3690" s="2">
        <v>3689.0</v>
      </c>
      <c r="B3690" s="2" t="s">
        <v>2553</v>
      </c>
      <c r="C3690" s="2" t="s">
        <v>6175</v>
      </c>
      <c r="D3690" s="2">
        <v>187.0</v>
      </c>
      <c r="E3690" s="2">
        <v>1.0</v>
      </c>
      <c r="F3690" s="2">
        <v>150.0</v>
      </c>
      <c r="G3690" s="2">
        <v>102100.0</v>
      </c>
    </row>
    <row r="3691" ht="14.25" customHeight="1">
      <c r="A3691" s="2">
        <v>3690.0</v>
      </c>
      <c r="B3691" s="2" t="s">
        <v>2553</v>
      </c>
      <c r="C3691" s="2" t="s">
        <v>6176</v>
      </c>
      <c r="D3691" s="2">
        <v>187.0</v>
      </c>
      <c r="E3691" s="2">
        <v>1.0</v>
      </c>
      <c r="F3691" s="2">
        <v>100.0</v>
      </c>
      <c r="G3691" s="2">
        <v>102100.0</v>
      </c>
    </row>
    <row r="3692" ht="14.25" customHeight="1">
      <c r="A3692" s="2">
        <v>3691.0</v>
      </c>
      <c r="B3692" s="2" t="s">
        <v>2686</v>
      </c>
      <c r="C3692" s="2" t="s">
        <v>6177</v>
      </c>
      <c r="D3692" s="2">
        <v>127.0</v>
      </c>
      <c r="E3692" s="2">
        <v>1.0</v>
      </c>
      <c r="F3692" s="2">
        <v>60.0</v>
      </c>
      <c r="G3692" s="2">
        <v>102000.0</v>
      </c>
    </row>
    <row r="3693" ht="14.25" customHeight="1">
      <c r="A3693" s="2">
        <v>3692.0</v>
      </c>
      <c r="B3693" s="2" t="s">
        <v>2594</v>
      </c>
      <c r="C3693" s="2" t="s">
        <v>6178</v>
      </c>
      <c r="D3693" s="2">
        <v>184.0</v>
      </c>
      <c r="E3693" s="2">
        <v>1.0</v>
      </c>
      <c r="F3693" s="2">
        <v>66.0</v>
      </c>
      <c r="G3693" s="2">
        <v>102000.0</v>
      </c>
    </row>
    <row r="3694" ht="14.25" customHeight="1">
      <c r="A3694" s="2">
        <v>3693.0</v>
      </c>
      <c r="B3694" s="2" t="s">
        <v>2604</v>
      </c>
      <c r="C3694" s="2" t="s">
        <v>6179</v>
      </c>
      <c r="D3694" s="2">
        <v>200.0</v>
      </c>
      <c r="E3694" s="2">
        <v>1.0</v>
      </c>
      <c r="F3694" s="2">
        <v>50.0</v>
      </c>
      <c r="G3694" s="2">
        <v>102000.0</v>
      </c>
    </row>
    <row r="3695" ht="14.25" customHeight="1">
      <c r="A3695" s="2">
        <v>3694.0</v>
      </c>
      <c r="B3695" s="2" t="s">
        <v>2651</v>
      </c>
      <c r="C3695" s="2" t="s">
        <v>6180</v>
      </c>
      <c r="D3695" s="2">
        <v>347.0</v>
      </c>
      <c r="E3695" s="2">
        <v>1.0</v>
      </c>
      <c r="F3695" s="2">
        <v>60.0</v>
      </c>
      <c r="G3695" s="2">
        <v>102000.0</v>
      </c>
    </row>
    <row r="3696" ht="14.25" customHeight="1">
      <c r="A3696" s="2">
        <v>3695.0</v>
      </c>
      <c r="B3696" s="2" t="s">
        <v>2945</v>
      </c>
      <c r="C3696" s="2" t="s">
        <v>6181</v>
      </c>
      <c r="D3696" s="2">
        <v>619.0</v>
      </c>
      <c r="E3696" s="2">
        <v>1.0</v>
      </c>
      <c r="F3696" s="2">
        <v>60.0</v>
      </c>
      <c r="G3696" s="2">
        <v>102000.0</v>
      </c>
    </row>
    <row r="3697" ht="14.25" customHeight="1">
      <c r="A3697" s="2">
        <v>3696.0</v>
      </c>
      <c r="B3697" s="2" t="s">
        <v>2576</v>
      </c>
      <c r="C3697" s="2" t="s">
        <v>6182</v>
      </c>
      <c r="D3697" s="2">
        <v>197.0</v>
      </c>
      <c r="E3697" s="2">
        <v>1.0</v>
      </c>
      <c r="F3697" s="2">
        <v>75.0</v>
      </c>
      <c r="G3697" s="2">
        <v>101900.0</v>
      </c>
    </row>
    <row r="3698" ht="14.25" customHeight="1">
      <c r="A3698" s="2">
        <v>3697.0</v>
      </c>
      <c r="B3698" s="2" t="s">
        <v>2524</v>
      </c>
      <c r="C3698" s="2" t="s">
        <v>6183</v>
      </c>
      <c r="D3698" s="2">
        <v>331.0</v>
      </c>
      <c r="E3698" s="2">
        <v>1.0</v>
      </c>
      <c r="F3698" s="2">
        <v>90.0</v>
      </c>
      <c r="G3698" s="2">
        <v>101900.0</v>
      </c>
    </row>
    <row r="3699" ht="14.25" customHeight="1">
      <c r="A3699" s="2">
        <v>3698.0</v>
      </c>
      <c r="B3699" s="2" t="s">
        <v>2549</v>
      </c>
      <c r="C3699" s="2" t="s">
        <v>6184</v>
      </c>
      <c r="D3699" s="2">
        <v>115.0</v>
      </c>
      <c r="E3699" s="2">
        <v>1.0</v>
      </c>
      <c r="F3699" s="2">
        <v>50.0</v>
      </c>
      <c r="G3699" s="2">
        <v>101800.0</v>
      </c>
    </row>
    <row r="3700" ht="14.25" customHeight="1">
      <c r="A3700" s="2">
        <v>3699.0</v>
      </c>
      <c r="B3700" s="2" t="s">
        <v>2636</v>
      </c>
      <c r="C3700" s="2" t="s">
        <v>6185</v>
      </c>
      <c r="D3700" s="2">
        <v>145.0</v>
      </c>
      <c r="E3700" s="2">
        <v>1.0</v>
      </c>
      <c r="F3700" s="2">
        <v>100.0</v>
      </c>
      <c r="G3700" s="2">
        <v>101800.0</v>
      </c>
    </row>
    <row r="3701" ht="14.25" customHeight="1">
      <c r="A3701" s="2">
        <v>3700.0</v>
      </c>
      <c r="B3701" s="2" t="s">
        <v>2636</v>
      </c>
      <c r="C3701" s="2" t="s">
        <v>6186</v>
      </c>
      <c r="D3701" s="2">
        <v>145.0</v>
      </c>
      <c r="E3701" s="2">
        <v>1.0</v>
      </c>
      <c r="F3701" s="2">
        <v>100.0</v>
      </c>
      <c r="G3701" s="2">
        <v>101800.0</v>
      </c>
    </row>
    <row r="3702" ht="14.25" customHeight="1">
      <c r="A3702" s="2">
        <v>3701.0</v>
      </c>
      <c r="B3702" s="2" t="s">
        <v>2477</v>
      </c>
      <c r="C3702" s="2" t="s">
        <v>6187</v>
      </c>
      <c r="D3702" s="2">
        <v>152.0</v>
      </c>
      <c r="E3702" s="2">
        <v>1.0</v>
      </c>
      <c r="F3702" s="2">
        <v>100.0</v>
      </c>
      <c r="G3702" s="2">
        <v>101800.0</v>
      </c>
    </row>
    <row r="3703" ht="14.25" customHeight="1">
      <c r="A3703" s="2">
        <v>3702.0</v>
      </c>
      <c r="B3703" s="2" t="s">
        <v>2518</v>
      </c>
      <c r="C3703" s="2" t="s">
        <v>6188</v>
      </c>
      <c r="D3703" s="2">
        <v>161.0</v>
      </c>
      <c r="E3703" s="2">
        <v>1.0</v>
      </c>
      <c r="F3703" s="2">
        <v>50.0</v>
      </c>
      <c r="G3703" s="2">
        <v>101800.0</v>
      </c>
    </row>
    <row r="3704" ht="14.25" customHeight="1">
      <c r="A3704" s="2">
        <v>3703.0</v>
      </c>
      <c r="B3704" s="2" t="s">
        <v>2507</v>
      </c>
      <c r="C3704" s="2" t="s">
        <v>6189</v>
      </c>
      <c r="D3704" s="2">
        <v>205.0</v>
      </c>
      <c r="E3704" s="2">
        <v>1.0</v>
      </c>
      <c r="F3704" s="2">
        <v>50.0</v>
      </c>
      <c r="G3704" s="2">
        <v>101800.0</v>
      </c>
    </row>
    <row r="3705" ht="14.25" customHeight="1">
      <c r="A3705" s="2">
        <v>3704.0</v>
      </c>
      <c r="B3705" s="2" t="s">
        <v>2503</v>
      </c>
      <c r="C3705" s="2" t="s">
        <v>6190</v>
      </c>
      <c r="D3705" s="2">
        <v>105.0</v>
      </c>
      <c r="E3705" s="2">
        <v>1.0</v>
      </c>
      <c r="F3705" s="2">
        <v>100.0</v>
      </c>
      <c r="G3705" s="2">
        <v>101700.0</v>
      </c>
    </row>
    <row r="3706" ht="14.25" customHeight="1">
      <c r="A3706" s="2">
        <v>3705.0</v>
      </c>
      <c r="B3706" s="2" t="s">
        <v>2604</v>
      </c>
      <c r="C3706" s="2" t="s">
        <v>6191</v>
      </c>
      <c r="D3706" s="2">
        <v>200.0</v>
      </c>
      <c r="E3706" s="2">
        <v>1.0</v>
      </c>
      <c r="F3706" s="2">
        <v>50.0</v>
      </c>
      <c r="G3706" s="2">
        <v>101700.0</v>
      </c>
    </row>
    <row r="3707" ht="14.25" customHeight="1">
      <c r="A3707" s="2">
        <v>3706.0</v>
      </c>
      <c r="B3707" s="2" t="s">
        <v>2505</v>
      </c>
      <c r="C3707" s="2" t="s">
        <v>6192</v>
      </c>
      <c r="D3707" s="2">
        <v>429.0</v>
      </c>
      <c r="E3707" s="2">
        <v>1.0</v>
      </c>
      <c r="F3707" s="2">
        <v>100.0</v>
      </c>
      <c r="G3707" s="2">
        <v>101700.0</v>
      </c>
    </row>
    <row r="3708" ht="14.25" customHeight="1">
      <c r="A3708" s="2">
        <v>3707.0</v>
      </c>
      <c r="B3708" s="2" t="s">
        <v>2503</v>
      </c>
      <c r="C3708" s="2" t="s">
        <v>6193</v>
      </c>
      <c r="D3708" s="2">
        <v>105.0</v>
      </c>
      <c r="E3708" s="2">
        <v>1.0</v>
      </c>
      <c r="F3708" s="2">
        <v>100.0</v>
      </c>
      <c r="G3708" s="2">
        <v>101600.0</v>
      </c>
    </row>
    <row r="3709" ht="14.25" customHeight="1">
      <c r="A3709" s="2">
        <v>3708.0</v>
      </c>
      <c r="B3709" s="2" t="s">
        <v>2582</v>
      </c>
      <c r="C3709" s="2" t="s">
        <v>6194</v>
      </c>
      <c r="D3709" s="2">
        <v>183.0</v>
      </c>
      <c r="E3709" s="2">
        <v>1.0</v>
      </c>
      <c r="F3709" s="2">
        <v>90.0</v>
      </c>
      <c r="G3709" s="2">
        <v>101600.0</v>
      </c>
    </row>
    <row r="3710" ht="14.25" customHeight="1">
      <c r="A3710" s="2">
        <v>3709.0</v>
      </c>
      <c r="B3710" s="2" t="s">
        <v>2507</v>
      </c>
      <c r="C3710" s="2" t="s">
        <v>6195</v>
      </c>
      <c r="D3710" s="2">
        <v>205.0</v>
      </c>
      <c r="E3710" s="2">
        <v>1.0</v>
      </c>
      <c r="F3710" s="2">
        <v>80.0</v>
      </c>
      <c r="G3710" s="2">
        <v>101600.0</v>
      </c>
    </row>
    <row r="3711" ht="14.25" customHeight="1">
      <c r="A3711" s="2">
        <v>3710.0</v>
      </c>
      <c r="B3711" s="2" t="s">
        <v>2651</v>
      </c>
      <c r="C3711" s="2" t="s">
        <v>6196</v>
      </c>
      <c r="D3711" s="2">
        <v>347.0</v>
      </c>
      <c r="E3711" s="2">
        <v>1.0</v>
      </c>
      <c r="F3711" s="2">
        <v>60.0</v>
      </c>
      <c r="G3711" s="2">
        <v>101600.0</v>
      </c>
    </row>
    <row r="3712" ht="14.25" customHeight="1">
      <c r="A3712" s="2">
        <v>3711.0</v>
      </c>
      <c r="B3712" s="2" t="s">
        <v>2571</v>
      </c>
      <c r="C3712" s="2" t="s">
        <v>6197</v>
      </c>
      <c r="D3712" s="2">
        <v>185.0</v>
      </c>
      <c r="E3712" s="2">
        <v>1.0</v>
      </c>
      <c r="F3712" s="2">
        <v>80.0</v>
      </c>
      <c r="G3712" s="2">
        <v>101500.0</v>
      </c>
    </row>
    <row r="3713" ht="14.25" customHeight="1">
      <c r="A3713" s="2">
        <v>3712.0</v>
      </c>
      <c r="B3713" s="2" t="s">
        <v>2553</v>
      </c>
      <c r="C3713" s="2" t="s">
        <v>6198</v>
      </c>
      <c r="D3713" s="2">
        <v>187.0</v>
      </c>
      <c r="E3713" s="2">
        <v>1.0</v>
      </c>
      <c r="F3713" s="2">
        <v>80.0</v>
      </c>
      <c r="G3713" s="2">
        <v>101500.0</v>
      </c>
    </row>
    <row r="3714" ht="14.25" customHeight="1">
      <c r="A3714" s="2">
        <v>3713.0</v>
      </c>
      <c r="B3714" s="2" t="s">
        <v>2651</v>
      </c>
      <c r="C3714" s="2" t="s">
        <v>6199</v>
      </c>
      <c r="D3714" s="2">
        <v>347.0</v>
      </c>
      <c r="E3714" s="2">
        <v>1.0</v>
      </c>
      <c r="F3714" s="2">
        <v>75.0</v>
      </c>
      <c r="G3714" s="2">
        <v>101500.0</v>
      </c>
    </row>
    <row r="3715" ht="14.25" customHeight="1">
      <c r="A3715" s="2">
        <v>3714.0</v>
      </c>
      <c r="B3715" s="2" t="s">
        <v>2636</v>
      </c>
      <c r="C3715" s="2" t="s">
        <v>6200</v>
      </c>
      <c r="D3715" s="2">
        <v>145.0</v>
      </c>
      <c r="E3715" s="2">
        <v>1.0</v>
      </c>
      <c r="F3715" s="2">
        <v>75.0</v>
      </c>
      <c r="G3715" s="2">
        <v>101400.0</v>
      </c>
    </row>
    <row r="3716" ht="14.25" customHeight="1">
      <c r="A3716" s="2">
        <v>3715.0</v>
      </c>
      <c r="B3716" s="2" t="s">
        <v>2636</v>
      </c>
      <c r="C3716" s="2" t="s">
        <v>6201</v>
      </c>
      <c r="D3716" s="2">
        <v>145.0</v>
      </c>
      <c r="E3716" s="2">
        <v>1.0</v>
      </c>
      <c r="F3716" s="2">
        <v>100.0</v>
      </c>
      <c r="G3716" s="2">
        <v>101400.0</v>
      </c>
    </row>
    <row r="3717" ht="14.25" customHeight="1">
      <c r="A3717" s="2">
        <v>3716.0</v>
      </c>
      <c r="B3717" s="2" t="s">
        <v>2518</v>
      </c>
      <c r="C3717" s="2" t="s">
        <v>6202</v>
      </c>
      <c r="D3717" s="2">
        <v>161.0</v>
      </c>
      <c r="E3717" s="2">
        <v>1.0</v>
      </c>
      <c r="F3717" s="2">
        <v>50.0</v>
      </c>
      <c r="G3717" s="2">
        <v>101400.0</v>
      </c>
    </row>
    <row r="3718" ht="14.25" customHeight="1">
      <c r="A3718" s="2">
        <v>3717.0</v>
      </c>
      <c r="B3718" s="2" t="s">
        <v>2518</v>
      </c>
      <c r="C3718" s="2" t="s">
        <v>6203</v>
      </c>
      <c r="D3718" s="2">
        <v>161.0</v>
      </c>
      <c r="E3718" s="2">
        <v>1.0</v>
      </c>
      <c r="F3718" s="2">
        <v>50.0</v>
      </c>
      <c r="G3718" s="2">
        <v>101400.0</v>
      </c>
    </row>
    <row r="3719" ht="14.25" customHeight="1">
      <c r="A3719" s="2">
        <v>3718.0</v>
      </c>
      <c r="B3719" s="2" t="s">
        <v>2582</v>
      </c>
      <c r="C3719" s="2" t="s">
        <v>6204</v>
      </c>
      <c r="D3719" s="2">
        <v>183.0</v>
      </c>
      <c r="E3719" s="2">
        <v>1.0</v>
      </c>
      <c r="F3719" s="2">
        <v>250.0</v>
      </c>
      <c r="G3719" s="2">
        <v>101400.0</v>
      </c>
    </row>
    <row r="3720" ht="14.25" customHeight="1">
      <c r="A3720" s="2">
        <v>3719.0</v>
      </c>
      <c r="B3720" s="2" t="s">
        <v>2553</v>
      </c>
      <c r="C3720" s="2" t="s">
        <v>6205</v>
      </c>
      <c r="D3720" s="2">
        <v>187.0</v>
      </c>
      <c r="E3720" s="2">
        <v>1.0</v>
      </c>
      <c r="F3720" s="2">
        <v>75.0</v>
      </c>
      <c r="G3720" s="2">
        <v>101400.0</v>
      </c>
    </row>
    <row r="3721" ht="14.25" customHeight="1">
      <c r="A3721" s="2">
        <v>3720.0</v>
      </c>
      <c r="B3721" s="2" t="s">
        <v>2541</v>
      </c>
      <c r="C3721" s="2" t="s">
        <v>6206</v>
      </c>
      <c r="D3721" s="2">
        <v>195.0</v>
      </c>
      <c r="E3721" s="2">
        <v>1.0</v>
      </c>
      <c r="F3721" s="2">
        <v>50.0</v>
      </c>
      <c r="G3721" s="2">
        <v>101400.0</v>
      </c>
    </row>
    <row r="3722" ht="14.25" customHeight="1">
      <c r="A3722" s="2">
        <v>3721.0</v>
      </c>
      <c r="B3722" s="2" t="s">
        <v>2507</v>
      </c>
      <c r="C3722" s="2" t="s">
        <v>6207</v>
      </c>
      <c r="D3722" s="2">
        <v>205.0</v>
      </c>
      <c r="E3722" s="2">
        <v>1.0</v>
      </c>
      <c r="F3722" s="2">
        <v>50.0</v>
      </c>
      <c r="G3722" s="2">
        <v>101400.0</v>
      </c>
    </row>
    <row r="3723" ht="14.25" customHeight="1">
      <c r="A3723" s="2">
        <v>3722.0</v>
      </c>
      <c r="B3723" s="2" t="s">
        <v>2524</v>
      </c>
      <c r="C3723" s="2" t="s">
        <v>6208</v>
      </c>
      <c r="D3723" s="2">
        <v>331.0</v>
      </c>
      <c r="E3723" s="2">
        <v>1.0</v>
      </c>
      <c r="F3723" s="2">
        <v>75.0</v>
      </c>
      <c r="G3723" s="2">
        <v>101400.0</v>
      </c>
    </row>
    <row r="3724" ht="14.25" customHeight="1">
      <c r="A3724" s="2">
        <v>3723.0</v>
      </c>
      <c r="B3724" s="2" t="s">
        <v>2503</v>
      </c>
      <c r="C3724" s="2" t="s">
        <v>6209</v>
      </c>
      <c r="D3724" s="2">
        <v>105.0</v>
      </c>
      <c r="E3724" s="2">
        <v>1.0</v>
      </c>
      <c r="F3724" s="2">
        <v>100.0</v>
      </c>
      <c r="G3724" s="2">
        <v>101200.0</v>
      </c>
    </row>
    <row r="3725" ht="14.25" customHeight="1">
      <c r="A3725" s="2">
        <v>3724.0</v>
      </c>
      <c r="B3725" s="2" t="s">
        <v>2497</v>
      </c>
      <c r="C3725" s="2" t="s">
        <v>6210</v>
      </c>
      <c r="D3725" s="2">
        <v>151.0</v>
      </c>
      <c r="E3725" s="2">
        <v>1.0</v>
      </c>
      <c r="F3725" s="2">
        <v>60.0</v>
      </c>
      <c r="G3725" s="2">
        <v>101200.0</v>
      </c>
    </row>
    <row r="3726" ht="14.25" customHeight="1">
      <c r="A3726" s="2">
        <v>3725.0</v>
      </c>
      <c r="B3726" s="2" t="s">
        <v>2541</v>
      </c>
      <c r="C3726" s="2" t="s">
        <v>6211</v>
      </c>
      <c r="D3726" s="2">
        <v>195.0</v>
      </c>
      <c r="E3726" s="2">
        <v>1.0</v>
      </c>
      <c r="F3726" s="2">
        <v>52.0</v>
      </c>
      <c r="G3726" s="2">
        <v>101200.0</v>
      </c>
    </row>
    <row r="3727" ht="14.25" customHeight="1">
      <c r="A3727" s="2">
        <v>3726.0</v>
      </c>
      <c r="B3727" s="2" t="s">
        <v>2576</v>
      </c>
      <c r="C3727" s="2" t="s">
        <v>6212</v>
      </c>
      <c r="D3727" s="2">
        <v>197.0</v>
      </c>
      <c r="E3727" s="2">
        <v>1.0</v>
      </c>
      <c r="F3727" s="2">
        <v>100.0</v>
      </c>
      <c r="G3727" s="2">
        <v>101200.0</v>
      </c>
    </row>
    <row r="3728" ht="14.25" customHeight="1">
      <c r="A3728" s="2">
        <v>3727.0</v>
      </c>
      <c r="B3728" s="2" t="s">
        <v>2501</v>
      </c>
      <c r="C3728" s="2" t="s">
        <v>6213</v>
      </c>
      <c r="D3728" s="2">
        <v>199.0</v>
      </c>
      <c r="E3728" s="2">
        <v>1.0</v>
      </c>
      <c r="F3728" s="2">
        <v>50.0</v>
      </c>
      <c r="G3728" s="2">
        <v>101200.0</v>
      </c>
    </row>
    <row r="3729" ht="14.25" customHeight="1">
      <c r="A3729" s="2">
        <v>3728.0</v>
      </c>
      <c r="B3729" s="2" t="s">
        <v>2501</v>
      </c>
      <c r="C3729" s="2" t="s">
        <v>6214</v>
      </c>
      <c r="D3729" s="2">
        <v>199.0</v>
      </c>
      <c r="E3729" s="2">
        <v>1.0</v>
      </c>
      <c r="F3729" s="2">
        <v>50.0</v>
      </c>
      <c r="G3729" s="2">
        <v>101200.0</v>
      </c>
    </row>
    <row r="3730" ht="14.25" customHeight="1">
      <c r="A3730" s="2">
        <v>3729.0</v>
      </c>
      <c r="B3730" s="2" t="s">
        <v>2604</v>
      </c>
      <c r="C3730" s="2" t="s">
        <v>6215</v>
      </c>
      <c r="D3730" s="2">
        <v>200.0</v>
      </c>
      <c r="E3730" s="2">
        <v>1.0</v>
      </c>
      <c r="F3730" s="2">
        <v>100.0</v>
      </c>
      <c r="G3730" s="2">
        <v>101200.0</v>
      </c>
    </row>
    <row r="3731" ht="14.25" customHeight="1">
      <c r="A3731" s="2">
        <v>3730.0</v>
      </c>
      <c r="B3731" s="2" t="s">
        <v>2507</v>
      </c>
      <c r="C3731" s="2" t="s">
        <v>6216</v>
      </c>
      <c r="D3731" s="2">
        <v>205.0</v>
      </c>
      <c r="E3731" s="2">
        <v>1.0</v>
      </c>
      <c r="F3731" s="2">
        <v>75.0</v>
      </c>
      <c r="G3731" s="2">
        <v>101200.0</v>
      </c>
    </row>
    <row r="3732" ht="14.25" customHeight="1">
      <c r="A3732" s="2">
        <v>3731.0</v>
      </c>
      <c r="B3732" s="2" t="s">
        <v>2507</v>
      </c>
      <c r="C3732" s="2" t="s">
        <v>6217</v>
      </c>
      <c r="D3732" s="2">
        <v>205.0</v>
      </c>
      <c r="E3732" s="2">
        <v>1.0</v>
      </c>
      <c r="F3732" s="2">
        <v>80.0</v>
      </c>
      <c r="G3732" s="2">
        <v>101200.0</v>
      </c>
    </row>
    <row r="3733" ht="14.25" customHeight="1">
      <c r="A3733" s="2">
        <v>3732.0</v>
      </c>
      <c r="B3733" s="2" t="s">
        <v>2503</v>
      </c>
      <c r="C3733" s="2" t="s">
        <v>6218</v>
      </c>
      <c r="D3733" s="2">
        <v>105.0</v>
      </c>
      <c r="E3733" s="2">
        <v>1.0</v>
      </c>
      <c r="F3733" s="2">
        <v>80.0</v>
      </c>
      <c r="G3733" s="2">
        <v>101100.0</v>
      </c>
    </row>
    <row r="3734" ht="14.25" customHeight="1">
      <c r="A3734" s="2">
        <v>3733.0</v>
      </c>
      <c r="B3734" s="2" t="s">
        <v>2686</v>
      </c>
      <c r="C3734" s="2" t="s">
        <v>6219</v>
      </c>
      <c r="D3734" s="2">
        <v>127.0</v>
      </c>
      <c r="E3734" s="2">
        <v>1.0</v>
      </c>
      <c r="F3734" s="2">
        <v>66.0</v>
      </c>
      <c r="G3734" s="2">
        <v>101100.0</v>
      </c>
    </row>
    <row r="3735" ht="14.25" customHeight="1">
      <c r="A3735" s="2">
        <v>3734.0</v>
      </c>
      <c r="B3735" s="2" t="s">
        <v>2497</v>
      </c>
      <c r="C3735" s="2" t="s">
        <v>6220</v>
      </c>
      <c r="D3735" s="2">
        <v>151.0</v>
      </c>
      <c r="E3735" s="2">
        <v>1.0</v>
      </c>
      <c r="F3735" s="2">
        <v>70.0</v>
      </c>
      <c r="G3735" s="2">
        <v>101100.0</v>
      </c>
    </row>
    <row r="3736" ht="14.25" customHeight="1">
      <c r="A3736" s="2">
        <v>3735.0</v>
      </c>
      <c r="B3736" s="2" t="s">
        <v>2582</v>
      </c>
      <c r="C3736" s="2" t="s">
        <v>6221</v>
      </c>
      <c r="D3736" s="2">
        <v>183.0</v>
      </c>
      <c r="E3736" s="2">
        <v>1.0</v>
      </c>
      <c r="F3736" s="2">
        <v>100.0</v>
      </c>
      <c r="G3736" s="2">
        <v>101100.0</v>
      </c>
    </row>
    <row r="3737" ht="14.25" customHeight="1">
      <c r="A3737" s="2">
        <v>3736.0</v>
      </c>
      <c r="B3737" s="2" t="s">
        <v>2507</v>
      </c>
      <c r="C3737" s="2" t="s">
        <v>6222</v>
      </c>
      <c r="D3737" s="2">
        <v>205.0</v>
      </c>
      <c r="E3737" s="2">
        <v>1.0</v>
      </c>
      <c r="F3737" s="2">
        <v>90.0</v>
      </c>
      <c r="G3737" s="2">
        <v>101100.0</v>
      </c>
    </row>
    <row r="3738" ht="14.25" customHeight="1">
      <c r="A3738" s="2">
        <v>3737.0</v>
      </c>
      <c r="B3738" s="2" t="s">
        <v>2621</v>
      </c>
      <c r="C3738" s="2" t="s">
        <v>6223</v>
      </c>
      <c r="D3738" s="2">
        <v>403.0</v>
      </c>
      <c r="E3738" s="2">
        <v>1.0</v>
      </c>
      <c r="F3738" s="2">
        <v>66.0</v>
      </c>
      <c r="G3738" s="2">
        <v>101100.0</v>
      </c>
    </row>
    <row r="3739" ht="14.25" customHeight="1">
      <c r="A3739" s="2">
        <v>3738.0</v>
      </c>
      <c r="B3739" s="2" t="s">
        <v>2475</v>
      </c>
      <c r="C3739" s="2" t="s">
        <v>6224</v>
      </c>
      <c r="D3739" s="2">
        <v>143.0</v>
      </c>
      <c r="E3739" s="2">
        <v>1.0</v>
      </c>
      <c r="F3739" s="2">
        <v>50.0</v>
      </c>
      <c r="G3739" s="2">
        <v>101000.0</v>
      </c>
    </row>
    <row r="3740" ht="14.25" customHeight="1">
      <c r="A3740" s="2">
        <v>3739.0</v>
      </c>
      <c r="B3740" s="2" t="s">
        <v>2512</v>
      </c>
      <c r="C3740" s="2" t="s">
        <v>6225</v>
      </c>
      <c r="D3740" s="2">
        <v>153.0</v>
      </c>
      <c r="E3740" s="2">
        <v>1.0</v>
      </c>
      <c r="F3740" s="2">
        <v>60.0</v>
      </c>
      <c r="G3740" s="2">
        <v>101000.0</v>
      </c>
    </row>
    <row r="3741" ht="14.25" customHeight="1">
      <c r="A3741" s="2">
        <v>3740.0</v>
      </c>
      <c r="B3741" s="2" t="s">
        <v>2582</v>
      </c>
      <c r="C3741" s="2" t="s">
        <v>6226</v>
      </c>
      <c r="D3741" s="2">
        <v>183.0</v>
      </c>
      <c r="E3741" s="2">
        <v>1.0</v>
      </c>
      <c r="F3741" s="2">
        <v>75.0</v>
      </c>
      <c r="G3741" s="2">
        <v>101000.0</v>
      </c>
    </row>
    <row r="3742" ht="14.25" customHeight="1">
      <c r="A3742" s="2">
        <v>3741.0</v>
      </c>
      <c r="B3742" s="2" t="s">
        <v>2576</v>
      </c>
      <c r="C3742" s="2" t="s">
        <v>6227</v>
      </c>
      <c r="D3742" s="2">
        <v>197.0</v>
      </c>
      <c r="E3742" s="2">
        <v>1.0</v>
      </c>
      <c r="F3742" s="2">
        <v>54.0</v>
      </c>
      <c r="G3742" s="2">
        <v>101000.0</v>
      </c>
    </row>
    <row r="3743" ht="14.25" customHeight="1">
      <c r="A3743" s="2">
        <v>3742.0</v>
      </c>
      <c r="B3743" s="2" t="s">
        <v>2945</v>
      </c>
      <c r="C3743" s="2" t="s">
        <v>6228</v>
      </c>
      <c r="D3743" s="2">
        <v>619.0</v>
      </c>
      <c r="E3743" s="2">
        <v>1.0</v>
      </c>
      <c r="F3743" s="2">
        <v>60.0</v>
      </c>
      <c r="G3743" s="2">
        <v>101000.0</v>
      </c>
    </row>
    <row r="3744" ht="14.25" customHeight="1">
      <c r="A3744" s="2">
        <v>3743.0</v>
      </c>
      <c r="B3744" s="2" t="s">
        <v>2686</v>
      </c>
      <c r="C3744" s="2" t="s">
        <v>6229</v>
      </c>
      <c r="D3744" s="2">
        <v>127.0</v>
      </c>
      <c r="E3744" s="2">
        <v>1.0</v>
      </c>
      <c r="F3744" s="2">
        <v>100.0</v>
      </c>
      <c r="G3744" s="2">
        <v>100900.0</v>
      </c>
    </row>
    <row r="3745" ht="14.25" customHeight="1">
      <c r="A3745" s="2">
        <v>3744.0</v>
      </c>
      <c r="B3745" s="2" t="s">
        <v>2561</v>
      </c>
      <c r="C3745" s="2" t="s">
        <v>6230</v>
      </c>
      <c r="D3745" s="2">
        <v>162.0</v>
      </c>
      <c r="E3745" s="2">
        <v>1.0</v>
      </c>
      <c r="F3745" s="2">
        <v>150.0</v>
      </c>
      <c r="G3745" s="2">
        <v>100900.0</v>
      </c>
    </row>
    <row r="3746" ht="14.25" customHeight="1">
      <c r="A3746" s="2">
        <v>3745.0</v>
      </c>
      <c r="B3746" s="2" t="s">
        <v>2582</v>
      </c>
      <c r="C3746" s="2" t="s">
        <v>6231</v>
      </c>
      <c r="D3746" s="2">
        <v>183.0</v>
      </c>
      <c r="E3746" s="2">
        <v>1.0</v>
      </c>
      <c r="F3746" s="2">
        <v>65.0</v>
      </c>
      <c r="G3746" s="2">
        <v>100900.0</v>
      </c>
    </row>
    <row r="3747" ht="14.25" customHeight="1">
      <c r="A3747" s="2">
        <v>3746.0</v>
      </c>
      <c r="B3747" s="2" t="s">
        <v>2594</v>
      </c>
      <c r="C3747" s="2" t="s">
        <v>6232</v>
      </c>
      <c r="D3747" s="2">
        <v>184.0</v>
      </c>
      <c r="E3747" s="2">
        <v>1.0</v>
      </c>
      <c r="F3747" s="2">
        <v>50.0</v>
      </c>
      <c r="G3747" s="2">
        <v>100900.0</v>
      </c>
    </row>
    <row r="3748" ht="14.25" customHeight="1">
      <c r="A3748" s="2">
        <v>3747.0</v>
      </c>
      <c r="B3748" s="2" t="s">
        <v>2524</v>
      </c>
      <c r="C3748" s="2" t="s">
        <v>6233</v>
      </c>
      <c r="D3748" s="2">
        <v>331.0</v>
      </c>
      <c r="E3748" s="2">
        <v>1.0</v>
      </c>
      <c r="F3748" s="2">
        <v>75.0</v>
      </c>
      <c r="G3748" s="2">
        <v>100900.0</v>
      </c>
    </row>
    <row r="3749" ht="14.25" customHeight="1">
      <c r="A3749" s="2">
        <v>3748.0</v>
      </c>
      <c r="B3749" s="2" t="s">
        <v>2621</v>
      </c>
      <c r="C3749" s="2" t="s">
        <v>6234</v>
      </c>
      <c r="D3749" s="2">
        <v>403.0</v>
      </c>
      <c r="E3749" s="2">
        <v>1.0</v>
      </c>
      <c r="F3749" s="2">
        <v>100.0</v>
      </c>
      <c r="G3749" s="2">
        <v>100900.0</v>
      </c>
    </row>
    <row r="3750" ht="14.25" customHeight="1">
      <c r="A3750" s="2">
        <v>3749.0</v>
      </c>
      <c r="B3750" s="2" t="s">
        <v>2636</v>
      </c>
      <c r="C3750" s="2" t="s">
        <v>6235</v>
      </c>
      <c r="D3750" s="2">
        <v>145.0</v>
      </c>
      <c r="E3750" s="2">
        <v>1.0</v>
      </c>
      <c r="F3750" s="2">
        <v>62.5</v>
      </c>
      <c r="G3750" s="2">
        <v>100800.0</v>
      </c>
    </row>
    <row r="3751" ht="14.25" customHeight="1">
      <c r="A3751" s="2">
        <v>3750.0</v>
      </c>
      <c r="B3751" s="2" t="s">
        <v>2582</v>
      </c>
      <c r="C3751" s="2" t="s">
        <v>6236</v>
      </c>
      <c r="D3751" s="2">
        <v>183.0</v>
      </c>
      <c r="E3751" s="2">
        <v>1.0</v>
      </c>
      <c r="F3751" s="2">
        <v>100.0</v>
      </c>
      <c r="G3751" s="2">
        <v>100800.0</v>
      </c>
    </row>
    <row r="3752" ht="14.25" customHeight="1">
      <c r="A3752" s="2">
        <v>3751.0</v>
      </c>
      <c r="B3752" s="2" t="s">
        <v>2594</v>
      </c>
      <c r="C3752" s="2" t="s">
        <v>6237</v>
      </c>
      <c r="D3752" s="2">
        <v>184.0</v>
      </c>
      <c r="E3752" s="2">
        <v>1.0</v>
      </c>
      <c r="F3752" s="2">
        <v>66.0</v>
      </c>
      <c r="G3752" s="2">
        <v>100800.0</v>
      </c>
    </row>
    <row r="3753" ht="14.25" customHeight="1">
      <c r="A3753" s="2">
        <v>3752.0</v>
      </c>
      <c r="B3753" s="2" t="s">
        <v>2594</v>
      </c>
      <c r="C3753" s="2" t="s">
        <v>6238</v>
      </c>
      <c r="D3753" s="2">
        <v>184.0</v>
      </c>
      <c r="E3753" s="2">
        <v>1.0</v>
      </c>
      <c r="F3753" s="2">
        <v>100.0</v>
      </c>
      <c r="G3753" s="2">
        <v>100800.0</v>
      </c>
    </row>
    <row r="3754" ht="14.25" customHeight="1">
      <c r="A3754" s="2">
        <v>3753.0</v>
      </c>
      <c r="B3754" s="2" t="s">
        <v>2553</v>
      </c>
      <c r="C3754" s="2" t="s">
        <v>6239</v>
      </c>
      <c r="D3754" s="2">
        <v>187.0</v>
      </c>
      <c r="E3754" s="2">
        <v>1.0</v>
      </c>
      <c r="F3754" s="2">
        <v>100.0</v>
      </c>
      <c r="G3754" s="2">
        <v>100800.0</v>
      </c>
    </row>
    <row r="3755" ht="14.25" customHeight="1">
      <c r="A3755" s="2">
        <v>3754.0</v>
      </c>
      <c r="B3755" s="2" t="s">
        <v>2507</v>
      </c>
      <c r="C3755" s="2" t="s">
        <v>6240</v>
      </c>
      <c r="D3755" s="2">
        <v>205.0</v>
      </c>
      <c r="E3755" s="2">
        <v>1.0</v>
      </c>
      <c r="F3755" s="2">
        <v>90.0</v>
      </c>
      <c r="G3755" s="2">
        <v>100800.0</v>
      </c>
    </row>
    <row r="3756" ht="14.25" customHeight="1">
      <c r="A3756" s="2">
        <v>3755.0</v>
      </c>
      <c r="B3756" s="2" t="s">
        <v>2505</v>
      </c>
      <c r="C3756" s="2" t="s">
        <v>6241</v>
      </c>
      <c r="D3756" s="2">
        <v>429.0</v>
      </c>
      <c r="E3756" s="2">
        <v>1.0</v>
      </c>
      <c r="F3756" s="2">
        <v>80.0</v>
      </c>
      <c r="G3756" s="2">
        <v>100800.0</v>
      </c>
    </row>
    <row r="3757" ht="14.25" customHeight="1">
      <c r="A3757" s="2">
        <v>3756.0</v>
      </c>
      <c r="B3757" s="2" t="s">
        <v>2945</v>
      </c>
      <c r="C3757" s="2" t="s">
        <v>6242</v>
      </c>
      <c r="D3757" s="2">
        <v>619.0</v>
      </c>
      <c r="E3757" s="2">
        <v>1.0</v>
      </c>
      <c r="F3757" s="2">
        <v>65.0</v>
      </c>
      <c r="G3757" s="2">
        <v>100800.0</v>
      </c>
    </row>
    <row r="3758" ht="14.25" customHeight="1">
      <c r="A3758" s="2">
        <v>3757.0</v>
      </c>
      <c r="B3758" s="2" t="s">
        <v>2503</v>
      </c>
      <c r="C3758" s="2" t="s">
        <v>6243</v>
      </c>
      <c r="D3758" s="2">
        <v>105.0</v>
      </c>
      <c r="E3758" s="2">
        <v>1.0</v>
      </c>
      <c r="F3758" s="2">
        <v>110.0</v>
      </c>
      <c r="G3758" s="2">
        <v>100700.0</v>
      </c>
    </row>
    <row r="3759" ht="14.25" customHeight="1">
      <c r="A3759" s="2">
        <v>3758.0</v>
      </c>
      <c r="B3759" s="2" t="s">
        <v>2549</v>
      </c>
      <c r="C3759" s="2" t="s">
        <v>6244</v>
      </c>
      <c r="D3759" s="2">
        <v>115.0</v>
      </c>
      <c r="E3759" s="2">
        <v>1.0</v>
      </c>
      <c r="F3759" s="2">
        <v>50.0</v>
      </c>
      <c r="G3759" s="2">
        <v>100700.0</v>
      </c>
    </row>
    <row r="3760" ht="14.25" customHeight="1">
      <c r="A3760" s="2">
        <v>3759.0</v>
      </c>
      <c r="B3760" s="2" t="s">
        <v>2549</v>
      </c>
      <c r="C3760" s="2" t="s">
        <v>6245</v>
      </c>
      <c r="D3760" s="2">
        <v>115.0</v>
      </c>
      <c r="E3760" s="2">
        <v>1.0</v>
      </c>
      <c r="F3760" s="2">
        <v>110.0</v>
      </c>
      <c r="G3760" s="2">
        <v>100700.0</v>
      </c>
    </row>
    <row r="3761" ht="14.25" customHeight="1">
      <c r="A3761" s="2">
        <v>3760.0</v>
      </c>
      <c r="B3761" s="2" t="s">
        <v>2501</v>
      </c>
      <c r="C3761" s="2" t="s">
        <v>6246</v>
      </c>
      <c r="D3761" s="2">
        <v>199.0</v>
      </c>
      <c r="E3761" s="2">
        <v>1.0</v>
      </c>
      <c r="F3761" s="2">
        <v>99.0</v>
      </c>
      <c r="G3761" s="2">
        <v>100700.0</v>
      </c>
    </row>
    <row r="3762" ht="14.25" customHeight="1">
      <c r="A3762" s="2">
        <v>3761.0</v>
      </c>
      <c r="B3762" s="2" t="s">
        <v>2524</v>
      </c>
      <c r="C3762" s="2" t="s">
        <v>6247</v>
      </c>
      <c r="D3762" s="2">
        <v>331.0</v>
      </c>
      <c r="E3762" s="2">
        <v>1.0</v>
      </c>
      <c r="F3762" s="2">
        <v>50.0</v>
      </c>
      <c r="G3762" s="2">
        <v>100700.0</v>
      </c>
    </row>
    <row r="3763" ht="14.25" customHeight="1">
      <c r="A3763" s="2">
        <v>3762.0</v>
      </c>
      <c r="B3763" s="2" t="s">
        <v>2488</v>
      </c>
      <c r="C3763" s="2" t="s">
        <v>6248</v>
      </c>
      <c r="D3763" s="2">
        <v>333.0</v>
      </c>
      <c r="E3763" s="2">
        <v>1.0</v>
      </c>
      <c r="F3763" s="2">
        <v>50.0</v>
      </c>
      <c r="G3763" s="2">
        <v>100700.0</v>
      </c>
    </row>
    <row r="3764" ht="14.25" customHeight="1">
      <c r="A3764" s="2">
        <v>3763.0</v>
      </c>
      <c r="B3764" s="2" t="s">
        <v>2651</v>
      </c>
      <c r="C3764" s="2" t="s">
        <v>6249</v>
      </c>
      <c r="D3764" s="2">
        <v>347.0</v>
      </c>
      <c r="E3764" s="2">
        <v>1.0</v>
      </c>
      <c r="F3764" s="2">
        <v>66.0</v>
      </c>
      <c r="G3764" s="2">
        <v>100700.0</v>
      </c>
    </row>
    <row r="3765" ht="14.25" customHeight="1">
      <c r="A3765" s="2">
        <v>3764.0</v>
      </c>
      <c r="B3765" s="2" t="s">
        <v>2497</v>
      </c>
      <c r="C3765" s="2" t="s">
        <v>6250</v>
      </c>
      <c r="D3765" s="2">
        <v>151.0</v>
      </c>
      <c r="E3765" s="2">
        <v>1.0</v>
      </c>
      <c r="F3765" s="2">
        <v>60.0</v>
      </c>
      <c r="G3765" s="2">
        <v>100600.0</v>
      </c>
    </row>
    <row r="3766" ht="14.25" customHeight="1">
      <c r="A3766" s="2">
        <v>3765.0</v>
      </c>
      <c r="B3766" s="2" t="s">
        <v>2518</v>
      </c>
      <c r="C3766" s="2" t="s">
        <v>6251</v>
      </c>
      <c r="D3766" s="2">
        <v>161.0</v>
      </c>
      <c r="E3766" s="2">
        <v>1.0</v>
      </c>
      <c r="F3766" s="2">
        <v>65.0</v>
      </c>
      <c r="G3766" s="2">
        <v>100600.0</v>
      </c>
    </row>
    <row r="3767" ht="14.25" customHeight="1">
      <c r="A3767" s="2">
        <v>3766.0</v>
      </c>
      <c r="B3767" s="2" t="s">
        <v>2604</v>
      </c>
      <c r="C3767" s="2" t="s">
        <v>6252</v>
      </c>
      <c r="D3767" s="2">
        <v>200.0</v>
      </c>
      <c r="E3767" s="2">
        <v>1.0</v>
      </c>
      <c r="F3767" s="2">
        <v>100.0</v>
      </c>
      <c r="G3767" s="2">
        <v>100600.0</v>
      </c>
    </row>
    <row r="3768" ht="14.25" customHeight="1">
      <c r="A3768" s="2">
        <v>3767.0</v>
      </c>
      <c r="B3768" s="2" t="s">
        <v>2604</v>
      </c>
      <c r="C3768" s="2" t="s">
        <v>6253</v>
      </c>
      <c r="D3768" s="2">
        <v>200.0</v>
      </c>
      <c r="E3768" s="2">
        <v>1.0</v>
      </c>
      <c r="F3768" s="2">
        <v>125.0</v>
      </c>
      <c r="G3768" s="2">
        <v>100600.0</v>
      </c>
    </row>
    <row r="3769" ht="14.25" customHeight="1">
      <c r="A3769" s="2">
        <v>3768.0</v>
      </c>
      <c r="B3769" s="2" t="s">
        <v>2477</v>
      </c>
      <c r="C3769" s="2" t="s">
        <v>6254</v>
      </c>
      <c r="D3769" s="2">
        <v>152.0</v>
      </c>
      <c r="E3769" s="2">
        <v>1.0</v>
      </c>
      <c r="F3769" s="2">
        <v>50.0</v>
      </c>
      <c r="G3769" s="2">
        <v>100500.0</v>
      </c>
    </row>
    <row r="3770" ht="14.25" customHeight="1">
      <c r="A3770" s="2">
        <v>3769.0</v>
      </c>
      <c r="B3770" s="2" t="s">
        <v>2541</v>
      </c>
      <c r="C3770" s="2" t="s">
        <v>6255</v>
      </c>
      <c r="D3770" s="2">
        <v>195.0</v>
      </c>
      <c r="E3770" s="2">
        <v>1.0</v>
      </c>
      <c r="F3770" s="2">
        <v>100.0</v>
      </c>
      <c r="G3770" s="2">
        <v>100500.0</v>
      </c>
    </row>
    <row r="3771" ht="14.25" customHeight="1">
      <c r="A3771" s="2">
        <v>3770.0</v>
      </c>
      <c r="B3771" s="2" t="s">
        <v>2576</v>
      </c>
      <c r="C3771" s="2" t="s">
        <v>6256</v>
      </c>
      <c r="D3771" s="2">
        <v>197.0</v>
      </c>
      <c r="E3771" s="2">
        <v>1.0</v>
      </c>
      <c r="F3771" s="2">
        <v>132.0</v>
      </c>
      <c r="G3771" s="2">
        <v>100500.0</v>
      </c>
    </row>
    <row r="3772" ht="14.25" customHeight="1">
      <c r="A3772" s="2">
        <v>3771.0</v>
      </c>
      <c r="B3772" s="2" t="s">
        <v>2507</v>
      </c>
      <c r="C3772" s="2" t="s">
        <v>6257</v>
      </c>
      <c r="D3772" s="2">
        <v>205.0</v>
      </c>
      <c r="E3772" s="2">
        <v>1.0</v>
      </c>
      <c r="F3772" s="2">
        <v>100.0</v>
      </c>
      <c r="G3772" s="2">
        <v>100500.0</v>
      </c>
    </row>
    <row r="3773" ht="14.25" customHeight="1">
      <c r="A3773" s="2">
        <v>3772.0</v>
      </c>
      <c r="B3773" s="2" t="s">
        <v>2505</v>
      </c>
      <c r="C3773" s="2" t="s">
        <v>6258</v>
      </c>
      <c r="D3773" s="2">
        <v>429.0</v>
      </c>
      <c r="E3773" s="2">
        <v>1.0</v>
      </c>
      <c r="F3773" s="2">
        <v>100.0</v>
      </c>
      <c r="G3773" s="2">
        <v>100500.0</v>
      </c>
    </row>
    <row r="3774" ht="14.25" customHeight="1">
      <c r="A3774" s="2">
        <v>3773.0</v>
      </c>
      <c r="B3774" s="2" t="s">
        <v>2549</v>
      </c>
      <c r="C3774" s="2" t="s">
        <v>6259</v>
      </c>
      <c r="D3774" s="2">
        <v>115.0</v>
      </c>
      <c r="E3774" s="2">
        <v>1.0</v>
      </c>
      <c r="F3774" s="2">
        <v>100.0</v>
      </c>
      <c r="G3774" s="2">
        <v>100400.0</v>
      </c>
    </row>
    <row r="3775" ht="14.25" customHeight="1">
      <c r="A3775" s="2">
        <v>3774.0</v>
      </c>
      <c r="B3775" s="2" t="s">
        <v>2505</v>
      </c>
      <c r="C3775" s="2" t="s">
        <v>3524</v>
      </c>
      <c r="D3775" s="2">
        <v>429.0</v>
      </c>
      <c r="E3775" s="2">
        <v>1.0</v>
      </c>
      <c r="F3775" s="2">
        <v>100.0</v>
      </c>
      <c r="G3775" s="2">
        <v>100400.0</v>
      </c>
    </row>
    <row r="3776" ht="14.25" customHeight="1">
      <c r="A3776" s="2">
        <v>3775.0</v>
      </c>
      <c r="B3776" s="2" t="s">
        <v>2945</v>
      </c>
      <c r="C3776" s="2" t="s">
        <v>6260</v>
      </c>
      <c r="D3776" s="2">
        <v>619.0</v>
      </c>
      <c r="E3776" s="2">
        <v>1.0</v>
      </c>
      <c r="F3776" s="2">
        <v>60.0</v>
      </c>
      <c r="G3776" s="2">
        <v>100400.0</v>
      </c>
    </row>
    <row r="3777" ht="14.25" customHeight="1">
      <c r="A3777" s="2">
        <v>3776.0</v>
      </c>
      <c r="B3777" s="2" t="s">
        <v>2503</v>
      </c>
      <c r="C3777" s="2" t="s">
        <v>6261</v>
      </c>
      <c r="D3777" s="2">
        <v>105.0</v>
      </c>
      <c r="E3777" s="2">
        <v>1.0</v>
      </c>
      <c r="F3777" s="2">
        <v>120.0</v>
      </c>
      <c r="G3777" s="2">
        <v>100300.0</v>
      </c>
    </row>
    <row r="3778" ht="14.25" customHeight="1">
      <c r="A3778" s="2">
        <v>3777.0</v>
      </c>
      <c r="B3778" s="2" t="s">
        <v>2549</v>
      </c>
      <c r="C3778" s="2" t="s">
        <v>6262</v>
      </c>
      <c r="D3778" s="2">
        <v>115.0</v>
      </c>
      <c r="E3778" s="2">
        <v>1.0</v>
      </c>
      <c r="F3778" s="2">
        <v>100.0</v>
      </c>
      <c r="G3778" s="2">
        <v>100300.0</v>
      </c>
    </row>
    <row r="3779" ht="14.25" customHeight="1">
      <c r="A3779" s="2">
        <v>3778.0</v>
      </c>
      <c r="B3779" s="2" t="s">
        <v>2512</v>
      </c>
      <c r="C3779" s="2" t="s">
        <v>6263</v>
      </c>
      <c r="D3779" s="2">
        <v>153.0</v>
      </c>
      <c r="E3779" s="2">
        <v>1.0</v>
      </c>
      <c r="F3779" s="2">
        <v>50.0</v>
      </c>
      <c r="G3779" s="2">
        <v>100300.0</v>
      </c>
    </row>
    <row r="3780" ht="14.25" customHeight="1">
      <c r="A3780" s="2">
        <v>3779.0</v>
      </c>
      <c r="B3780" s="2" t="s">
        <v>2512</v>
      </c>
      <c r="C3780" s="2" t="s">
        <v>6264</v>
      </c>
      <c r="D3780" s="2">
        <v>153.0</v>
      </c>
      <c r="E3780" s="2">
        <v>1.0</v>
      </c>
      <c r="F3780" s="2">
        <v>50.0</v>
      </c>
      <c r="G3780" s="2">
        <v>100300.0</v>
      </c>
    </row>
    <row r="3781" ht="14.25" customHeight="1">
      <c r="A3781" s="2">
        <v>3780.0</v>
      </c>
      <c r="B3781" s="2" t="s">
        <v>2512</v>
      </c>
      <c r="C3781" s="2" t="s">
        <v>6265</v>
      </c>
      <c r="D3781" s="2">
        <v>153.0</v>
      </c>
      <c r="E3781" s="2">
        <v>1.0</v>
      </c>
      <c r="F3781" s="2">
        <v>80.0</v>
      </c>
      <c r="G3781" s="2">
        <v>100300.0</v>
      </c>
    </row>
    <row r="3782" ht="14.25" customHeight="1">
      <c r="A3782" s="2">
        <v>3781.0</v>
      </c>
      <c r="B3782" s="2" t="s">
        <v>2507</v>
      </c>
      <c r="C3782" s="2" t="s">
        <v>6266</v>
      </c>
      <c r="D3782" s="2">
        <v>205.0</v>
      </c>
      <c r="E3782" s="2">
        <v>1.0</v>
      </c>
      <c r="F3782" s="2">
        <v>75.0</v>
      </c>
      <c r="G3782" s="2">
        <v>100300.0</v>
      </c>
    </row>
    <row r="3783" ht="14.25" customHeight="1">
      <c r="A3783" s="2">
        <v>3782.0</v>
      </c>
      <c r="B3783" s="2" t="s">
        <v>2505</v>
      </c>
      <c r="C3783" s="2" t="s">
        <v>6267</v>
      </c>
      <c r="D3783" s="2">
        <v>429.0</v>
      </c>
      <c r="E3783" s="2">
        <v>1.0</v>
      </c>
      <c r="F3783" s="2">
        <v>85.0</v>
      </c>
      <c r="G3783" s="2">
        <v>100300.0</v>
      </c>
    </row>
    <row r="3784" ht="14.25" customHeight="1">
      <c r="A3784" s="2">
        <v>3783.0</v>
      </c>
      <c r="B3784" s="2" t="s">
        <v>2497</v>
      </c>
      <c r="C3784" s="2" t="s">
        <v>6268</v>
      </c>
      <c r="D3784" s="2">
        <v>151.0</v>
      </c>
      <c r="E3784" s="2">
        <v>1.0</v>
      </c>
      <c r="F3784" s="2">
        <v>60.0</v>
      </c>
      <c r="G3784" s="2">
        <v>100200.0</v>
      </c>
    </row>
    <row r="3785" ht="14.25" customHeight="1">
      <c r="A3785" s="2">
        <v>3784.0</v>
      </c>
      <c r="B3785" s="2" t="s">
        <v>2541</v>
      </c>
      <c r="C3785" s="2" t="s">
        <v>4794</v>
      </c>
      <c r="D3785" s="2">
        <v>195.0</v>
      </c>
      <c r="E3785" s="2">
        <v>1.0</v>
      </c>
      <c r="F3785" s="2">
        <v>50.0</v>
      </c>
      <c r="G3785" s="2">
        <v>100200.0</v>
      </c>
    </row>
    <row r="3786" ht="14.25" customHeight="1">
      <c r="A3786" s="2">
        <v>3785.0</v>
      </c>
      <c r="B3786" s="2" t="s">
        <v>2507</v>
      </c>
      <c r="C3786" s="2" t="s">
        <v>6269</v>
      </c>
      <c r="D3786" s="2">
        <v>205.0</v>
      </c>
      <c r="E3786" s="2">
        <v>1.0</v>
      </c>
      <c r="F3786" s="2">
        <v>100.0</v>
      </c>
      <c r="G3786" s="2">
        <v>100200.0</v>
      </c>
    </row>
    <row r="3787" ht="14.25" customHeight="1">
      <c r="A3787" s="2">
        <v>3786.0</v>
      </c>
      <c r="B3787" s="2" t="s">
        <v>2524</v>
      </c>
      <c r="C3787" s="2" t="s">
        <v>6270</v>
      </c>
      <c r="D3787" s="2">
        <v>331.0</v>
      </c>
      <c r="E3787" s="2">
        <v>1.0</v>
      </c>
      <c r="F3787" s="2">
        <v>118.0</v>
      </c>
      <c r="G3787" s="2">
        <v>100200.0</v>
      </c>
    </row>
    <row r="3788" ht="14.25" customHeight="1">
      <c r="A3788" s="2">
        <v>3787.0</v>
      </c>
      <c r="B3788" s="2" t="s">
        <v>2945</v>
      </c>
      <c r="C3788" s="2" t="s">
        <v>6271</v>
      </c>
      <c r="D3788" s="2">
        <v>619.0</v>
      </c>
      <c r="E3788" s="2">
        <v>1.0</v>
      </c>
      <c r="F3788" s="2">
        <v>60.0</v>
      </c>
      <c r="G3788" s="2">
        <v>100200.0</v>
      </c>
    </row>
    <row r="3789" ht="14.25" customHeight="1">
      <c r="A3789" s="2">
        <v>3788.0</v>
      </c>
      <c r="B3789" s="2" t="s">
        <v>2636</v>
      </c>
      <c r="C3789" s="2" t="s">
        <v>6272</v>
      </c>
      <c r="D3789" s="2">
        <v>145.0</v>
      </c>
      <c r="E3789" s="2">
        <v>1.0</v>
      </c>
      <c r="F3789" s="2">
        <v>100.0</v>
      </c>
      <c r="G3789" s="2">
        <v>100100.0</v>
      </c>
    </row>
    <row r="3790" ht="14.25" customHeight="1">
      <c r="A3790" s="2">
        <v>3789.0</v>
      </c>
      <c r="B3790" s="2" t="s">
        <v>2479</v>
      </c>
      <c r="C3790" s="2" t="s">
        <v>6273</v>
      </c>
      <c r="D3790" s="2">
        <v>182.0</v>
      </c>
      <c r="E3790" s="2">
        <v>1.0</v>
      </c>
      <c r="F3790" s="2">
        <v>50.0</v>
      </c>
      <c r="G3790" s="2">
        <v>100100.0</v>
      </c>
    </row>
    <row r="3791" ht="14.25" customHeight="1">
      <c r="A3791" s="2">
        <v>3790.0</v>
      </c>
      <c r="B3791" s="2" t="s">
        <v>2479</v>
      </c>
      <c r="C3791" s="2" t="s">
        <v>6274</v>
      </c>
      <c r="D3791" s="2">
        <v>182.0</v>
      </c>
      <c r="E3791" s="2">
        <v>1.0</v>
      </c>
      <c r="F3791" s="2">
        <v>50.0</v>
      </c>
      <c r="G3791" s="2">
        <v>100100.0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6.75"/>
    <col customWidth="1" min="3" max="3" width="8.88"/>
    <col customWidth="1" min="4" max="4" width="8.0"/>
    <col customWidth="1" min="5" max="5" width="17.0"/>
    <col customWidth="1" min="6" max="10" width="11.38"/>
    <col customWidth="1" min="11" max="11" width="6.0"/>
    <col customWidth="1" min="12" max="12" width="30.88"/>
    <col customWidth="1" min="13" max="13" width="9.75"/>
    <col customWidth="1" min="14" max="14" width="10.0"/>
    <col customWidth="1" min="15" max="15" width="9.88"/>
    <col customWidth="1" min="16" max="17" width="10.13"/>
    <col customWidth="1" min="18" max="26" width="8.63"/>
  </cols>
  <sheetData>
    <row r="1" ht="14.25" customHeight="1">
      <c r="A1" s="12" t="s">
        <v>17</v>
      </c>
      <c r="B1" s="12" t="s">
        <v>6275</v>
      </c>
      <c r="C1" s="12" t="s">
        <v>6276</v>
      </c>
      <c r="D1" s="12" t="s">
        <v>6277</v>
      </c>
      <c r="E1" s="12" t="s">
        <v>19</v>
      </c>
      <c r="F1" s="13"/>
      <c r="G1" s="13"/>
      <c r="H1" s="13"/>
      <c r="I1" s="13"/>
      <c r="J1" s="13"/>
      <c r="K1" s="12" t="s">
        <v>17</v>
      </c>
      <c r="L1" s="14" t="s">
        <v>6278</v>
      </c>
      <c r="M1" s="14" t="s">
        <v>6279</v>
      </c>
      <c r="N1" s="14" t="s">
        <v>6280</v>
      </c>
      <c r="O1" s="14" t="s">
        <v>6281</v>
      </c>
      <c r="P1" s="15" t="s">
        <v>6282</v>
      </c>
      <c r="Q1" s="16" t="s">
        <v>6283</v>
      </c>
    </row>
    <row r="2" ht="14.25" customHeight="1">
      <c r="A2" s="17">
        <v>1.0</v>
      </c>
      <c r="B2" s="17" t="s">
        <v>6284</v>
      </c>
      <c r="C2" s="17" t="s">
        <v>6285</v>
      </c>
      <c r="D2" s="17" t="str">
        <f t="shared" ref="D2:D101" si="1">CHAR(RANDBETWEEN(65,90))&amp;CHAR(RANDBETWEEN(65,90))&amp;CHAR(RANDBETWEEN(48,57))</f>
        <v>OV9</v>
      </c>
      <c r="E2" s="17" t="str">
        <f t="shared" ref="E2:E101" si="2">PROPER(B2)&amp;" "&amp;PROPER(C2)&amp;" "&amp;D2</f>
        <v>Subvoof Oracle OV9</v>
      </c>
      <c r="F2" s="13"/>
      <c r="G2" s="13"/>
      <c r="H2" s="13"/>
      <c r="I2" s="13"/>
      <c r="J2" s="13"/>
      <c r="K2" s="17">
        <v>1.0</v>
      </c>
      <c r="L2" s="18" t="s">
        <v>6286</v>
      </c>
      <c r="M2" s="19">
        <v>90.0</v>
      </c>
      <c r="N2" s="19">
        <v>150.0</v>
      </c>
      <c r="O2" s="19">
        <v>0.05</v>
      </c>
      <c r="P2" s="20">
        <v>0.05</v>
      </c>
      <c r="Q2" s="21">
        <v>1.0</v>
      </c>
      <c r="S2" s="4" t="s">
        <v>6287</v>
      </c>
    </row>
    <row r="3" ht="14.25" customHeight="1">
      <c r="A3" s="17">
        <v>2.0</v>
      </c>
      <c r="B3" s="17" t="s">
        <v>6288</v>
      </c>
      <c r="C3" s="17" t="s">
        <v>6289</v>
      </c>
      <c r="D3" s="17" t="str">
        <f t="shared" si="1"/>
        <v>CB2</v>
      </c>
      <c r="E3" s="17" t="str">
        <f t="shared" si="2"/>
        <v>Unxop Aura CB2</v>
      </c>
      <c r="F3" s="13"/>
      <c r="G3" s="13"/>
      <c r="H3" s="13"/>
      <c r="I3" s="13"/>
      <c r="J3" s="13"/>
      <c r="K3" s="17">
        <v>2.0</v>
      </c>
      <c r="L3" s="18" t="s">
        <v>6290</v>
      </c>
      <c r="M3" s="19">
        <v>40.0</v>
      </c>
      <c r="N3" s="19">
        <v>80.0</v>
      </c>
      <c r="O3" s="19">
        <v>0.05</v>
      </c>
      <c r="P3" s="20">
        <v>0.05</v>
      </c>
      <c r="Q3" s="21">
        <v>1.0</v>
      </c>
      <c r="S3" s="4" t="s">
        <v>17</v>
      </c>
      <c r="T3" s="4" t="s">
        <v>1813</v>
      </c>
      <c r="U3" s="4" t="s">
        <v>6291</v>
      </c>
      <c r="V3" s="4" t="s">
        <v>6292</v>
      </c>
    </row>
    <row r="4" ht="14.25" customHeight="1">
      <c r="A4" s="17">
        <v>3.0</v>
      </c>
      <c r="B4" s="17" t="s">
        <v>6293</v>
      </c>
      <c r="C4" s="17" t="s">
        <v>6294</v>
      </c>
      <c r="D4" s="17" t="str">
        <f t="shared" si="1"/>
        <v>FB1</v>
      </c>
      <c r="E4" s="17" t="str">
        <f t="shared" si="2"/>
        <v>Xiw Capital FB1</v>
      </c>
      <c r="F4" s="13"/>
      <c r="G4" s="13"/>
      <c r="H4" s="13"/>
      <c r="I4" s="13"/>
      <c r="J4" s="13"/>
      <c r="K4" s="17">
        <v>3.0</v>
      </c>
      <c r="L4" s="18" t="s">
        <v>6295</v>
      </c>
      <c r="M4" s="19">
        <v>120.0</v>
      </c>
      <c r="N4" s="19">
        <v>200.0</v>
      </c>
      <c r="O4" s="19">
        <v>1.0</v>
      </c>
      <c r="P4" s="20">
        <v>1.5</v>
      </c>
      <c r="Q4" s="21">
        <v>1.0</v>
      </c>
    </row>
    <row r="5" ht="14.25" customHeight="1">
      <c r="A5" s="17">
        <v>4.0</v>
      </c>
      <c r="B5" s="17" t="s">
        <v>6296</v>
      </c>
      <c r="C5" s="17" t="s">
        <v>6297</v>
      </c>
      <c r="D5" s="17" t="str">
        <f t="shared" si="1"/>
        <v>HQ7</v>
      </c>
      <c r="E5" s="17" t="str">
        <f t="shared" si="2"/>
        <v>Thruma Sliver HQ7</v>
      </c>
      <c r="F5" s="13"/>
      <c r="G5" s="13"/>
      <c r="H5" s="13"/>
      <c r="I5" s="13"/>
      <c r="J5" s="13"/>
      <c r="K5" s="17">
        <v>4.0</v>
      </c>
      <c r="L5" s="18" t="s">
        <v>6298</v>
      </c>
      <c r="M5" s="19">
        <v>60.0</v>
      </c>
      <c r="N5" s="19">
        <v>120.0</v>
      </c>
      <c r="O5" s="19">
        <v>0.2</v>
      </c>
      <c r="P5" s="20">
        <v>0.5</v>
      </c>
      <c r="Q5" s="21">
        <v>1.0</v>
      </c>
    </row>
    <row r="6" ht="14.25" customHeight="1">
      <c r="A6" s="17">
        <v>5.0</v>
      </c>
      <c r="B6" s="17" t="s">
        <v>6299</v>
      </c>
      <c r="C6" s="17" t="s">
        <v>6300</v>
      </c>
      <c r="D6" s="17" t="str">
        <f t="shared" si="1"/>
        <v>KJ6</v>
      </c>
      <c r="E6" s="17" t="str">
        <f t="shared" si="2"/>
        <v>Stifoom Inception KJ6</v>
      </c>
      <c r="F6" s="13"/>
      <c r="G6" s="13"/>
      <c r="H6" s="13"/>
      <c r="I6" s="13"/>
      <c r="J6" s="13"/>
      <c r="K6" s="17">
        <v>5.0</v>
      </c>
      <c r="L6" s="18" t="s">
        <v>6301</v>
      </c>
      <c r="M6" s="19">
        <v>70.0</v>
      </c>
      <c r="N6" s="19">
        <v>150.0</v>
      </c>
      <c r="O6" s="19">
        <v>0.3</v>
      </c>
      <c r="P6" s="20">
        <v>0.8</v>
      </c>
      <c r="Q6" s="21">
        <v>1.0</v>
      </c>
    </row>
    <row r="7" ht="14.25" customHeight="1">
      <c r="A7" s="17">
        <v>6.0</v>
      </c>
      <c r="B7" s="17" t="s">
        <v>6302</v>
      </c>
      <c r="C7" s="17" t="s">
        <v>6303</v>
      </c>
      <c r="D7" s="17" t="str">
        <f t="shared" si="1"/>
        <v>BL9</v>
      </c>
      <c r="E7" s="17" t="str">
        <f t="shared" si="2"/>
        <v>Clirted Trailblazer BL9</v>
      </c>
      <c r="F7" s="13"/>
      <c r="G7" s="13"/>
      <c r="H7" s="13"/>
      <c r="I7" s="13"/>
      <c r="J7" s="13"/>
      <c r="K7" s="17">
        <v>6.0</v>
      </c>
      <c r="L7" s="18" t="s">
        <v>6304</v>
      </c>
      <c r="M7" s="19">
        <v>50.0</v>
      </c>
      <c r="N7" s="19">
        <v>100.0</v>
      </c>
      <c r="O7" s="19">
        <v>0.2</v>
      </c>
      <c r="P7" s="20">
        <v>0.2</v>
      </c>
      <c r="Q7" s="21">
        <v>2.0</v>
      </c>
    </row>
    <row r="8" ht="14.25" customHeight="1">
      <c r="A8" s="17">
        <v>7.0</v>
      </c>
      <c r="B8" s="17" t="s">
        <v>6305</v>
      </c>
      <c r="C8" s="17" t="s">
        <v>6306</v>
      </c>
      <c r="D8" s="17" t="str">
        <f t="shared" si="1"/>
        <v>JS5</v>
      </c>
      <c r="E8" s="17" t="str">
        <f t="shared" si="2"/>
        <v>Init Blend JS5</v>
      </c>
      <c r="F8" s="13"/>
      <c r="G8" s="13"/>
      <c r="H8" s="13"/>
      <c r="I8" s="13"/>
      <c r="J8" s="13"/>
      <c r="K8" s="17">
        <v>7.0</v>
      </c>
      <c r="L8" s="18" t="s">
        <v>6307</v>
      </c>
      <c r="M8" s="19">
        <v>100.0</v>
      </c>
      <c r="N8" s="19">
        <v>180.0</v>
      </c>
      <c r="O8" s="19">
        <v>0.8</v>
      </c>
      <c r="P8" s="20">
        <v>1.2</v>
      </c>
      <c r="Q8" s="21">
        <v>1.0</v>
      </c>
    </row>
    <row r="9" ht="14.25" customHeight="1">
      <c r="A9" s="17">
        <v>8.0</v>
      </c>
      <c r="B9" s="17" t="s">
        <v>6308</v>
      </c>
      <c r="C9" s="17" t="s">
        <v>6309</v>
      </c>
      <c r="D9" s="17" t="str">
        <f t="shared" si="1"/>
        <v>SW9</v>
      </c>
      <c r="E9" s="17" t="str">
        <f t="shared" si="2"/>
        <v>Outoat Presence SW9</v>
      </c>
      <c r="F9" s="13"/>
      <c r="G9" s="13"/>
      <c r="H9" s="13"/>
      <c r="I9" s="13"/>
      <c r="J9" s="13"/>
      <c r="K9" s="17">
        <v>8.0</v>
      </c>
      <c r="L9" s="18" t="s">
        <v>6310</v>
      </c>
      <c r="M9" s="19">
        <v>150.0</v>
      </c>
      <c r="N9" s="19">
        <v>250.0</v>
      </c>
      <c r="O9" s="19">
        <v>1.0</v>
      </c>
      <c r="P9" s="20">
        <v>1.5</v>
      </c>
      <c r="Q9" s="21">
        <v>1.0</v>
      </c>
    </row>
    <row r="10" ht="14.25" customHeight="1">
      <c r="A10" s="17">
        <v>9.0</v>
      </c>
      <c r="B10" s="17" t="s">
        <v>6311</v>
      </c>
      <c r="C10" s="17" t="s">
        <v>6312</v>
      </c>
      <c r="D10" s="17" t="str">
        <f t="shared" si="1"/>
        <v>VC3</v>
      </c>
      <c r="E10" s="17" t="str">
        <f t="shared" si="2"/>
        <v>Intervop Thunder VC3</v>
      </c>
      <c r="F10" s="13"/>
      <c r="G10" s="13"/>
      <c r="H10" s="13"/>
      <c r="I10" s="13"/>
      <c r="J10" s="13"/>
      <c r="K10" s="17">
        <v>9.0</v>
      </c>
      <c r="L10" s="18" t="s">
        <v>6313</v>
      </c>
      <c r="M10" s="19">
        <v>200.0</v>
      </c>
      <c r="N10" s="19">
        <v>400.0</v>
      </c>
      <c r="O10" s="19">
        <v>1.0</v>
      </c>
      <c r="P10" s="20">
        <v>2.0</v>
      </c>
      <c r="Q10" s="21">
        <v>1.0</v>
      </c>
    </row>
    <row r="11" ht="14.25" customHeight="1">
      <c r="A11" s="17">
        <v>10.0</v>
      </c>
      <c r="B11" s="17" t="s">
        <v>6314</v>
      </c>
      <c r="C11" s="17" t="s">
        <v>6315</v>
      </c>
      <c r="D11" s="17" t="str">
        <f t="shared" si="1"/>
        <v>XY1</v>
      </c>
      <c r="E11" s="17" t="str">
        <f t="shared" si="2"/>
        <v>Iapu Astral XY1</v>
      </c>
      <c r="F11" s="13"/>
      <c r="G11" s="13"/>
      <c r="H11" s="13"/>
      <c r="I11" s="13"/>
      <c r="J11" s="13"/>
      <c r="K11" s="17">
        <v>10.0</v>
      </c>
      <c r="L11" s="18" t="s">
        <v>6316</v>
      </c>
      <c r="M11" s="19">
        <v>100.0</v>
      </c>
      <c r="N11" s="19">
        <v>200.0</v>
      </c>
      <c r="O11" s="19">
        <v>0.8</v>
      </c>
      <c r="P11" s="20">
        <v>1.2</v>
      </c>
      <c r="Q11" s="21">
        <v>1.0</v>
      </c>
    </row>
    <row r="12" ht="14.25" customHeight="1">
      <c r="A12" s="17">
        <v>11.0</v>
      </c>
      <c r="B12" s="17" t="s">
        <v>6317</v>
      </c>
      <c r="C12" s="17" t="s">
        <v>6318</v>
      </c>
      <c r="D12" s="17" t="str">
        <f t="shared" si="1"/>
        <v>VM4</v>
      </c>
      <c r="E12" s="17" t="str">
        <f t="shared" si="2"/>
        <v>Posttist Spire VM4</v>
      </c>
      <c r="F12" s="13"/>
      <c r="G12" s="13"/>
      <c r="H12" s="13"/>
      <c r="I12" s="13"/>
      <c r="J12" s="13"/>
      <c r="K12" s="17">
        <v>11.0</v>
      </c>
      <c r="L12" s="18" t="s">
        <v>6319</v>
      </c>
      <c r="M12" s="19">
        <v>600.0</v>
      </c>
      <c r="N12" s="19">
        <v>1200.0</v>
      </c>
      <c r="O12" s="19">
        <v>1.0</v>
      </c>
      <c r="P12" s="20">
        <v>1.5</v>
      </c>
      <c r="Q12" s="21" t="s">
        <v>6320</v>
      </c>
    </row>
    <row r="13" ht="14.25" customHeight="1">
      <c r="A13" s="17">
        <v>12.0</v>
      </c>
      <c r="B13" s="17" t="s">
        <v>6321</v>
      </c>
      <c r="C13" s="17" t="s">
        <v>1322</v>
      </c>
      <c r="D13" s="17" t="str">
        <f t="shared" si="1"/>
        <v>DL1</v>
      </c>
      <c r="E13" s="17" t="str">
        <f t="shared" si="2"/>
        <v>Antibest Fang DL1</v>
      </c>
      <c r="F13" s="13"/>
      <c r="G13" s="13"/>
      <c r="H13" s="13"/>
      <c r="I13" s="13"/>
      <c r="J13" s="13"/>
      <c r="K13" s="17">
        <v>12.0</v>
      </c>
      <c r="L13" s="18" t="s">
        <v>6322</v>
      </c>
      <c r="M13" s="19">
        <v>100.0</v>
      </c>
      <c r="N13" s="19">
        <v>160.0</v>
      </c>
      <c r="O13" s="19">
        <v>1.0</v>
      </c>
      <c r="P13" s="20">
        <v>1.5</v>
      </c>
      <c r="Q13" s="21" t="s">
        <v>6320</v>
      </c>
    </row>
    <row r="14" ht="14.25" customHeight="1">
      <c r="A14" s="17">
        <v>13.0</v>
      </c>
      <c r="B14" s="17" t="s">
        <v>6323</v>
      </c>
      <c r="C14" s="17" t="s">
        <v>6324</v>
      </c>
      <c r="D14" s="17" t="str">
        <f t="shared" si="1"/>
        <v>UZ1</v>
      </c>
      <c r="E14" s="17" t="str">
        <f t="shared" si="2"/>
        <v>Wucko Fragment UZ1</v>
      </c>
      <c r="F14" s="13"/>
      <c r="G14" s="13"/>
      <c r="H14" s="13"/>
      <c r="I14" s="13"/>
      <c r="J14" s="13"/>
      <c r="K14" s="17">
        <v>13.0</v>
      </c>
      <c r="L14" s="18" t="s">
        <v>6325</v>
      </c>
      <c r="M14" s="19">
        <v>30.0</v>
      </c>
      <c r="N14" s="19">
        <v>60.0</v>
      </c>
      <c r="O14" s="19">
        <v>0.3</v>
      </c>
      <c r="P14" s="20">
        <v>0.3</v>
      </c>
      <c r="Q14" s="21">
        <v>1.0</v>
      </c>
    </row>
    <row r="15" ht="14.25" customHeight="1">
      <c r="A15" s="17">
        <v>14.0</v>
      </c>
      <c r="B15" s="17" t="s">
        <v>6326</v>
      </c>
      <c r="C15" s="17" t="s">
        <v>6327</v>
      </c>
      <c r="D15" s="17" t="str">
        <f t="shared" si="1"/>
        <v>RQ8</v>
      </c>
      <c r="E15" s="17" t="str">
        <f t="shared" si="2"/>
        <v>Prup Freedom RQ8</v>
      </c>
      <c r="F15" s="13"/>
      <c r="G15" s="13"/>
      <c r="H15" s="13"/>
      <c r="I15" s="13"/>
      <c r="J15" s="13"/>
      <c r="K15" s="17">
        <v>14.0</v>
      </c>
      <c r="L15" s="18" t="s">
        <v>6328</v>
      </c>
      <c r="M15" s="19">
        <v>250.0</v>
      </c>
      <c r="N15" s="19">
        <v>450.0</v>
      </c>
      <c r="O15" s="19">
        <v>1.0</v>
      </c>
      <c r="P15" s="20">
        <v>1.8</v>
      </c>
      <c r="Q15" s="21">
        <v>4.0</v>
      </c>
    </row>
    <row r="16" ht="14.25" customHeight="1">
      <c r="A16" s="17">
        <v>15.0</v>
      </c>
      <c r="B16" s="17" t="s">
        <v>6329</v>
      </c>
      <c r="C16" s="17" t="s">
        <v>6330</v>
      </c>
      <c r="D16" s="17" t="str">
        <f t="shared" si="1"/>
        <v>XH1</v>
      </c>
      <c r="E16" s="17" t="str">
        <f t="shared" si="2"/>
        <v>Kuwife Mythic XH1</v>
      </c>
      <c r="F16" s="13"/>
      <c r="G16" s="13"/>
      <c r="H16" s="13"/>
      <c r="I16" s="13"/>
      <c r="J16" s="13"/>
      <c r="K16" s="17">
        <v>15.0</v>
      </c>
      <c r="L16" s="18" t="s">
        <v>6331</v>
      </c>
      <c r="M16" s="19">
        <v>250.0</v>
      </c>
      <c r="N16" s="19">
        <v>450.0</v>
      </c>
      <c r="O16" s="19">
        <v>1.5</v>
      </c>
      <c r="P16" s="20">
        <v>2.5</v>
      </c>
      <c r="Q16" s="21">
        <v>4.0</v>
      </c>
    </row>
    <row r="17" ht="14.25" customHeight="1">
      <c r="A17" s="17">
        <v>16.0</v>
      </c>
      <c r="B17" s="17" t="s">
        <v>6332</v>
      </c>
      <c r="C17" s="17" t="s">
        <v>6333</v>
      </c>
      <c r="D17" s="17" t="str">
        <f t="shared" si="1"/>
        <v>CZ5</v>
      </c>
      <c r="E17" s="17" t="str">
        <f t="shared" si="2"/>
        <v>Mileel Dusk CZ5</v>
      </c>
      <c r="F17" s="13"/>
      <c r="G17" s="13"/>
      <c r="H17" s="13"/>
      <c r="I17" s="13"/>
      <c r="J17" s="13"/>
      <c r="K17" s="17">
        <v>16.0</v>
      </c>
      <c r="L17" s="18" t="s">
        <v>6334</v>
      </c>
      <c r="M17" s="19">
        <v>600.0</v>
      </c>
      <c r="N17" s="19">
        <v>900.0</v>
      </c>
      <c r="O17" s="19">
        <v>1.0</v>
      </c>
      <c r="P17" s="20">
        <v>1.5</v>
      </c>
      <c r="Q17" s="21">
        <v>4.0</v>
      </c>
    </row>
    <row r="18" ht="14.25" customHeight="1">
      <c r="A18" s="17">
        <v>17.0</v>
      </c>
      <c r="B18" s="17" t="s">
        <v>6335</v>
      </c>
      <c r="C18" s="17" t="s">
        <v>6336</v>
      </c>
      <c r="D18" s="17" t="str">
        <f t="shared" si="1"/>
        <v>EG5</v>
      </c>
      <c r="E18" s="17" t="str">
        <f t="shared" si="2"/>
        <v>Proat Mystery EG5</v>
      </c>
      <c r="F18" s="13"/>
      <c r="G18" s="13"/>
      <c r="H18" s="13"/>
      <c r="I18" s="13"/>
      <c r="J18" s="13"/>
      <c r="K18" s="17">
        <v>17.0</v>
      </c>
      <c r="L18" s="18" t="s">
        <v>6337</v>
      </c>
      <c r="M18" s="19">
        <v>200.0</v>
      </c>
      <c r="N18" s="19">
        <v>350.0</v>
      </c>
      <c r="O18" s="19">
        <v>0.3</v>
      </c>
      <c r="P18" s="20">
        <v>1.0</v>
      </c>
      <c r="Q18" s="21">
        <v>1.0</v>
      </c>
    </row>
    <row r="19" ht="14.25" customHeight="1">
      <c r="A19" s="17">
        <v>18.0</v>
      </c>
      <c r="B19" s="17" t="s">
        <v>6338</v>
      </c>
      <c r="C19" s="17" t="s">
        <v>6339</v>
      </c>
      <c r="D19" s="17" t="str">
        <f t="shared" si="1"/>
        <v>RE1</v>
      </c>
      <c r="E19" s="17" t="str">
        <f t="shared" si="2"/>
        <v>Inake Tigress RE1</v>
      </c>
      <c r="F19" s="13"/>
      <c r="G19" s="13"/>
      <c r="H19" s="13"/>
      <c r="I19" s="13"/>
      <c r="J19" s="13"/>
      <c r="K19" s="17">
        <v>18.0</v>
      </c>
      <c r="L19" s="18" t="s">
        <v>6340</v>
      </c>
      <c r="M19" s="19">
        <v>150.0</v>
      </c>
      <c r="N19" s="19">
        <v>300.0</v>
      </c>
      <c r="O19" s="19">
        <v>1.0</v>
      </c>
      <c r="P19" s="20">
        <v>1.5</v>
      </c>
      <c r="Q19" s="21" t="s">
        <v>6341</v>
      </c>
    </row>
    <row r="20" ht="14.25" customHeight="1">
      <c r="A20" s="17">
        <v>19.0</v>
      </c>
      <c r="B20" s="17" t="s">
        <v>6342</v>
      </c>
      <c r="C20" s="17" t="s">
        <v>6343</v>
      </c>
      <c r="D20" s="17" t="str">
        <f t="shared" si="1"/>
        <v>NE5</v>
      </c>
      <c r="E20" s="17" t="str">
        <f t="shared" si="2"/>
        <v>Contragon Vision NE5</v>
      </c>
      <c r="F20" s="13"/>
      <c r="G20" s="13"/>
      <c r="H20" s="13"/>
      <c r="I20" s="13"/>
      <c r="J20" s="13"/>
      <c r="K20" s="17">
        <v>19.0</v>
      </c>
      <c r="L20" s="18" t="s">
        <v>6344</v>
      </c>
      <c r="M20" s="19">
        <v>150.0</v>
      </c>
      <c r="N20" s="19">
        <v>300.0</v>
      </c>
      <c r="O20" s="19">
        <v>0.8</v>
      </c>
      <c r="P20" s="20">
        <v>1.5</v>
      </c>
      <c r="Q20" s="21">
        <v>1.0</v>
      </c>
    </row>
    <row r="21" ht="14.25" customHeight="1">
      <c r="A21" s="17">
        <v>20.0</v>
      </c>
      <c r="B21" s="17" t="s">
        <v>6345</v>
      </c>
      <c r="C21" s="17" t="s">
        <v>6346</v>
      </c>
      <c r="D21" s="17" t="str">
        <f t="shared" si="1"/>
        <v>MR1</v>
      </c>
      <c r="E21" s="17" t="str">
        <f t="shared" si="2"/>
        <v>Aqa Excursion MR1</v>
      </c>
      <c r="F21" s="13"/>
      <c r="G21" s="13"/>
      <c r="H21" s="13"/>
      <c r="I21" s="13"/>
      <c r="J21" s="13"/>
      <c r="K21" s="17">
        <v>20.0</v>
      </c>
      <c r="L21" s="18" t="s">
        <v>6347</v>
      </c>
      <c r="M21" s="19">
        <v>800.0</v>
      </c>
      <c r="N21" s="19">
        <v>1500.0</v>
      </c>
      <c r="O21" s="19">
        <v>4.0</v>
      </c>
      <c r="P21" s="20">
        <v>8.0</v>
      </c>
      <c r="Q21" s="21">
        <v>1.0</v>
      </c>
    </row>
    <row r="22" ht="14.25" customHeight="1">
      <c r="A22" s="17">
        <v>21.0</v>
      </c>
      <c r="B22" s="17" t="s">
        <v>6348</v>
      </c>
      <c r="C22" s="17" t="s">
        <v>6349</v>
      </c>
      <c r="D22" s="17" t="str">
        <f t="shared" si="1"/>
        <v>AN8</v>
      </c>
      <c r="E22" s="17" t="str">
        <f t="shared" si="2"/>
        <v>Autocife Prodigy AN8</v>
      </c>
      <c r="F22" s="13"/>
      <c r="G22" s="13"/>
      <c r="H22" s="13"/>
      <c r="I22" s="13"/>
      <c r="J22" s="13"/>
      <c r="K22" s="17">
        <v>21.0</v>
      </c>
      <c r="L22" s="18" t="s">
        <v>6350</v>
      </c>
      <c r="M22" s="19">
        <v>150.0</v>
      </c>
      <c r="N22" s="19">
        <v>300.0</v>
      </c>
      <c r="O22" s="19">
        <v>0.3</v>
      </c>
      <c r="P22" s="20">
        <v>1.0</v>
      </c>
      <c r="Q22" s="21">
        <v>1.0</v>
      </c>
    </row>
    <row r="23" ht="14.25" customHeight="1">
      <c r="A23" s="17">
        <v>22.0</v>
      </c>
      <c r="B23" s="17" t="s">
        <v>6351</v>
      </c>
      <c r="C23" s="17" t="s">
        <v>6352</v>
      </c>
      <c r="D23" s="17" t="str">
        <f t="shared" si="1"/>
        <v>MY8</v>
      </c>
      <c r="E23" s="17" t="str">
        <f t="shared" si="2"/>
        <v>Nonxine Vulture MY8</v>
      </c>
      <c r="F23" s="13"/>
      <c r="G23" s="13"/>
      <c r="H23" s="13"/>
      <c r="I23" s="13"/>
      <c r="J23" s="13"/>
      <c r="K23" s="17">
        <v>22.0</v>
      </c>
      <c r="L23" s="18" t="s">
        <v>6353</v>
      </c>
      <c r="M23" s="19">
        <v>500.0</v>
      </c>
      <c r="N23" s="19">
        <v>900.0</v>
      </c>
      <c r="O23" s="19">
        <v>1.5</v>
      </c>
      <c r="P23" s="20">
        <v>3.0</v>
      </c>
      <c r="Q23" s="21">
        <v>1.0</v>
      </c>
    </row>
    <row r="24" ht="14.25" customHeight="1">
      <c r="A24" s="17">
        <v>23.0</v>
      </c>
      <c r="B24" s="17" t="s">
        <v>2093</v>
      </c>
      <c r="C24" s="17" t="s">
        <v>6354</v>
      </c>
      <c r="D24" s="17" t="str">
        <f t="shared" si="1"/>
        <v>AA5</v>
      </c>
      <c r="E24" s="17" t="str">
        <f t="shared" si="2"/>
        <v>Jar Inferno AA5</v>
      </c>
      <c r="F24" s="13"/>
      <c r="G24" s="13"/>
      <c r="H24" s="13"/>
      <c r="I24" s="13"/>
      <c r="J24" s="13"/>
      <c r="K24" s="17">
        <v>23.0</v>
      </c>
      <c r="L24" s="18" t="s">
        <v>6355</v>
      </c>
      <c r="M24" s="19">
        <v>400.0</v>
      </c>
      <c r="N24" s="19">
        <v>700.0</v>
      </c>
      <c r="O24" s="19">
        <v>1.5</v>
      </c>
      <c r="P24" s="20">
        <v>2.5</v>
      </c>
      <c r="Q24" s="21">
        <v>1.0</v>
      </c>
    </row>
    <row r="25" ht="14.25" customHeight="1">
      <c r="A25" s="17">
        <v>24.0</v>
      </c>
      <c r="B25" s="17" t="s">
        <v>6356</v>
      </c>
      <c r="C25" s="17" t="s">
        <v>6357</v>
      </c>
      <c r="D25" s="17" t="str">
        <f t="shared" si="1"/>
        <v>UB4</v>
      </c>
      <c r="E25" s="17" t="str">
        <f t="shared" si="2"/>
        <v>Xim Formula UB4</v>
      </c>
      <c r="F25" s="13"/>
      <c r="G25" s="13"/>
      <c r="H25" s="13"/>
      <c r="I25" s="13"/>
      <c r="J25" s="13"/>
      <c r="K25" s="17">
        <v>24.0</v>
      </c>
      <c r="L25" s="18" t="s">
        <v>6358</v>
      </c>
      <c r="M25" s="19">
        <v>75.0</v>
      </c>
      <c r="N25" s="19">
        <v>150.0</v>
      </c>
      <c r="O25" s="19">
        <v>0.5</v>
      </c>
      <c r="P25" s="20">
        <v>1.0</v>
      </c>
      <c r="Q25" s="21">
        <v>1.0</v>
      </c>
    </row>
    <row r="26" ht="14.25" customHeight="1">
      <c r="A26" s="17">
        <v>25.0</v>
      </c>
      <c r="B26" s="17" t="s">
        <v>6359</v>
      </c>
      <c r="C26" s="17" t="s">
        <v>6360</v>
      </c>
      <c r="D26" s="17" t="str">
        <f t="shared" si="1"/>
        <v>HD6</v>
      </c>
      <c r="E26" s="17" t="str">
        <f t="shared" si="2"/>
        <v>Solion Essence HD6</v>
      </c>
      <c r="F26" s="13"/>
      <c r="G26" s="13"/>
      <c r="H26" s="13"/>
      <c r="I26" s="13"/>
      <c r="J26" s="13"/>
      <c r="K26" s="17">
        <v>25.0</v>
      </c>
      <c r="L26" s="18" t="s">
        <v>6361</v>
      </c>
      <c r="M26" s="19">
        <v>200.0</v>
      </c>
      <c r="N26" s="19">
        <v>400.0</v>
      </c>
      <c r="O26" s="19">
        <v>0.5</v>
      </c>
      <c r="P26" s="20">
        <v>1.5</v>
      </c>
      <c r="Q26" s="21">
        <v>1.0</v>
      </c>
    </row>
    <row r="27" ht="14.25" customHeight="1">
      <c r="A27" s="17">
        <v>26.0</v>
      </c>
      <c r="B27" s="17" t="s">
        <v>6362</v>
      </c>
      <c r="C27" s="17" t="s">
        <v>6363</v>
      </c>
      <c r="D27" s="17" t="str">
        <f t="shared" si="1"/>
        <v>ET3</v>
      </c>
      <c r="E27" s="17" t="str">
        <f t="shared" si="2"/>
        <v>Zlohook Desire ET3</v>
      </c>
      <c r="F27" s="13"/>
      <c r="G27" s="13"/>
      <c r="H27" s="13"/>
      <c r="I27" s="13"/>
      <c r="J27" s="13"/>
      <c r="K27" s="17">
        <v>26.0</v>
      </c>
      <c r="L27" s="18" t="s">
        <v>6364</v>
      </c>
      <c r="M27" s="19">
        <v>40.0</v>
      </c>
      <c r="N27" s="19">
        <v>150.0</v>
      </c>
      <c r="O27" s="19">
        <v>0.2</v>
      </c>
      <c r="P27" s="20">
        <v>0.8</v>
      </c>
      <c r="Q27" s="21">
        <v>2.0</v>
      </c>
    </row>
    <row r="28" ht="14.25" customHeight="1">
      <c r="A28" s="17">
        <v>27.0</v>
      </c>
      <c r="B28" s="17" t="s">
        <v>6365</v>
      </c>
      <c r="C28" s="17" t="s">
        <v>6366</v>
      </c>
      <c r="D28" s="17" t="str">
        <f t="shared" si="1"/>
        <v>VE9</v>
      </c>
      <c r="E28" s="17" t="str">
        <f t="shared" si="2"/>
        <v>Charish Roamer VE9</v>
      </c>
      <c r="F28" s="13"/>
      <c r="G28" s="13"/>
      <c r="H28" s="13"/>
      <c r="I28" s="13"/>
      <c r="J28" s="13"/>
      <c r="K28" s="17">
        <v>27.0</v>
      </c>
      <c r="L28" s="18" t="s">
        <v>6367</v>
      </c>
      <c r="M28" s="19">
        <v>250.0</v>
      </c>
      <c r="N28" s="19">
        <v>450.0</v>
      </c>
      <c r="O28" s="19">
        <v>0.3</v>
      </c>
      <c r="P28" s="20">
        <v>0.8</v>
      </c>
      <c r="Q28" s="21">
        <v>1.0</v>
      </c>
    </row>
    <row r="29" ht="14.25" customHeight="1">
      <c r="A29" s="17">
        <v>28.0</v>
      </c>
      <c r="B29" s="17" t="s">
        <v>6368</v>
      </c>
      <c r="C29" s="17" t="s">
        <v>6297</v>
      </c>
      <c r="D29" s="17" t="str">
        <f t="shared" si="1"/>
        <v>HW7</v>
      </c>
      <c r="E29" s="17" t="str">
        <f t="shared" si="2"/>
        <v>Biate Sliver HW7</v>
      </c>
      <c r="F29" s="13"/>
      <c r="G29" s="13"/>
      <c r="H29" s="13"/>
      <c r="I29" s="13"/>
      <c r="J29" s="13"/>
      <c r="K29" s="17">
        <v>28.0</v>
      </c>
      <c r="L29" s="18" t="s">
        <v>6369</v>
      </c>
      <c r="M29" s="19">
        <v>600.0</v>
      </c>
      <c r="N29" s="19">
        <v>1100.0</v>
      </c>
      <c r="O29" s="19">
        <v>2.5</v>
      </c>
      <c r="P29" s="20">
        <v>5.0</v>
      </c>
      <c r="Q29" s="21">
        <v>1.0</v>
      </c>
    </row>
    <row r="30" ht="14.25" customHeight="1">
      <c r="A30" s="17">
        <v>29.0</v>
      </c>
      <c r="B30" s="17" t="s">
        <v>6370</v>
      </c>
      <c r="C30" s="17" t="s">
        <v>6371</v>
      </c>
      <c r="D30" s="17" t="str">
        <f t="shared" si="1"/>
        <v>FT8</v>
      </c>
      <c r="E30" s="17" t="str">
        <f t="shared" si="2"/>
        <v>Carbass Tradition FT8</v>
      </c>
      <c r="F30" s="13"/>
      <c r="G30" s="13"/>
      <c r="H30" s="13"/>
      <c r="I30" s="13"/>
      <c r="J30" s="13"/>
      <c r="K30" s="17">
        <v>29.0</v>
      </c>
      <c r="L30" s="18" t="s">
        <v>6372</v>
      </c>
      <c r="M30" s="19">
        <v>500.0</v>
      </c>
      <c r="N30" s="19">
        <v>1000.0</v>
      </c>
      <c r="O30" s="19">
        <v>2.0</v>
      </c>
      <c r="P30" s="20">
        <v>4.0</v>
      </c>
      <c r="Q30" s="21">
        <v>1.0</v>
      </c>
    </row>
    <row r="31" ht="14.25" customHeight="1">
      <c r="A31" s="17">
        <v>30.0</v>
      </c>
      <c r="B31" s="17" t="s">
        <v>6373</v>
      </c>
      <c r="C31" s="17" t="s">
        <v>6343</v>
      </c>
      <c r="D31" s="17" t="str">
        <f t="shared" si="1"/>
        <v>KE7</v>
      </c>
      <c r="E31" s="17" t="str">
        <f t="shared" si="2"/>
        <v>Ugeu Vision KE7</v>
      </c>
      <c r="F31" s="13"/>
      <c r="G31" s="13"/>
      <c r="H31" s="13"/>
      <c r="I31" s="13"/>
      <c r="J31" s="13"/>
      <c r="K31" s="17">
        <v>30.0</v>
      </c>
      <c r="L31" s="18" t="s">
        <v>6374</v>
      </c>
      <c r="M31" s="19">
        <v>700.0</v>
      </c>
      <c r="N31" s="19">
        <v>1300.0</v>
      </c>
      <c r="O31" s="19">
        <v>2.5</v>
      </c>
      <c r="P31" s="20">
        <v>4.5</v>
      </c>
      <c r="Q31" s="21">
        <v>1.0</v>
      </c>
    </row>
    <row r="32" ht="14.25" customHeight="1">
      <c r="A32" s="17">
        <v>31.0</v>
      </c>
      <c r="B32" s="17" t="s">
        <v>6375</v>
      </c>
      <c r="C32" s="17" t="s">
        <v>6376</v>
      </c>
      <c r="D32" s="17" t="str">
        <f t="shared" si="1"/>
        <v>LY7</v>
      </c>
      <c r="E32" s="17" t="str">
        <f t="shared" si="2"/>
        <v>Trannore Pinnacle LY7</v>
      </c>
      <c r="F32" s="13"/>
      <c r="G32" s="13"/>
      <c r="H32" s="13"/>
      <c r="I32" s="13"/>
      <c r="J32" s="13"/>
      <c r="K32" s="17">
        <v>31.0</v>
      </c>
      <c r="L32" s="18" t="s">
        <v>6377</v>
      </c>
      <c r="M32" s="19">
        <v>1000.0</v>
      </c>
      <c r="N32" s="19">
        <v>2000.0</v>
      </c>
      <c r="O32" s="19">
        <v>2.5</v>
      </c>
      <c r="P32" s="20">
        <v>4.0</v>
      </c>
      <c r="Q32" s="21">
        <v>1.0</v>
      </c>
    </row>
    <row r="33" ht="14.25" customHeight="1">
      <c r="A33" s="17">
        <v>32.0</v>
      </c>
      <c r="B33" s="17" t="s">
        <v>6378</v>
      </c>
      <c r="C33" s="17" t="s">
        <v>6379</v>
      </c>
      <c r="D33" s="17" t="str">
        <f t="shared" si="1"/>
        <v>FY1</v>
      </c>
      <c r="E33" s="17" t="str">
        <f t="shared" si="2"/>
        <v>Comsink Vagabond FY1</v>
      </c>
      <c r="F33" s="13"/>
      <c r="G33" s="13"/>
      <c r="H33" s="13"/>
      <c r="I33" s="13"/>
      <c r="J33" s="13"/>
      <c r="K33" s="17">
        <v>32.0</v>
      </c>
      <c r="L33" s="18" t="s">
        <v>6380</v>
      </c>
      <c r="M33" s="19">
        <v>250.0</v>
      </c>
      <c r="N33" s="19">
        <v>500.0</v>
      </c>
      <c r="O33" s="19">
        <v>1.0</v>
      </c>
      <c r="P33" s="20">
        <v>2.0</v>
      </c>
      <c r="Q33" s="21">
        <v>1.0</v>
      </c>
    </row>
    <row r="34" ht="14.25" customHeight="1">
      <c r="A34" s="17">
        <v>33.0</v>
      </c>
      <c r="B34" s="17" t="s">
        <v>6381</v>
      </c>
      <c r="C34" s="17" t="s">
        <v>6382</v>
      </c>
      <c r="D34" s="17" t="str">
        <f t="shared" si="1"/>
        <v>VG8</v>
      </c>
      <c r="E34" s="17" t="str">
        <f t="shared" si="2"/>
        <v>Gholdu Baron VG8</v>
      </c>
      <c r="F34" s="13"/>
      <c r="G34" s="13"/>
      <c r="H34" s="13"/>
      <c r="I34" s="13"/>
      <c r="J34" s="13"/>
      <c r="K34" s="17">
        <v>33.0</v>
      </c>
      <c r="L34" s="18" t="s">
        <v>6383</v>
      </c>
      <c r="M34" s="19">
        <v>1000.0</v>
      </c>
      <c r="N34" s="19">
        <v>3000.0</v>
      </c>
      <c r="O34" s="19">
        <v>1.0</v>
      </c>
      <c r="P34" s="20">
        <v>2.5</v>
      </c>
      <c r="Q34" s="21">
        <v>1.0</v>
      </c>
    </row>
    <row r="35" ht="14.25" customHeight="1">
      <c r="A35" s="17">
        <v>34.0</v>
      </c>
      <c r="B35" s="17" t="s">
        <v>6384</v>
      </c>
      <c r="C35" s="17" t="s">
        <v>6385</v>
      </c>
      <c r="D35" s="17" t="str">
        <f t="shared" si="1"/>
        <v>PM2</v>
      </c>
      <c r="E35" s="17" t="str">
        <f t="shared" si="2"/>
        <v>Pind Serpent PM2</v>
      </c>
      <c r="F35" s="13"/>
      <c r="G35" s="13"/>
      <c r="H35" s="13"/>
      <c r="I35" s="13"/>
      <c r="J35" s="13"/>
      <c r="K35" s="17">
        <v>34.0</v>
      </c>
      <c r="L35" s="18" t="s">
        <v>6386</v>
      </c>
      <c r="M35" s="19">
        <v>600.0</v>
      </c>
      <c r="N35" s="19">
        <v>1200.0</v>
      </c>
      <c r="O35" s="19">
        <v>0.5</v>
      </c>
      <c r="P35" s="20">
        <v>2.0</v>
      </c>
      <c r="Q35" s="21" t="s">
        <v>6320</v>
      </c>
    </row>
    <row r="36" ht="14.25" customHeight="1">
      <c r="A36" s="17">
        <v>35.0</v>
      </c>
      <c r="B36" s="17" t="s">
        <v>6387</v>
      </c>
      <c r="C36" s="17" t="s">
        <v>6388</v>
      </c>
      <c r="D36" s="17" t="str">
        <f t="shared" si="1"/>
        <v>ZQ9</v>
      </c>
      <c r="E36" s="17" t="str">
        <f t="shared" si="2"/>
        <v>Teline Deputy ZQ9</v>
      </c>
      <c r="F36" s="13"/>
      <c r="G36" s="13"/>
      <c r="H36" s="13"/>
      <c r="I36" s="13"/>
      <c r="J36" s="13"/>
      <c r="K36" s="17">
        <v>35.0</v>
      </c>
      <c r="L36" s="18" t="s">
        <v>6389</v>
      </c>
      <c r="M36" s="19">
        <v>350.0</v>
      </c>
      <c r="N36" s="19">
        <v>650.0</v>
      </c>
      <c r="O36" s="19">
        <v>1.5</v>
      </c>
      <c r="P36" s="20">
        <v>2.5</v>
      </c>
      <c r="Q36" s="21" t="s">
        <v>6390</v>
      </c>
    </row>
    <row r="37" ht="14.25" customHeight="1">
      <c r="A37" s="17">
        <v>36.0</v>
      </c>
      <c r="B37" s="17" t="s">
        <v>6391</v>
      </c>
      <c r="C37" s="17" t="s">
        <v>6392</v>
      </c>
      <c r="D37" s="17" t="str">
        <f t="shared" si="1"/>
        <v>RB9</v>
      </c>
      <c r="E37" s="17" t="str">
        <f t="shared" si="2"/>
        <v>Vuhoom Avalanche RB9</v>
      </c>
      <c r="F37" s="13"/>
      <c r="G37" s="13"/>
      <c r="H37" s="13"/>
      <c r="I37" s="13"/>
      <c r="J37" s="13"/>
      <c r="K37" s="17">
        <v>36.0</v>
      </c>
      <c r="L37" s="18" t="s">
        <v>6393</v>
      </c>
      <c r="M37" s="19">
        <v>300.0</v>
      </c>
      <c r="N37" s="19">
        <v>500.0</v>
      </c>
      <c r="O37" s="19">
        <v>1.5</v>
      </c>
      <c r="P37" s="20">
        <v>2.5</v>
      </c>
      <c r="Q37" s="21" t="s">
        <v>6394</v>
      </c>
    </row>
    <row r="38" ht="14.25" customHeight="1">
      <c r="A38" s="17">
        <v>37.0</v>
      </c>
      <c r="B38" s="17" t="s">
        <v>6395</v>
      </c>
      <c r="C38" s="17" t="s">
        <v>6396</v>
      </c>
      <c r="D38" s="17" t="str">
        <f t="shared" si="1"/>
        <v>LE6</v>
      </c>
      <c r="E38" s="17" t="str">
        <f t="shared" si="2"/>
        <v>Monooat Phantom LE6</v>
      </c>
      <c r="F38" s="13"/>
      <c r="G38" s="13"/>
      <c r="H38" s="13"/>
      <c r="I38" s="13"/>
      <c r="J38" s="13"/>
      <c r="K38" s="17">
        <v>37.0</v>
      </c>
      <c r="L38" s="18" t="s">
        <v>6397</v>
      </c>
      <c r="M38" s="19">
        <v>2000.0</v>
      </c>
      <c r="N38" s="19">
        <v>4000.0</v>
      </c>
      <c r="O38" s="19">
        <v>10.0</v>
      </c>
      <c r="P38" s="20">
        <v>20.0</v>
      </c>
      <c r="Q38" s="21">
        <v>1.0</v>
      </c>
    </row>
    <row r="39" ht="14.25" customHeight="1">
      <c r="A39" s="17">
        <v>38.0</v>
      </c>
      <c r="B39" s="17" t="s">
        <v>6398</v>
      </c>
      <c r="C39" s="17" t="s">
        <v>6399</v>
      </c>
      <c r="D39" s="17" t="str">
        <f t="shared" si="1"/>
        <v>FE4</v>
      </c>
      <c r="E39" s="17" t="str">
        <f t="shared" si="2"/>
        <v>Resought Virtue FE4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ht="14.25" customHeight="1">
      <c r="A40" s="17">
        <v>39.0</v>
      </c>
      <c r="B40" s="17" t="s">
        <v>6400</v>
      </c>
      <c r="C40" s="17" t="s">
        <v>6401</v>
      </c>
      <c r="D40" s="17" t="str">
        <f t="shared" si="1"/>
        <v>EY8</v>
      </c>
      <c r="E40" s="17" t="str">
        <f t="shared" si="2"/>
        <v>Exbusm Basilisk EY8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ht="14.25" customHeight="1">
      <c r="A41" s="17">
        <v>40.0</v>
      </c>
      <c r="B41" s="17" t="s">
        <v>6402</v>
      </c>
      <c r="C41" s="17" t="s">
        <v>6357</v>
      </c>
      <c r="D41" s="17" t="str">
        <f t="shared" si="1"/>
        <v>EM3</v>
      </c>
      <c r="E41" s="17" t="str">
        <f t="shared" si="2"/>
        <v>Evle Formula EM3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ht="14.25" customHeight="1">
      <c r="A42" s="17">
        <v>41.0</v>
      </c>
      <c r="B42" s="17" t="s">
        <v>6403</v>
      </c>
      <c r="C42" s="17" t="s">
        <v>6404</v>
      </c>
      <c r="D42" s="17" t="str">
        <f t="shared" si="1"/>
        <v>HW8</v>
      </c>
      <c r="E42" s="17" t="str">
        <f t="shared" si="2"/>
        <v>Inlter Ranger HW8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ht="14.25" customHeight="1">
      <c r="A43" s="17">
        <v>42.0</v>
      </c>
      <c r="B43" s="17" t="s">
        <v>6405</v>
      </c>
      <c r="C43" s="17" t="s">
        <v>6406</v>
      </c>
      <c r="D43" s="17" t="str">
        <f t="shared" si="1"/>
        <v>HQ9</v>
      </c>
      <c r="E43" s="17" t="str">
        <f t="shared" si="2"/>
        <v>Subgies Gallop HQ9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ht="14.25" customHeight="1">
      <c r="A44" s="17">
        <v>43.0</v>
      </c>
      <c r="B44" s="17" t="s">
        <v>6407</v>
      </c>
      <c r="C44" s="17" t="s">
        <v>6408</v>
      </c>
      <c r="D44" s="17" t="str">
        <f t="shared" si="1"/>
        <v>XL3</v>
      </c>
      <c r="E44" s="17" t="str">
        <f t="shared" si="2"/>
        <v>Trappi Adventure XL3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ht="14.25" customHeight="1">
      <c r="A45" s="17">
        <v>44.0</v>
      </c>
      <c r="B45" s="17" t="s">
        <v>6409</v>
      </c>
      <c r="C45" s="17" t="s">
        <v>6401</v>
      </c>
      <c r="D45" s="17" t="str">
        <f t="shared" si="1"/>
        <v>LO2</v>
      </c>
      <c r="E45" s="17" t="str">
        <f t="shared" si="2"/>
        <v>Glel Basilisk LO2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ht="14.25" customHeight="1">
      <c r="A46" s="17">
        <v>45.0</v>
      </c>
      <c r="B46" s="17" t="s">
        <v>6410</v>
      </c>
      <c r="C46" s="17" t="s">
        <v>6411</v>
      </c>
      <c r="D46" s="17" t="str">
        <f t="shared" si="1"/>
        <v>JT5</v>
      </c>
      <c r="E46" s="17" t="str">
        <f t="shared" si="2"/>
        <v>Smimion Icon JT5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ht="14.25" customHeight="1">
      <c r="A47" s="17">
        <v>46.0</v>
      </c>
      <c r="B47" s="17" t="s">
        <v>6412</v>
      </c>
      <c r="C47" s="17" t="s">
        <v>6413</v>
      </c>
      <c r="D47" s="17" t="str">
        <f t="shared" si="1"/>
        <v>TT7</v>
      </c>
      <c r="E47" s="17" t="str">
        <f t="shared" si="2"/>
        <v>Clubty Might TT7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ht="14.25" customHeight="1">
      <c r="A48" s="17">
        <v>47.0</v>
      </c>
      <c r="B48" s="17" t="s">
        <v>6414</v>
      </c>
      <c r="C48" s="17" t="s">
        <v>6415</v>
      </c>
      <c r="D48" s="17" t="str">
        <f t="shared" si="1"/>
        <v>IN0</v>
      </c>
      <c r="E48" s="17" t="str">
        <f t="shared" si="2"/>
        <v>Carion Ethereal IN0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ht="14.25" customHeight="1">
      <c r="A49" s="17">
        <v>48.0</v>
      </c>
      <c r="B49" s="17" t="s">
        <v>6416</v>
      </c>
      <c r="C49" s="17" t="s">
        <v>6417</v>
      </c>
      <c r="D49" s="17" t="str">
        <f t="shared" si="1"/>
        <v>YE8</v>
      </c>
      <c r="E49" s="17" t="str">
        <f t="shared" si="2"/>
        <v>Omniip Bolt YE8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ht="14.25" customHeight="1">
      <c r="A50" s="17">
        <v>49.0</v>
      </c>
      <c r="B50" s="17" t="s">
        <v>6418</v>
      </c>
      <c r="C50" s="17" t="s">
        <v>6419</v>
      </c>
      <c r="D50" s="17" t="str">
        <f t="shared" si="1"/>
        <v>CM6</v>
      </c>
      <c r="E50" s="17" t="str">
        <f t="shared" si="2"/>
        <v>Semigar Crown CM6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ht="14.25" customHeight="1">
      <c r="A51" s="17">
        <v>50.0</v>
      </c>
      <c r="B51" s="17" t="s">
        <v>6420</v>
      </c>
      <c r="C51" s="17" t="s">
        <v>6421</v>
      </c>
      <c r="D51" s="17" t="str">
        <f t="shared" si="1"/>
        <v>WC1</v>
      </c>
      <c r="E51" s="17" t="str">
        <f t="shared" si="2"/>
        <v>Otea Titan WC1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ht="14.25" customHeight="1">
      <c r="A52" s="17">
        <v>51.0</v>
      </c>
      <c r="B52" s="17" t="s">
        <v>6422</v>
      </c>
      <c r="C52" s="17" t="s">
        <v>6423</v>
      </c>
      <c r="D52" s="17" t="str">
        <f t="shared" si="1"/>
        <v>HG2</v>
      </c>
      <c r="E52" s="17" t="str">
        <f t="shared" si="2"/>
        <v>Subsank Blitz HG2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ht="14.25" customHeight="1">
      <c r="A53" s="17">
        <v>52.0</v>
      </c>
      <c r="B53" s="17" t="s">
        <v>6424</v>
      </c>
      <c r="C53" s="17" t="s">
        <v>6425</v>
      </c>
      <c r="D53" s="17" t="str">
        <f t="shared" si="1"/>
        <v>YE2</v>
      </c>
      <c r="E53" s="17" t="str">
        <f t="shared" si="2"/>
        <v>Monosall Storm YE2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ht="14.25" customHeight="1">
      <c r="A54" s="17">
        <v>53.0</v>
      </c>
      <c r="B54" s="17" t="s">
        <v>6426</v>
      </c>
      <c r="C54" s="17" t="s">
        <v>6318</v>
      </c>
      <c r="D54" s="17" t="str">
        <f t="shared" si="1"/>
        <v>KU7</v>
      </c>
      <c r="E54" s="17" t="str">
        <f t="shared" si="2"/>
        <v>Zwozo Spire KU7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ht="14.25" customHeight="1">
      <c r="A55" s="17">
        <v>54.0</v>
      </c>
      <c r="B55" s="17" t="s">
        <v>6427</v>
      </c>
      <c r="C55" s="17" t="s">
        <v>6428</v>
      </c>
      <c r="D55" s="17" t="str">
        <f t="shared" si="1"/>
        <v>GS6</v>
      </c>
      <c r="E55" s="17" t="str">
        <f t="shared" si="2"/>
        <v>Pamp Instinct GS6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ht="14.25" customHeight="1">
      <c r="A56" s="17">
        <v>55.0</v>
      </c>
      <c r="B56" s="17" t="s">
        <v>6429</v>
      </c>
      <c r="C56" s="17" t="s">
        <v>6430</v>
      </c>
      <c r="D56" s="17" t="str">
        <f t="shared" si="1"/>
        <v>GQ3</v>
      </c>
      <c r="E56" s="17" t="str">
        <f t="shared" si="2"/>
        <v>Sakive Motion GQ3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ht="14.25" customHeight="1">
      <c r="A57" s="17">
        <v>56.0</v>
      </c>
      <c r="B57" s="17" t="s">
        <v>6431</v>
      </c>
      <c r="C57" s="17" t="s">
        <v>6432</v>
      </c>
      <c r="D57" s="17" t="str">
        <f t="shared" si="1"/>
        <v>XE5</v>
      </c>
      <c r="E57" s="17" t="str">
        <f t="shared" si="2"/>
        <v>Dhipate Evolution XE5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ht="14.25" customHeight="1">
      <c r="A58" s="17">
        <v>57.0</v>
      </c>
      <c r="B58" s="17" t="s">
        <v>6433</v>
      </c>
      <c r="C58" s="17" t="s">
        <v>6434</v>
      </c>
      <c r="D58" s="17" t="str">
        <f t="shared" si="1"/>
        <v>WN0</v>
      </c>
      <c r="E58" s="17" t="str">
        <f t="shared" si="2"/>
        <v>Plosain Supreme WN0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ht="14.25" customHeight="1">
      <c r="A59" s="17">
        <v>58.0</v>
      </c>
      <c r="B59" s="17" t="s">
        <v>6435</v>
      </c>
      <c r="C59" s="17" t="s">
        <v>6436</v>
      </c>
      <c r="D59" s="17" t="str">
        <f t="shared" si="1"/>
        <v>GH9</v>
      </c>
      <c r="E59" s="17" t="str">
        <f t="shared" si="2"/>
        <v>Enter Curiosity GH9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ht="14.25" customHeight="1">
      <c r="A60" s="17">
        <v>59.0</v>
      </c>
      <c r="B60" s="17" t="s">
        <v>6437</v>
      </c>
      <c r="C60" s="17" t="s">
        <v>6438</v>
      </c>
      <c r="D60" s="17" t="str">
        <f t="shared" si="1"/>
        <v>DW4</v>
      </c>
      <c r="E60" s="17" t="str">
        <f t="shared" si="2"/>
        <v>Trifem Centurion DW4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ht="14.25" customHeight="1">
      <c r="A61" s="17">
        <v>60.0</v>
      </c>
      <c r="B61" s="17" t="s">
        <v>6439</v>
      </c>
      <c r="C61" s="17" t="s">
        <v>6440</v>
      </c>
      <c r="D61" s="17" t="str">
        <f t="shared" si="1"/>
        <v>WR7</v>
      </c>
      <c r="E61" s="17" t="str">
        <f t="shared" si="2"/>
        <v>Olo Whirlpool WR7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ht="14.25" customHeight="1">
      <c r="A62" s="17">
        <v>61.0</v>
      </c>
      <c r="B62" s="17" t="s">
        <v>6441</v>
      </c>
      <c r="C62" s="17" t="s">
        <v>6442</v>
      </c>
      <c r="D62" s="17" t="str">
        <f t="shared" si="1"/>
        <v>XW4</v>
      </c>
      <c r="E62" s="17" t="str">
        <f t="shared" si="2"/>
        <v>Strihen Behemoth XW4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ht="14.25" customHeight="1">
      <c r="A63" s="17">
        <v>62.0</v>
      </c>
      <c r="B63" s="17" t="s">
        <v>6443</v>
      </c>
      <c r="C63" s="17" t="s">
        <v>6425</v>
      </c>
      <c r="D63" s="17" t="str">
        <f t="shared" si="1"/>
        <v>SE9</v>
      </c>
      <c r="E63" s="17" t="str">
        <f t="shared" si="2"/>
        <v>Intrafism Storm SE9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ht="14.25" customHeight="1">
      <c r="A64" s="17">
        <v>63.0</v>
      </c>
      <c r="B64" s="17" t="s">
        <v>6444</v>
      </c>
      <c r="C64" s="17" t="s">
        <v>6445</v>
      </c>
      <c r="D64" s="17" t="str">
        <f t="shared" si="1"/>
        <v>PZ6</v>
      </c>
      <c r="E64" s="17" t="str">
        <f t="shared" si="2"/>
        <v>Tocke Magic PZ6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ht="14.25" customHeight="1">
      <c r="A65" s="17">
        <v>64.0</v>
      </c>
      <c r="B65" s="17" t="s">
        <v>6446</v>
      </c>
      <c r="C65" s="17" t="s">
        <v>6447</v>
      </c>
      <c r="D65" s="17" t="str">
        <f t="shared" si="1"/>
        <v>MH6</v>
      </c>
      <c r="E65" s="17" t="str">
        <f t="shared" si="2"/>
        <v>Prese Aeon MH6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ht="14.25" customHeight="1">
      <c r="A66" s="17">
        <v>65.0</v>
      </c>
      <c r="B66" s="17" t="s">
        <v>6448</v>
      </c>
      <c r="C66" s="17" t="s">
        <v>6449</v>
      </c>
      <c r="D66" s="17" t="str">
        <f t="shared" si="1"/>
        <v>LH4</v>
      </c>
      <c r="E66" s="17" t="str">
        <f t="shared" si="2"/>
        <v>Mumock Phenomenom LH4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ht="14.25" customHeight="1">
      <c r="A67" s="17">
        <v>66.0</v>
      </c>
      <c r="B67" s="17" t="s">
        <v>6450</v>
      </c>
      <c r="C67" s="17" t="s">
        <v>6385</v>
      </c>
      <c r="D67" s="17" t="str">
        <f t="shared" si="1"/>
        <v>NI1</v>
      </c>
      <c r="E67" s="17" t="str">
        <f t="shared" si="2"/>
        <v>Cohier Serpent NI1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ht="14.25" customHeight="1">
      <c r="A68" s="17">
        <v>67.0</v>
      </c>
      <c r="B68" s="17" t="s">
        <v>6451</v>
      </c>
      <c r="C68" s="17" t="s">
        <v>6452</v>
      </c>
      <c r="D68" s="17" t="str">
        <f t="shared" si="1"/>
        <v>XD5</v>
      </c>
      <c r="E68" s="17" t="str">
        <f t="shared" si="2"/>
        <v>Quinfy Prestige XD5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ht="14.25" customHeight="1">
      <c r="A69" s="17">
        <v>68.0</v>
      </c>
      <c r="B69" s="17" t="s">
        <v>6453</v>
      </c>
      <c r="C69" s="17" t="s">
        <v>6454</v>
      </c>
      <c r="D69" s="17" t="str">
        <f t="shared" si="1"/>
        <v>ZP2</v>
      </c>
      <c r="E69" s="17" t="str">
        <f t="shared" si="2"/>
        <v>Charank Warrior ZP2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ht="14.25" customHeight="1">
      <c r="A70" s="17">
        <v>69.0</v>
      </c>
      <c r="B70" s="17" t="s">
        <v>6455</v>
      </c>
      <c r="C70" s="17" t="s">
        <v>6456</v>
      </c>
      <c r="D70" s="17" t="str">
        <f t="shared" si="1"/>
        <v>BM2</v>
      </c>
      <c r="E70" s="17" t="str">
        <f t="shared" si="2"/>
        <v>Contrafic Inquiry BM2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ht="14.25" customHeight="1">
      <c r="A71" s="17">
        <v>70.0</v>
      </c>
      <c r="B71" s="17" t="s">
        <v>6457</v>
      </c>
      <c r="C71" s="17" t="s">
        <v>6324</v>
      </c>
      <c r="D71" s="17" t="str">
        <f t="shared" si="1"/>
        <v>CP9</v>
      </c>
      <c r="E71" s="17" t="str">
        <f t="shared" si="2"/>
        <v>Eca Fragment CP9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ht="14.25" customHeight="1">
      <c r="A72" s="17">
        <v>71.0</v>
      </c>
      <c r="B72" s="17" t="s">
        <v>6458</v>
      </c>
      <c r="C72" s="17" t="s">
        <v>6459</v>
      </c>
      <c r="D72" s="17" t="str">
        <f t="shared" si="1"/>
        <v>VK1</v>
      </c>
      <c r="E72" s="17" t="str">
        <f t="shared" si="2"/>
        <v>Binpted Quête VK1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ht="14.25" customHeight="1">
      <c r="A73" s="17">
        <v>72.0</v>
      </c>
      <c r="B73" s="17" t="s">
        <v>6460</v>
      </c>
      <c r="C73" s="17" t="s">
        <v>6461</v>
      </c>
      <c r="D73" s="17" t="str">
        <f t="shared" si="1"/>
        <v>DS0</v>
      </c>
      <c r="E73" s="17" t="str">
        <f t="shared" si="2"/>
        <v>Spinrat Envie DS0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ht="14.25" customHeight="1">
      <c r="A74" s="17">
        <v>73.0</v>
      </c>
      <c r="B74" s="17" t="s">
        <v>6462</v>
      </c>
      <c r="C74" s="17" t="s">
        <v>6463</v>
      </c>
      <c r="D74" s="17" t="str">
        <f t="shared" si="1"/>
        <v>KL4</v>
      </c>
      <c r="E74" s="17" t="str">
        <f t="shared" si="2"/>
        <v>Mowne Zèle KL4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ht="14.25" customHeight="1">
      <c r="A75" s="17">
        <v>74.0</v>
      </c>
      <c r="B75" s="17" t="s">
        <v>6464</v>
      </c>
      <c r="C75" s="17" t="s">
        <v>6465</v>
      </c>
      <c r="D75" s="17" t="str">
        <f t="shared" si="1"/>
        <v>XX7</v>
      </c>
      <c r="E75" s="17" t="str">
        <f t="shared" si="2"/>
        <v>Ralo Royaume XX7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ht="14.25" customHeight="1">
      <c r="A76" s="17">
        <v>75.0</v>
      </c>
      <c r="B76" s="17" t="s">
        <v>6466</v>
      </c>
      <c r="C76" s="17" t="s">
        <v>6467</v>
      </c>
      <c r="D76" s="17" t="str">
        <f t="shared" si="1"/>
        <v>BU1</v>
      </c>
      <c r="E76" s="17" t="str">
        <f t="shared" si="2"/>
        <v>Zumay Tonnerre BU1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ht="14.25" customHeight="1">
      <c r="A77" s="17">
        <v>76.0</v>
      </c>
      <c r="B77" s="17" t="s">
        <v>6468</v>
      </c>
      <c r="C77" s="17" t="s">
        <v>6469</v>
      </c>
      <c r="D77" s="17" t="str">
        <f t="shared" si="1"/>
        <v>HQ0</v>
      </c>
      <c r="E77" s="17" t="str">
        <f t="shared" si="2"/>
        <v>Vraxence Parangon HQ0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ht="14.25" customHeight="1">
      <c r="A78" s="17">
        <v>77.0</v>
      </c>
      <c r="B78" s="17" t="s">
        <v>6470</v>
      </c>
      <c r="C78" s="17" t="s">
        <v>6471</v>
      </c>
      <c r="D78" s="17" t="str">
        <f t="shared" si="1"/>
        <v>CQ8</v>
      </c>
      <c r="E78" s="17" t="str">
        <f t="shared" si="2"/>
        <v>Ilence Lune CQ8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ht="14.25" customHeight="1">
      <c r="A79" s="17">
        <v>78.0</v>
      </c>
      <c r="B79" s="17" t="s">
        <v>6472</v>
      </c>
      <c r="C79" s="17" t="s">
        <v>6473</v>
      </c>
      <c r="D79" s="17" t="str">
        <f t="shared" si="1"/>
        <v>SA9</v>
      </c>
      <c r="E79" s="17" t="str">
        <f t="shared" si="2"/>
        <v>Subal Domination SA9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ht="14.25" customHeight="1">
      <c r="A80" s="17">
        <v>79.0</v>
      </c>
      <c r="B80" s="17" t="s">
        <v>6474</v>
      </c>
      <c r="C80" s="17" t="s">
        <v>6475</v>
      </c>
      <c r="D80" s="17" t="str">
        <f t="shared" si="1"/>
        <v>KI1</v>
      </c>
      <c r="E80" s="17" t="str">
        <f t="shared" si="2"/>
        <v>Autogurs Mystère KI1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ht="14.25" customHeight="1">
      <c r="A81" s="17">
        <v>80.0</v>
      </c>
      <c r="B81" s="17" t="s">
        <v>6476</v>
      </c>
      <c r="C81" s="17" t="s">
        <v>6477</v>
      </c>
      <c r="D81" s="17" t="str">
        <f t="shared" si="1"/>
        <v>LJ6</v>
      </c>
      <c r="E81" s="17" t="str">
        <f t="shared" si="2"/>
        <v>Ouschuu Renaissance LJ6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ht="14.25" customHeight="1">
      <c r="A82" s="17">
        <v>81.0</v>
      </c>
      <c r="B82" s="17" t="s">
        <v>6478</v>
      </c>
      <c r="C82" s="17" t="s">
        <v>6479</v>
      </c>
      <c r="D82" s="17" t="str">
        <f t="shared" si="1"/>
        <v>IK3</v>
      </c>
      <c r="E82" s="17" t="str">
        <f t="shared" si="2"/>
        <v>Tribest Amour IK3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ht="14.25" customHeight="1">
      <c r="A83" s="17">
        <v>82.0</v>
      </c>
      <c r="B83" s="17" t="s">
        <v>6480</v>
      </c>
      <c r="C83" s="17" t="s">
        <v>6481</v>
      </c>
      <c r="D83" s="17" t="str">
        <f t="shared" si="1"/>
        <v>GN0</v>
      </c>
      <c r="E83" s="17" t="str">
        <f t="shared" si="2"/>
        <v>Awise Galop GN0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ht="14.25" customHeight="1">
      <c r="A84" s="17">
        <v>83.0</v>
      </c>
      <c r="B84" s="17" t="s">
        <v>6482</v>
      </c>
      <c r="C84" s="17" t="s">
        <v>6483</v>
      </c>
      <c r="D84" s="17" t="str">
        <f t="shared" si="1"/>
        <v>PI8</v>
      </c>
      <c r="E84" s="17" t="str">
        <f t="shared" si="2"/>
        <v>Snoth Millénaire PI8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ht="14.25" customHeight="1">
      <c r="A85" s="17">
        <v>84.0</v>
      </c>
      <c r="B85" s="17" t="s">
        <v>6484</v>
      </c>
      <c r="C85" s="17" t="s">
        <v>6485</v>
      </c>
      <c r="D85" s="17" t="str">
        <f t="shared" si="1"/>
        <v>IV0</v>
      </c>
      <c r="E85" s="17" t="str">
        <f t="shared" si="2"/>
        <v>Fewno Perspective IV0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ht="14.25" customHeight="1">
      <c r="A86" s="17">
        <v>85.0</v>
      </c>
      <c r="B86" s="17" t="s">
        <v>6486</v>
      </c>
      <c r="C86" s="17" t="s">
        <v>6487</v>
      </c>
      <c r="D86" s="17" t="str">
        <f t="shared" si="1"/>
        <v>NL3</v>
      </c>
      <c r="E86" s="17" t="str">
        <f t="shared" si="2"/>
        <v>Duhoon Augure NL3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ht="14.25" customHeight="1">
      <c r="A87" s="17">
        <v>86.0</v>
      </c>
      <c r="B87" s="17" t="s">
        <v>6488</v>
      </c>
      <c r="C87" s="17" t="s">
        <v>6489</v>
      </c>
      <c r="D87" s="17" t="str">
        <f t="shared" si="1"/>
        <v>LI5</v>
      </c>
      <c r="E87" s="17" t="str">
        <f t="shared" si="2"/>
        <v>Zlatack Moment LI5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ht="14.25" customHeight="1">
      <c r="A88" s="17">
        <v>87.0</v>
      </c>
      <c r="B88" s="17" t="s">
        <v>6490</v>
      </c>
      <c r="C88" s="17" t="s">
        <v>6491</v>
      </c>
      <c r="D88" s="17" t="str">
        <f t="shared" si="1"/>
        <v>PO8</v>
      </c>
      <c r="E88" s="17" t="str">
        <f t="shared" si="2"/>
        <v>Tranful Climax PO8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ht="14.25" customHeight="1">
      <c r="A89" s="17">
        <v>88.0</v>
      </c>
      <c r="B89" s="17" t="s">
        <v>6492</v>
      </c>
      <c r="C89" s="17" t="s">
        <v>6493</v>
      </c>
      <c r="D89" s="17" t="str">
        <f t="shared" si="1"/>
        <v>TA2</v>
      </c>
      <c r="E89" s="17" t="str">
        <f t="shared" si="2"/>
        <v>Semity Guerrier TA2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ht="14.25" customHeight="1">
      <c r="A90" s="17">
        <v>89.0</v>
      </c>
      <c r="B90" s="17" t="s">
        <v>6494</v>
      </c>
      <c r="C90" s="17" t="s">
        <v>6495</v>
      </c>
      <c r="D90" s="17" t="str">
        <f t="shared" si="1"/>
        <v>TZ8</v>
      </c>
      <c r="E90" s="17" t="str">
        <f t="shared" si="2"/>
        <v>Chahosh Épiphanie TZ8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ht="14.25" customHeight="1">
      <c r="A91" s="17">
        <v>90.0</v>
      </c>
      <c r="B91" s="17" t="s">
        <v>6496</v>
      </c>
      <c r="C91" s="17" t="s">
        <v>6497</v>
      </c>
      <c r="D91" s="17" t="str">
        <f t="shared" si="1"/>
        <v>MT8</v>
      </c>
      <c r="E91" s="17" t="str">
        <f t="shared" si="2"/>
        <v>Espro Poursuite MT8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ht="14.25" customHeight="1">
      <c r="A92" s="17">
        <v>91.0</v>
      </c>
      <c r="B92" s="17" t="s">
        <v>6498</v>
      </c>
      <c r="C92" s="17" t="s">
        <v>6371</v>
      </c>
      <c r="D92" s="17" t="str">
        <f t="shared" si="1"/>
        <v>SW9</v>
      </c>
      <c r="E92" s="17" t="str">
        <f t="shared" si="2"/>
        <v>Extralot Tradition SW9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ht="14.25" customHeight="1">
      <c r="A93" s="17">
        <v>92.0</v>
      </c>
      <c r="B93" s="17" t="s">
        <v>6499</v>
      </c>
      <c r="C93" s="17" t="s">
        <v>6500</v>
      </c>
      <c r="D93" s="17" t="str">
        <f t="shared" si="1"/>
        <v>OI7</v>
      </c>
      <c r="E93" s="17" t="str">
        <f t="shared" si="2"/>
        <v>Binnoom Encounter OI7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ht="14.25" customHeight="1">
      <c r="A94" s="17">
        <v>93.0</v>
      </c>
      <c r="B94" s="17" t="s">
        <v>6501</v>
      </c>
      <c r="C94" s="17" t="s">
        <v>6502</v>
      </c>
      <c r="D94" s="17" t="str">
        <f t="shared" si="1"/>
        <v>AS6</v>
      </c>
      <c r="E94" s="17" t="str">
        <f t="shared" si="2"/>
        <v>Nil Heirloom AS6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ht="14.25" customHeight="1">
      <c r="A95" s="17">
        <v>94.0</v>
      </c>
      <c r="B95" s="17" t="s">
        <v>6503</v>
      </c>
      <c r="C95" s="17" t="s">
        <v>6504</v>
      </c>
      <c r="D95" s="17" t="str">
        <f t="shared" si="1"/>
        <v>ON6</v>
      </c>
      <c r="E95" s="17" t="str">
        <f t="shared" si="2"/>
        <v>Dloyo Zeal ON6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ht="14.25" customHeight="1">
      <c r="A96" s="17">
        <v>95.0</v>
      </c>
      <c r="B96" s="17" t="s">
        <v>6505</v>
      </c>
      <c r="C96" s="17" t="s">
        <v>6449</v>
      </c>
      <c r="D96" s="17" t="str">
        <f t="shared" si="1"/>
        <v>PY6</v>
      </c>
      <c r="E96" s="17" t="str">
        <f t="shared" si="2"/>
        <v>Picine Phenomenom PY6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ht="14.25" customHeight="1">
      <c r="A97" s="17">
        <v>96.0</v>
      </c>
      <c r="B97" s="17" t="s">
        <v>6506</v>
      </c>
      <c r="C97" s="17" t="s">
        <v>6507</v>
      </c>
      <c r="D97" s="17" t="str">
        <f t="shared" si="1"/>
        <v>WW1</v>
      </c>
      <c r="E97" s="17" t="str">
        <f t="shared" si="2"/>
        <v>Gnekit Stardust WW1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ht="14.25" customHeight="1">
      <c r="A98" s="17">
        <v>97.0</v>
      </c>
      <c r="B98" s="17" t="s">
        <v>6508</v>
      </c>
      <c r="C98" s="17" t="s">
        <v>6509</v>
      </c>
      <c r="D98" s="17" t="str">
        <f t="shared" si="1"/>
        <v>LM1</v>
      </c>
      <c r="E98" s="17" t="str">
        <f t="shared" si="2"/>
        <v>Subious Quest LM1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ht="14.25" customHeight="1">
      <c r="A99" s="17">
        <v>98.0</v>
      </c>
      <c r="B99" s="17" t="s">
        <v>6510</v>
      </c>
      <c r="C99" s="17" t="s">
        <v>6511</v>
      </c>
      <c r="D99" s="17" t="str">
        <f t="shared" si="1"/>
        <v>HP1</v>
      </c>
      <c r="E99" s="17" t="str">
        <f t="shared" si="2"/>
        <v>Scarug Union HP1</v>
      </c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ht="14.25" customHeight="1">
      <c r="A100" s="17">
        <v>99.0</v>
      </c>
      <c r="B100" s="17" t="s">
        <v>6512</v>
      </c>
      <c r="C100" s="17" t="s">
        <v>6382</v>
      </c>
      <c r="D100" s="17" t="str">
        <f t="shared" si="1"/>
        <v>KO9</v>
      </c>
      <c r="E100" s="17" t="str">
        <f t="shared" si="2"/>
        <v>Dunuz Baron KO9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4.25" customHeight="1">
      <c r="A101" s="17">
        <v>100.0</v>
      </c>
      <c r="B101" s="17" t="s">
        <v>6513</v>
      </c>
      <c r="C101" s="17" t="s">
        <v>6514</v>
      </c>
      <c r="D101" s="17" t="str">
        <f t="shared" si="1"/>
        <v>RN7</v>
      </c>
      <c r="E101" s="17" t="str">
        <f t="shared" si="2"/>
        <v>Emio Nebula RN7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</row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17</v>
      </c>
      <c r="B1" s="1" t="s">
        <v>6515</v>
      </c>
    </row>
    <row r="2" ht="14.25" customHeight="1">
      <c r="A2" s="2">
        <v>1.0</v>
      </c>
      <c r="B2" s="2" t="s">
        <v>6516</v>
      </c>
    </row>
    <row r="3" ht="14.25" customHeight="1">
      <c r="A3" s="2">
        <v>2.0</v>
      </c>
      <c r="B3" s="2" t="s">
        <v>6517</v>
      </c>
    </row>
    <row r="4" ht="14.25" customHeight="1">
      <c r="A4" s="2">
        <v>3.0</v>
      </c>
      <c r="B4" s="2" t="s">
        <v>6518</v>
      </c>
    </row>
    <row r="5" ht="14.25" customHeight="1">
      <c r="A5" s="2">
        <v>4.0</v>
      </c>
      <c r="B5" s="2" t="s">
        <v>6519</v>
      </c>
    </row>
    <row r="6" ht="14.25" customHeight="1">
      <c r="A6" s="2">
        <v>5.0</v>
      </c>
      <c r="B6" s="2" t="s">
        <v>6520</v>
      </c>
    </row>
    <row r="7" ht="14.25" customHeight="1">
      <c r="A7" s="2">
        <v>6.0</v>
      </c>
      <c r="B7" s="2" t="s">
        <v>6521</v>
      </c>
    </row>
    <row r="8" ht="14.25" customHeight="1">
      <c r="A8" s="2">
        <v>7.0</v>
      </c>
      <c r="B8" s="2" t="s">
        <v>6522</v>
      </c>
    </row>
    <row r="9" ht="14.25" customHeight="1">
      <c r="A9" s="2">
        <v>8.0</v>
      </c>
      <c r="B9" s="2" t="s">
        <v>6523</v>
      </c>
    </row>
    <row r="10" ht="14.25" customHeight="1">
      <c r="A10" s="2">
        <v>9.0</v>
      </c>
      <c r="B10" s="2" t="s">
        <v>6524</v>
      </c>
    </row>
    <row r="11" ht="14.25" customHeight="1">
      <c r="A11" s="2">
        <v>10.0</v>
      </c>
      <c r="B11" s="2" t="s">
        <v>6525</v>
      </c>
    </row>
    <row r="12" ht="14.25" customHeight="1">
      <c r="A12" s="2">
        <v>11.0</v>
      </c>
      <c r="B12" s="2" t="s">
        <v>6526</v>
      </c>
    </row>
    <row r="13" ht="14.25" customHeight="1">
      <c r="A13" s="2">
        <v>12.0</v>
      </c>
      <c r="B13" s="2" t="s">
        <v>6527</v>
      </c>
    </row>
    <row r="14" ht="14.25" customHeight="1">
      <c r="A14" s="2">
        <v>13.0</v>
      </c>
      <c r="B14" s="2" t="s">
        <v>6528</v>
      </c>
    </row>
    <row r="15" ht="14.25" customHeight="1">
      <c r="A15" s="2">
        <v>14.0</v>
      </c>
      <c r="B15" s="2" t="s">
        <v>6529</v>
      </c>
    </row>
    <row r="16" ht="14.25" customHeight="1">
      <c r="A16" s="2">
        <v>15.0</v>
      </c>
      <c r="B16" s="2" t="s">
        <v>6530</v>
      </c>
    </row>
    <row r="17" ht="14.25" customHeight="1">
      <c r="A17" s="2">
        <v>16.0</v>
      </c>
      <c r="B17" s="2" t="s">
        <v>6531</v>
      </c>
    </row>
    <row r="18" ht="14.25" customHeight="1">
      <c r="A18" s="2">
        <v>17.0</v>
      </c>
      <c r="B18" s="2" t="s">
        <v>6532</v>
      </c>
    </row>
    <row r="19" ht="14.25" customHeight="1">
      <c r="A19" s="2">
        <v>18.0</v>
      </c>
      <c r="B19" s="2" t="s">
        <v>6533</v>
      </c>
    </row>
    <row r="20" ht="14.25" customHeight="1">
      <c r="A20" s="2">
        <v>19.0</v>
      </c>
      <c r="B20" s="2" t="s">
        <v>6534</v>
      </c>
    </row>
    <row r="21" ht="14.25" customHeight="1">
      <c r="A21" s="2">
        <v>20.0</v>
      </c>
      <c r="B21" s="2" t="s">
        <v>6535</v>
      </c>
    </row>
    <row r="22" ht="14.25" customHeight="1">
      <c r="A22" s="2">
        <v>21.0</v>
      </c>
      <c r="B22" s="2" t="s">
        <v>6536</v>
      </c>
    </row>
    <row r="23" ht="14.25" customHeight="1">
      <c r="A23" s="2">
        <v>22.0</v>
      </c>
      <c r="B23" s="2" t="s">
        <v>6537</v>
      </c>
    </row>
    <row r="24" ht="14.25" customHeight="1">
      <c r="A24" s="2">
        <v>23.0</v>
      </c>
      <c r="B24" s="2" t="s">
        <v>6538</v>
      </c>
    </row>
    <row r="25" ht="14.25" customHeight="1">
      <c r="A25" s="2">
        <v>24.0</v>
      </c>
      <c r="B25" s="2" t="s">
        <v>6539</v>
      </c>
    </row>
    <row r="26" ht="14.25" customHeight="1">
      <c r="A26" s="2">
        <v>25.0</v>
      </c>
      <c r="B26" s="2" t="s">
        <v>6540</v>
      </c>
    </row>
    <row r="27" ht="14.25" customHeight="1">
      <c r="A27" s="2">
        <v>26.0</v>
      </c>
      <c r="B27" s="2" t="s">
        <v>6541</v>
      </c>
    </row>
    <row r="28" ht="14.25" customHeight="1">
      <c r="A28" s="2">
        <v>27.0</v>
      </c>
      <c r="B28" s="2" t="s">
        <v>6542</v>
      </c>
    </row>
    <row r="29" ht="14.25" customHeight="1">
      <c r="A29" s="2">
        <v>28.0</v>
      </c>
      <c r="B29" s="2" t="s">
        <v>6543</v>
      </c>
    </row>
    <row r="30" ht="14.25" customHeight="1">
      <c r="A30" s="2">
        <v>29.0</v>
      </c>
      <c r="B30" s="2" t="s">
        <v>6544</v>
      </c>
    </row>
    <row r="31" ht="14.25" customHeight="1">
      <c r="A31" s="2">
        <v>30.0</v>
      </c>
      <c r="B31" s="2" t="s">
        <v>6545</v>
      </c>
    </row>
    <row r="32" ht="14.25" customHeight="1">
      <c r="A32" s="2">
        <v>31.0</v>
      </c>
      <c r="B32" s="2" t="s">
        <v>6546</v>
      </c>
    </row>
    <row r="33" ht="14.25" customHeight="1">
      <c r="A33" s="2">
        <v>32.0</v>
      </c>
      <c r="B33" s="2" t="s">
        <v>6547</v>
      </c>
    </row>
    <row r="34" ht="14.25" customHeight="1">
      <c r="A34" s="2">
        <v>33.0</v>
      </c>
      <c r="B34" s="2" t="s">
        <v>6548</v>
      </c>
    </row>
    <row r="35" ht="14.25" customHeight="1">
      <c r="A35" s="2">
        <v>34.0</v>
      </c>
      <c r="B35" s="2" t="s">
        <v>6549</v>
      </c>
    </row>
    <row r="36" ht="14.25" customHeight="1">
      <c r="A36" s="2">
        <v>35.0</v>
      </c>
      <c r="B36" s="2" t="s">
        <v>6550</v>
      </c>
    </row>
    <row r="37" ht="14.25" customHeight="1">
      <c r="A37" s="2">
        <v>36.0</v>
      </c>
      <c r="B37" s="2" t="s">
        <v>6551</v>
      </c>
    </row>
    <row r="38" ht="14.25" customHeight="1">
      <c r="A38" s="2">
        <v>37.0</v>
      </c>
      <c r="B38" s="2" t="s">
        <v>6552</v>
      </c>
    </row>
    <row r="39" ht="14.25" customHeight="1">
      <c r="A39" s="2">
        <v>38.0</v>
      </c>
      <c r="B39" s="2" t="s">
        <v>6553</v>
      </c>
    </row>
    <row r="40" ht="14.25" customHeight="1">
      <c r="A40" s="2">
        <v>39.0</v>
      </c>
      <c r="B40" s="2" t="s">
        <v>6554</v>
      </c>
    </row>
    <row r="41" ht="14.25" customHeight="1">
      <c r="A41" s="2">
        <v>40.0</v>
      </c>
      <c r="B41" s="2" t="s">
        <v>6555</v>
      </c>
    </row>
    <row r="42" ht="14.25" customHeight="1">
      <c r="A42" s="2">
        <v>41.0</v>
      </c>
      <c r="B42" s="2" t="s">
        <v>6556</v>
      </c>
    </row>
    <row r="43" ht="14.25" customHeight="1">
      <c r="A43" s="2">
        <v>42.0</v>
      </c>
      <c r="B43" s="2" t="s">
        <v>6557</v>
      </c>
    </row>
    <row r="44" ht="14.25" customHeight="1">
      <c r="A44" s="2">
        <v>43.0</v>
      </c>
      <c r="B44" s="2" t="s">
        <v>6558</v>
      </c>
    </row>
    <row r="45" ht="14.25" customHeight="1">
      <c r="A45" s="2">
        <v>44.0</v>
      </c>
      <c r="B45" s="2" t="s">
        <v>6559</v>
      </c>
    </row>
    <row r="46" ht="14.25" customHeight="1">
      <c r="A46" s="2">
        <v>45.0</v>
      </c>
      <c r="B46" s="2" t="s">
        <v>6560</v>
      </c>
    </row>
    <row r="47" ht="14.25" customHeight="1">
      <c r="A47" s="2">
        <v>46.0</v>
      </c>
      <c r="B47" s="2" t="s">
        <v>6561</v>
      </c>
    </row>
    <row r="48" ht="14.25" customHeight="1">
      <c r="A48" s="2">
        <v>47.0</v>
      </c>
      <c r="B48" s="2" t="s">
        <v>6559</v>
      </c>
    </row>
    <row r="49" ht="14.25" customHeight="1">
      <c r="A49" s="2">
        <v>48.0</v>
      </c>
      <c r="B49" s="2" t="s">
        <v>6562</v>
      </c>
    </row>
    <row r="50" ht="14.25" customHeight="1">
      <c r="A50" s="2">
        <v>49.0</v>
      </c>
      <c r="B50" s="2" t="s">
        <v>6563</v>
      </c>
    </row>
    <row r="51" ht="14.25" customHeight="1">
      <c r="A51" s="2">
        <v>50.0</v>
      </c>
      <c r="B51" s="2" t="s">
        <v>6564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17</v>
      </c>
      <c r="B1" s="1" t="s">
        <v>6565</v>
      </c>
    </row>
    <row r="2" ht="14.25" customHeight="1">
      <c r="A2" s="2">
        <v>1.0</v>
      </c>
      <c r="B2" s="2" t="s">
        <v>6566</v>
      </c>
    </row>
    <row r="3" ht="14.25" customHeight="1">
      <c r="A3" s="2">
        <v>2.0</v>
      </c>
      <c r="B3" s="2" t="s">
        <v>6567</v>
      </c>
    </row>
    <row r="4" ht="14.25" customHeight="1">
      <c r="A4" s="2">
        <v>3.0</v>
      </c>
      <c r="B4" s="2" t="s">
        <v>6568</v>
      </c>
    </row>
    <row r="5" ht="14.25" customHeight="1">
      <c r="A5" s="2">
        <v>4.0</v>
      </c>
      <c r="B5" s="2" t="s">
        <v>6569</v>
      </c>
    </row>
    <row r="6" ht="14.25" customHeight="1">
      <c r="A6" s="2">
        <v>5.0</v>
      </c>
      <c r="B6" s="2" t="s">
        <v>6570</v>
      </c>
    </row>
    <row r="7" ht="14.25" customHeight="1">
      <c r="A7" s="2">
        <v>6.0</v>
      </c>
      <c r="B7" s="2" t="s">
        <v>6571</v>
      </c>
    </row>
    <row r="8" ht="14.25" customHeight="1">
      <c r="A8" s="2">
        <v>7.0</v>
      </c>
      <c r="B8" s="2" t="s">
        <v>6572</v>
      </c>
    </row>
    <row r="9" ht="14.25" customHeight="1">
      <c r="A9" s="2">
        <v>8.0</v>
      </c>
      <c r="B9" s="2" t="s">
        <v>6573</v>
      </c>
    </row>
    <row r="10" ht="14.25" customHeight="1">
      <c r="A10" s="2">
        <v>9.0</v>
      </c>
      <c r="B10" s="2" t="s">
        <v>6574</v>
      </c>
    </row>
    <row r="11" ht="14.25" customHeight="1">
      <c r="A11" s="2">
        <v>10.0</v>
      </c>
      <c r="B11" s="2" t="s">
        <v>6575</v>
      </c>
    </row>
    <row r="12" ht="14.25" customHeight="1">
      <c r="A12" s="2">
        <v>11.0</v>
      </c>
      <c r="B12" s="2" t="s">
        <v>6576</v>
      </c>
    </row>
    <row r="13" ht="14.25" customHeight="1">
      <c r="A13" s="2">
        <v>12.0</v>
      </c>
      <c r="B13" s="2" t="s">
        <v>6577</v>
      </c>
    </row>
    <row r="14" ht="14.25" customHeight="1">
      <c r="A14" s="2">
        <v>13.0</v>
      </c>
      <c r="B14" s="2" t="s">
        <v>6578</v>
      </c>
    </row>
    <row r="15" ht="14.25" customHeight="1">
      <c r="A15" s="2">
        <v>14.0</v>
      </c>
      <c r="B15" s="2" t="s">
        <v>6579</v>
      </c>
    </row>
    <row r="16" ht="14.25" customHeight="1">
      <c r="A16" s="2">
        <v>15.0</v>
      </c>
      <c r="B16" s="2" t="s">
        <v>6580</v>
      </c>
    </row>
    <row r="17" ht="14.25" customHeight="1">
      <c r="A17" s="2">
        <v>16.0</v>
      </c>
      <c r="B17" s="2" t="s">
        <v>6581</v>
      </c>
    </row>
    <row r="18" ht="14.25" customHeight="1">
      <c r="A18" s="2">
        <v>17.0</v>
      </c>
      <c r="B18" s="2" t="s">
        <v>6582</v>
      </c>
    </row>
    <row r="19" ht="14.25" customHeight="1">
      <c r="A19" s="2">
        <v>18.0</v>
      </c>
      <c r="B19" s="2" t="s">
        <v>6583</v>
      </c>
    </row>
    <row r="20" ht="14.25" customHeight="1">
      <c r="A20" s="2">
        <v>19.0</v>
      </c>
      <c r="B20" s="2" t="s">
        <v>6584</v>
      </c>
    </row>
    <row r="21" ht="14.25" customHeight="1">
      <c r="A21" s="2">
        <v>20.0</v>
      </c>
      <c r="B21" s="2" t="s">
        <v>6585</v>
      </c>
    </row>
    <row r="22" ht="14.25" customHeight="1">
      <c r="A22" s="2">
        <v>21.0</v>
      </c>
      <c r="B22" s="2" t="s">
        <v>6586</v>
      </c>
    </row>
    <row r="23" ht="14.25" customHeight="1">
      <c r="A23" s="2">
        <v>22.0</v>
      </c>
      <c r="B23" s="2" t="s">
        <v>6587</v>
      </c>
    </row>
    <row r="24" ht="14.25" customHeight="1">
      <c r="A24" s="2">
        <v>23.0</v>
      </c>
      <c r="B24" s="2" t="s">
        <v>6588</v>
      </c>
    </row>
    <row r="25" ht="14.25" customHeight="1">
      <c r="A25" s="2">
        <v>24.0</v>
      </c>
      <c r="B25" s="2" t="s">
        <v>6589</v>
      </c>
    </row>
    <row r="26" ht="14.25" customHeight="1">
      <c r="A26" s="2">
        <v>25.0</v>
      </c>
      <c r="B26" s="2" t="s">
        <v>6590</v>
      </c>
    </row>
    <row r="27" ht="14.25" customHeight="1">
      <c r="A27" s="2">
        <v>26.0</v>
      </c>
      <c r="B27" s="2" t="s">
        <v>6591</v>
      </c>
    </row>
    <row r="28" ht="14.25" customHeight="1">
      <c r="A28" s="2">
        <v>27.0</v>
      </c>
      <c r="B28" s="2" t="s">
        <v>6592</v>
      </c>
    </row>
    <row r="29" ht="14.25" customHeight="1">
      <c r="A29" s="2">
        <v>28.0</v>
      </c>
      <c r="B29" s="2" t="s">
        <v>6593</v>
      </c>
    </row>
    <row r="30" ht="14.25" customHeight="1">
      <c r="A30" s="2">
        <v>29.0</v>
      </c>
      <c r="B30" s="2" t="s">
        <v>6594</v>
      </c>
    </row>
    <row r="31" ht="14.25" customHeight="1">
      <c r="A31" s="2">
        <v>30.0</v>
      </c>
      <c r="B31" s="2" t="s">
        <v>6595</v>
      </c>
    </row>
    <row r="32" ht="14.25" customHeight="1">
      <c r="A32" s="2">
        <v>31.0</v>
      </c>
      <c r="B32" s="2" t="s">
        <v>6596</v>
      </c>
    </row>
    <row r="33" ht="14.25" customHeight="1">
      <c r="A33" s="2">
        <v>32.0</v>
      </c>
      <c r="B33" s="2" t="s">
        <v>6597</v>
      </c>
    </row>
    <row r="34" ht="14.25" customHeight="1">
      <c r="A34" s="2">
        <v>33.0</v>
      </c>
      <c r="B34" s="2" t="s">
        <v>6598</v>
      </c>
    </row>
    <row r="35" ht="14.25" customHeight="1">
      <c r="A35" s="2">
        <v>34.0</v>
      </c>
      <c r="B35" s="2" t="s">
        <v>6599</v>
      </c>
    </row>
    <row r="36" ht="14.25" customHeight="1">
      <c r="A36" s="2">
        <v>35.0</v>
      </c>
      <c r="B36" s="2" t="s">
        <v>6600</v>
      </c>
    </row>
    <row r="37" ht="14.25" customHeight="1">
      <c r="A37" s="2">
        <v>36.0</v>
      </c>
      <c r="B37" s="2" t="s">
        <v>6601</v>
      </c>
    </row>
    <row r="38" ht="14.25" customHeight="1">
      <c r="A38" s="2">
        <v>37.0</v>
      </c>
      <c r="B38" s="2" t="s">
        <v>6602</v>
      </c>
    </row>
    <row r="39" ht="14.25" customHeight="1">
      <c r="A39" s="2">
        <v>38.0</v>
      </c>
      <c r="B39" s="2" t="s">
        <v>6603</v>
      </c>
    </row>
    <row r="40" ht="14.25" customHeight="1">
      <c r="A40" s="2">
        <v>39.0</v>
      </c>
      <c r="B40" s="2" t="s">
        <v>6604</v>
      </c>
    </row>
    <row r="41" ht="14.25" customHeight="1">
      <c r="A41" s="2">
        <v>40.0</v>
      </c>
      <c r="B41" s="2" t="s">
        <v>6605</v>
      </c>
    </row>
    <row r="42" ht="14.25" customHeight="1">
      <c r="A42" s="2">
        <v>41.0</v>
      </c>
      <c r="B42" s="2" t="s">
        <v>6606</v>
      </c>
    </row>
    <row r="43" ht="14.25" customHeight="1">
      <c r="A43" s="2">
        <v>42.0</v>
      </c>
      <c r="B43" s="2" t="s">
        <v>6607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17</v>
      </c>
      <c r="B1" s="22" t="s">
        <v>6608</v>
      </c>
    </row>
    <row r="2" ht="14.25" customHeight="1">
      <c r="A2" s="2">
        <v>1.0</v>
      </c>
      <c r="B2" s="23" t="s">
        <v>6609</v>
      </c>
    </row>
    <row r="3" ht="14.25" customHeight="1">
      <c r="A3" s="2">
        <v>2.0</v>
      </c>
      <c r="B3" s="23" t="s">
        <v>6610</v>
      </c>
    </row>
    <row r="4" ht="14.25" customHeight="1">
      <c r="A4" s="2">
        <v>3.0</v>
      </c>
      <c r="B4" s="23" t="s">
        <v>6611</v>
      </c>
    </row>
    <row r="5" ht="14.25" customHeight="1">
      <c r="A5" s="2">
        <v>4.0</v>
      </c>
      <c r="B5" s="23" t="s">
        <v>6612</v>
      </c>
    </row>
    <row r="6" ht="14.25" customHeight="1">
      <c r="A6" s="2">
        <v>5.0</v>
      </c>
      <c r="B6" s="24" t="s">
        <v>6613</v>
      </c>
    </row>
    <row r="7" ht="14.25" customHeight="1">
      <c r="A7" s="2">
        <v>6.0</v>
      </c>
      <c r="B7" s="23" t="s">
        <v>6614</v>
      </c>
    </row>
    <row r="8" ht="14.25" customHeight="1">
      <c r="A8" s="2">
        <v>7.0</v>
      </c>
      <c r="B8" s="23" t="s">
        <v>6615</v>
      </c>
    </row>
    <row r="9" ht="14.25" customHeight="1">
      <c r="A9" s="2">
        <v>8.0</v>
      </c>
      <c r="B9" s="23" t="s">
        <v>6616</v>
      </c>
    </row>
    <row r="10" ht="14.25" customHeight="1">
      <c r="A10" s="2">
        <v>9.0</v>
      </c>
      <c r="B10" s="24" t="s">
        <v>6617</v>
      </c>
    </row>
    <row r="11" ht="14.25" customHeight="1">
      <c r="A11" s="2">
        <v>10.0</v>
      </c>
      <c r="B11" s="24" t="s">
        <v>6618</v>
      </c>
    </row>
    <row r="12" ht="14.25" customHeight="1">
      <c r="A12" s="2">
        <v>11.0</v>
      </c>
      <c r="B12" s="24" t="s">
        <v>6619</v>
      </c>
    </row>
    <row r="13" ht="14.25" customHeight="1">
      <c r="A13" s="2">
        <v>12.0</v>
      </c>
      <c r="B13" s="24" t="s">
        <v>6620</v>
      </c>
    </row>
    <row r="14" ht="14.25" customHeight="1">
      <c r="A14" s="2">
        <v>13.0</v>
      </c>
      <c r="B14" s="23" t="s">
        <v>6621</v>
      </c>
    </row>
    <row r="15" ht="14.25" customHeight="1">
      <c r="A15" s="2">
        <v>14.0</v>
      </c>
      <c r="B15" s="24" t="s">
        <v>6622</v>
      </c>
    </row>
    <row r="16" ht="14.25" customHeight="1">
      <c r="A16" s="2">
        <v>15.0</v>
      </c>
      <c r="B16" s="24" t="s">
        <v>6623</v>
      </c>
    </row>
    <row r="17" ht="14.25" customHeight="1">
      <c r="A17" s="2">
        <v>16.0</v>
      </c>
      <c r="B17" s="24" t="s">
        <v>6624</v>
      </c>
    </row>
    <row r="18" ht="14.25" customHeight="1">
      <c r="A18" s="2">
        <v>17.0</v>
      </c>
      <c r="B18" s="24" t="s">
        <v>6625</v>
      </c>
    </row>
    <row r="19" ht="14.25" customHeight="1">
      <c r="A19" s="2">
        <v>18.0</v>
      </c>
      <c r="B19" s="24" t="s">
        <v>6626</v>
      </c>
    </row>
    <row r="20" ht="14.25" customHeight="1">
      <c r="A20" s="2">
        <v>19.0</v>
      </c>
      <c r="B20" s="23" t="s">
        <v>6627</v>
      </c>
    </row>
    <row r="21" ht="14.25" customHeight="1">
      <c r="A21" s="2">
        <v>20.0</v>
      </c>
      <c r="B21" s="24" t="s">
        <v>6628</v>
      </c>
    </row>
    <row r="22" ht="14.25" customHeight="1">
      <c r="A22" s="2">
        <v>21.0</v>
      </c>
      <c r="B22" s="24" t="s">
        <v>6629</v>
      </c>
    </row>
    <row r="23" ht="14.25" customHeight="1">
      <c r="A23" s="2">
        <v>22.0</v>
      </c>
      <c r="B23" s="23" t="s">
        <v>6630</v>
      </c>
    </row>
    <row r="24" ht="14.25" customHeight="1">
      <c r="A24" s="2">
        <v>23.0</v>
      </c>
      <c r="B24" s="24" t="s">
        <v>6631</v>
      </c>
    </row>
    <row r="25" ht="14.25" customHeight="1">
      <c r="A25" s="2">
        <v>24.0</v>
      </c>
      <c r="B25" s="24" t="s">
        <v>6632</v>
      </c>
    </row>
    <row r="26" ht="14.25" customHeight="1">
      <c r="A26" s="2">
        <v>25.0</v>
      </c>
      <c r="B26" s="24" t="s">
        <v>6633</v>
      </c>
    </row>
    <row r="27" ht="14.25" customHeight="1">
      <c r="A27" s="2">
        <v>26.0</v>
      </c>
      <c r="B27" s="24" t="s">
        <v>6634</v>
      </c>
    </row>
    <row r="28" ht="14.25" customHeight="1">
      <c r="A28" s="2">
        <v>27.0</v>
      </c>
      <c r="B28" s="24" t="s">
        <v>6635</v>
      </c>
    </row>
    <row r="29" ht="14.25" customHeight="1">
      <c r="A29" s="2">
        <v>28.0</v>
      </c>
      <c r="B29" s="24" t="s">
        <v>6636</v>
      </c>
    </row>
    <row r="30" ht="14.25" customHeight="1">
      <c r="A30" s="2">
        <v>29.0</v>
      </c>
      <c r="B30" s="24" t="s">
        <v>6637</v>
      </c>
    </row>
    <row r="31" ht="14.25" customHeight="1">
      <c r="A31" s="2">
        <v>30.0</v>
      </c>
      <c r="B31" s="24" t="s">
        <v>6638</v>
      </c>
    </row>
    <row r="32" ht="14.25" customHeight="1">
      <c r="A32" s="2">
        <v>31.0</v>
      </c>
      <c r="B32" s="24" t="s">
        <v>6639</v>
      </c>
    </row>
    <row r="33" ht="14.25" customHeight="1">
      <c r="A33" s="2">
        <v>32.0</v>
      </c>
      <c r="B33" s="23" t="s">
        <v>6640</v>
      </c>
    </row>
    <row r="34" ht="14.25" customHeight="1">
      <c r="A34" s="2">
        <v>33.0</v>
      </c>
      <c r="B34" s="24" t="s">
        <v>6641</v>
      </c>
    </row>
    <row r="35" ht="14.25" customHeight="1">
      <c r="A35" s="2">
        <v>34.0</v>
      </c>
      <c r="B35" s="23" t="s">
        <v>6642</v>
      </c>
    </row>
    <row r="36" ht="14.25" customHeight="1">
      <c r="A36" s="2">
        <v>35.0</v>
      </c>
      <c r="B36" s="24" t="s">
        <v>6643</v>
      </c>
    </row>
    <row r="37" ht="14.25" customHeight="1">
      <c r="A37" s="2">
        <v>36.0</v>
      </c>
      <c r="B37" s="23" t="s">
        <v>6644</v>
      </c>
    </row>
    <row r="38" ht="14.25" customHeight="1">
      <c r="A38" s="2">
        <v>37.0</v>
      </c>
      <c r="B38" s="24" t="s">
        <v>6645</v>
      </c>
    </row>
    <row r="39" ht="14.25" customHeight="1">
      <c r="A39" s="2">
        <v>38.0</v>
      </c>
      <c r="B39" s="24" t="s">
        <v>6646</v>
      </c>
    </row>
    <row r="40" ht="14.25" customHeight="1">
      <c r="A40" s="2">
        <v>39.0</v>
      </c>
      <c r="B40" s="24" t="s">
        <v>6647</v>
      </c>
    </row>
    <row r="41" ht="14.25" customHeight="1">
      <c r="A41" s="2">
        <v>40.0</v>
      </c>
      <c r="B41" s="23" t="s">
        <v>6648</v>
      </c>
    </row>
    <row r="42" ht="14.25" customHeight="1">
      <c r="A42" s="2">
        <v>41.0</v>
      </c>
      <c r="B42" s="23" t="s">
        <v>6649</v>
      </c>
    </row>
    <row r="43" ht="14.25" customHeight="1">
      <c r="A43" s="2">
        <v>42.0</v>
      </c>
      <c r="B43" s="24" t="s">
        <v>6650</v>
      </c>
    </row>
    <row r="44" ht="14.25" customHeight="1">
      <c r="A44" s="2">
        <v>43.0</v>
      </c>
      <c r="B44" s="24" t="s">
        <v>6651</v>
      </c>
    </row>
    <row r="45" ht="14.25" customHeight="1">
      <c r="A45" s="2">
        <v>44.0</v>
      </c>
      <c r="B45" s="23" t="s">
        <v>6652</v>
      </c>
    </row>
    <row r="46" ht="14.25" customHeight="1">
      <c r="A46" s="2">
        <v>45.0</v>
      </c>
      <c r="B46" s="24" t="s">
        <v>6653</v>
      </c>
    </row>
    <row r="47" ht="14.25" customHeight="1">
      <c r="A47" s="2">
        <v>46.0</v>
      </c>
      <c r="B47" s="24" t="s">
        <v>6654</v>
      </c>
    </row>
    <row r="48" ht="14.25" customHeight="1">
      <c r="A48" s="2">
        <v>47.0</v>
      </c>
      <c r="B48" s="24" t="s">
        <v>6655</v>
      </c>
    </row>
    <row r="49" ht="14.25" customHeight="1">
      <c r="A49" s="2">
        <v>48.0</v>
      </c>
      <c r="B49" s="23" t="s">
        <v>6656</v>
      </c>
    </row>
    <row r="50" ht="14.25" customHeight="1">
      <c r="A50" s="2">
        <v>49.0</v>
      </c>
      <c r="B50" s="24" t="s">
        <v>6657</v>
      </c>
    </row>
    <row r="51" ht="14.25" customHeight="1">
      <c r="A51" s="2">
        <v>50.0</v>
      </c>
      <c r="B51" s="24" t="s">
        <v>6658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22.13"/>
    <col customWidth="1" min="3" max="3" width="15.75"/>
    <col customWidth="1" min="4" max="4" width="19.5"/>
    <col customWidth="1" min="5" max="26" width="8.63"/>
  </cols>
  <sheetData>
    <row r="1" ht="14.25" customHeight="1">
      <c r="A1" s="1" t="s">
        <v>17</v>
      </c>
      <c r="B1" s="1" t="s">
        <v>6659</v>
      </c>
      <c r="C1" s="1" t="s">
        <v>6660</v>
      </c>
      <c r="D1" s="1" t="s">
        <v>6661</v>
      </c>
      <c r="E1" s="4" t="s">
        <v>6662</v>
      </c>
      <c r="F1" s="4" t="s">
        <v>6663</v>
      </c>
    </row>
    <row r="2" ht="14.25" customHeight="1">
      <c r="A2" s="2">
        <v>1.0</v>
      </c>
      <c r="B2" s="2" t="s">
        <v>6664</v>
      </c>
      <c r="C2" s="2">
        <v>1023.850798</v>
      </c>
      <c r="D2" s="2">
        <v>9.77E-4</v>
      </c>
      <c r="E2" s="4" t="e">
        <v>#VALUE!</v>
      </c>
      <c r="F2" s="4" t="s">
        <v>6665</v>
      </c>
    </row>
    <row r="3" ht="14.25" customHeight="1">
      <c r="A3" s="2">
        <v>2.0</v>
      </c>
      <c r="B3" s="2" t="s">
        <v>6666</v>
      </c>
      <c r="C3" s="2">
        <v>1.090257</v>
      </c>
      <c r="D3" s="2">
        <v>0.917215</v>
      </c>
      <c r="E3" s="4" t="e">
        <v>#VALUE!</v>
      </c>
      <c r="F3" s="4" t="s">
        <v>6667</v>
      </c>
    </row>
    <row r="4" ht="14.25" customHeight="1">
      <c r="A4" s="2">
        <v>3.0</v>
      </c>
      <c r="B4" s="2" t="s">
        <v>6668</v>
      </c>
      <c r="C4" s="2">
        <v>0.268753</v>
      </c>
      <c r="D4" s="2">
        <v>3.720888</v>
      </c>
      <c r="E4" s="4" t="e">
        <v>#VALUE!</v>
      </c>
      <c r="F4" s="4" t="s">
        <v>6669</v>
      </c>
    </row>
    <row r="5" ht="14.25" customHeight="1">
      <c r="A5" s="2">
        <v>4.0</v>
      </c>
      <c r="B5" s="2" t="s">
        <v>6670</v>
      </c>
      <c r="C5" s="2">
        <v>10.018072</v>
      </c>
      <c r="D5" s="2">
        <v>0.09982</v>
      </c>
      <c r="E5" s="4" t="e">
        <v>#VALUE!</v>
      </c>
      <c r="F5" s="4" t="s">
        <v>6671</v>
      </c>
    </row>
    <row r="6" ht="14.25" customHeight="1">
      <c r="A6" s="2">
        <v>5.0</v>
      </c>
      <c r="B6" s="2" t="s">
        <v>6672</v>
      </c>
      <c r="C6" s="2">
        <v>3.839983</v>
      </c>
      <c r="D6" s="2">
        <v>0.260418</v>
      </c>
      <c r="E6" s="4" t="e">
        <v>#VALUE!</v>
      </c>
      <c r="F6" s="4" t="s">
        <v>6673</v>
      </c>
    </row>
    <row r="7" ht="14.25" customHeight="1">
      <c r="A7" s="2">
        <v>6.0</v>
      </c>
      <c r="B7" s="2" t="s">
        <v>6674</v>
      </c>
      <c r="C7" s="2">
        <v>0.536018</v>
      </c>
      <c r="D7" s="2">
        <v>1.86561</v>
      </c>
      <c r="E7" s="4" t="e">
        <v>#VALUE!</v>
      </c>
      <c r="F7" s="4" t="s">
        <v>6675</v>
      </c>
    </row>
    <row r="8" ht="14.25" customHeight="1">
      <c r="A8" s="2">
        <v>7.0</v>
      </c>
      <c r="B8" s="2" t="s">
        <v>6676</v>
      </c>
      <c r="C8" s="2">
        <v>0.926707</v>
      </c>
      <c r="D8" s="2">
        <v>1.07909</v>
      </c>
      <c r="E8" s="4" t="e">
        <v>#VALUE!</v>
      </c>
      <c r="F8" s="4" t="s">
        <v>6677</v>
      </c>
    </row>
    <row r="9" ht="14.25" customHeight="1">
      <c r="A9" s="2">
        <v>8.0</v>
      </c>
      <c r="B9" s="2" t="s">
        <v>6678</v>
      </c>
      <c r="C9" s="2">
        <v>1.200356</v>
      </c>
      <c r="D9" s="2">
        <v>0.833086</v>
      </c>
      <c r="E9" s="4" t="e">
        <v>#VALUE!</v>
      </c>
      <c r="F9" s="4" t="s">
        <v>6679</v>
      </c>
    </row>
    <row r="10" ht="14.25" customHeight="1">
      <c r="A10" s="2">
        <v>9.0</v>
      </c>
      <c r="B10" s="2" t="s">
        <v>6680</v>
      </c>
      <c r="C10" s="2">
        <v>672.256636</v>
      </c>
      <c r="D10" s="2">
        <v>0.001488</v>
      </c>
      <c r="E10" s="4" t="e">
        <v>#VALUE!</v>
      </c>
      <c r="F10" s="4" t="s">
        <v>6681</v>
      </c>
    </row>
    <row r="11" ht="14.25" customHeight="1">
      <c r="A11" s="2">
        <v>10.0</v>
      </c>
      <c r="B11" s="2" t="s">
        <v>6682</v>
      </c>
      <c r="C11" s="2">
        <v>5.082304</v>
      </c>
      <c r="D11" s="2">
        <v>0.196761</v>
      </c>
      <c r="E11" s="4" t="e">
        <v>#VALUE!</v>
      </c>
      <c r="F11" s="4" t="s">
        <v>6683</v>
      </c>
    </row>
    <row r="12" ht="14.25" customHeight="1">
      <c r="A12" s="2">
        <v>11.0</v>
      </c>
      <c r="B12" s="2" t="s">
        <v>6684</v>
      </c>
      <c r="C12" s="2">
        <v>2748.365062</v>
      </c>
      <c r="D12" s="2">
        <v>3.64E-4</v>
      </c>
      <c r="E12" s="4" t="e">
        <v>#VALUE!</v>
      </c>
      <c r="F12" s="4" t="s">
        <v>6685</v>
      </c>
    </row>
    <row r="13" ht="14.25" customHeight="1">
      <c r="A13" s="2">
        <v>12.0</v>
      </c>
      <c r="B13" s="2" t="s">
        <v>6686</v>
      </c>
      <c r="C13" s="2">
        <v>14.927339</v>
      </c>
      <c r="D13" s="2">
        <v>0.066991</v>
      </c>
      <c r="E13" s="4" t="e">
        <v>#VALUE!</v>
      </c>
      <c r="F13" s="4" t="s">
        <v>6687</v>
      </c>
    </row>
    <row r="14" ht="14.25" customHeight="1">
      <c r="A14" s="2">
        <v>13.0</v>
      </c>
      <c r="B14" s="2" t="s">
        <v>6688</v>
      </c>
      <c r="C14" s="2">
        <v>4.583857</v>
      </c>
      <c r="D14" s="2">
        <v>0.218157</v>
      </c>
      <c r="E14" s="4" t="e">
        <v>#VALUE!</v>
      </c>
      <c r="F14" s="4" t="s">
        <v>6689</v>
      </c>
    </row>
    <row r="15" ht="14.25" customHeight="1">
      <c r="A15" s="2">
        <v>14.0</v>
      </c>
      <c r="B15" s="2" t="s">
        <v>6690</v>
      </c>
      <c r="C15" s="2">
        <v>2.624989</v>
      </c>
      <c r="D15" s="2">
        <v>0.380954</v>
      </c>
      <c r="E15" s="4" t="e">
        <v>#VALUE!</v>
      </c>
      <c r="F15" s="4" t="s">
        <v>6691</v>
      </c>
    </row>
    <row r="16" ht="14.25" customHeight="1">
      <c r="A16" s="2">
        <v>15.0</v>
      </c>
      <c r="B16" s="2" t="s">
        <v>6692</v>
      </c>
      <c r="C16" s="2">
        <v>0.613732</v>
      </c>
      <c r="D16" s="2">
        <v>1.629375</v>
      </c>
      <c r="E16" s="4" t="e">
        <v>#VALUE!</v>
      </c>
      <c r="F16" s="4" t="s">
        <v>6693</v>
      </c>
    </row>
    <row r="17" ht="14.25" customHeight="1">
      <c r="A17" s="2">
        <v>16.0</v>
      </c>
      <c r="B17" s="2" t="s">
        <v>6694</v>
      </c>
      <c r="C17" s="2">
        <v>5.552063</v>
      </c>
      <c r="D17" s="2">
        <v>0.180113</v>
      </c>
      <c r="E17" s="4" t="e">
        <v>#VALUE!</v>
      </c>
      <c r="F17" s="4" t="s">
        <v>6695</v>
      </c>
    </row>
    <row r="18" ht="14.25" customHeight="1">
      <c r="A18" s="2">
        <v>17.0</v>
      </c>
      <c r="B18" s="2" t="s">
        <v>6696</v>
      </c>
      <c r="C18" s="2">
        <v>238.480224</v>
      </c>
      <c r="D18" s="2">
        <v>0.004193</v>
      </c>
      <c r="E18" s="4" t="e">
        <v>#VALUE!</v>
      </c>
      <c r="F18" s="4" t="s">
        <v>6697</v>
      </c>
    </row>
    <row r="19" ht="14.25" customHeight="1">
      <c r="A19" s="2">
        <v>18.0</v>
      </c>
      <c r="B19" s="2" t="s">
        <v>6698</v>
      </c>
      <c r="C19" s="2">
        <v>87.765961</v>
      </c>
      <c r="D19" s="2">
        <v>0.011394</v>
      </c>
      <c r="E19" s="4" t="e">
        <v>#VALUE!</v>
      </c>
      <c r="F19" s="4" t="s">
        <v>6699</v>
      </c>
    </row>
    <row r="20" ht="14.25" customHeight="1">
      <c r="A20" s="2">
        <v>19.0</v>
      </c>
      <c r="B20" s="2" t="s">
        <v>6700</v>
      </c>
      <c r="C20" s="2">
        <v>63.053628</v>
      </c>
      <c r="D20" s="2">
        <v>0.01586</v>
      </c>
      <c r="E20" s="4" t="e">
        <v>#VALUE!</v>
      </c>
      <c r="F20" s="4" t="s">
        <v>6701</v>
      </c>
    </row>
    <row r="21" ht="14.25" customHeight="1">
      <c r="A21" s="2">
        <v>20.0</v>
      </c>
      <c r="B21" s="2" t="s">
        <v>6702</v>
      </c>
      <c r="C21" s="2">
        <v>11872.95178</v>
      </c>
      <c r="D21" s="2">
        <v>8.4E-5</v>
      </c>
      <c r="E21" s="4" t="e">
        <v>#VALUE!</v>
      </c>
      <c r="F21" s="4" t="s">
        <v>6703</v>
      </c>
    </row>
    <row r="22" ht="14.25" customHeight="1">
      <c r="A22" s="2">
        <v>21.0</v>
      </c>
      <c r="B22" s="2" t="s">
        <v>6704</v>
      </c>
      <c r="C22" s="2">
        <v>30041.016317</v>
      </c>
      <c r="D22" s="2">
        <v>3.3E-5</v>
      </c>
      <c r="E22" s="4" t="e">
        <v>#VALUE!</v>
      </c>
      <c r="F22" s="4" t="s">
        <v>6705</v>
      </c>
    </row>
    <row r="23" ht="14.25" customHeight="1">
      <c r="A23" s="2">
        <v>22.0</v>
      </c>
      <c r="B23" s="2" t="s">
        <v>6706</v>
      </c>
      <c r="C23" s="2">
        <v>2.327448</v>
      </c>
      <c r="D23" s="2">
        <v>0.429655</v>
      </c>
      <c r="E23" s="4" t="e">
        <v>#VALUE!</v>
      </c>
      <c r="F23" s="4" t="s">
        <v>6707</v>
      </c>
    </row>
    <row r="24" ht="14.25" customHeight="1">
      <c r="A24" s="2">
        <v>23.0</v>
      </c>
      <c r="B24" s="2" t="s">
        <v>6708</v>
      </c>
      <c r="C24" s="2">
        <v>109.281259</v>
      </c>
      <c r="D24" s="2">
        <v>0.009151</v>
      </c>
      <c r="E24" s="4" t="e">
        <v>#VALUE!</v>
      </c>
      <c r="F24" s="4" t="s">
        <v>6709</v>
      </c>
    </row>
    <row r="25" ht="14.25" customHeight="1">
      <c r="A25" s="2">
        <v>24.0</v>
      </c>
      <c r="B25" s="2" t="s">
        <v>6710</v>
      </c>
      <c r="C25" s="2">
        <v>384.175873</v>
      </c>
      <c r="D25" s="2">
        <v>0.002603</v>
      </c>
      <c r="E25" s="4" t="e">
        <v>#VALUE!</v>
      </c>
      <c r="F25" s="4" t="s">
        <v>6711</v>
      </c>
    </row>
    <row r="26" ht="14.25" customHeight="1">
      <c r="A26" s="2">
        <v>25.0</v>
      </c>
      <c r="B26" s="2" t="s">
        <v>6712</v>
      </c>
      <c r="C26" s="2">
        <v>0.219143</v>
      </c>
      <c r="D26" s="2">
        <v>4.563234</v>
      </c>
      <c r="E26" s="4" t="e">
        <v>#VALUE!</v>
      </c>
      <c r="F26" s="4" t="s">
        <v>6713</v>
      </c>
    </row>
    <row r="27" ht="14.25" customHeight="1">
      <c r="A27" s="2">
        <v>26.0</v>
      </c>
      <c r="B27" s="2" t="s">
        <v>6714</v>
      </c>
      <c r="C27" s="2">
        <v>3.888201</v>
      </c>
      <c r="D27" s="2">
        <v>0.257188</v>
      </c>
      <c r="E27" s="4" t="e">
        <v>#VALUE!</v>
      </c>
      <c r="F27" s="4" t="s">
        <v>6715</v>
      </c>
    </row>
    <row r="28" ht="14.25" customHeight="1">
      <c r="A28" s="2">
        <v>27.0</v>
      </c>
      <c r="B28" s="2" t="s">
        <v>6716</v>
      </c>
      <c r="C28" s="2">
        <v>3.008373</v>
      </c>
      <c r="D28" s="2">
        <v>0.332406</v>
      </c>
      <c r="E28" s="4" t="e">
        <v>#VALUE!</v>
      </c>
      <c r="F28" s="4" t="s">
        <v>6717</v>
      </c>
    </row>
    <row r="29" ht="14.25" customHeight="1">
      <c r="A29" s="2">
        <v>28.0</v>
      </c>
      <c r="B29" s="2" t="s">
        <v>6718</v>
      </c>
      <c r="C29" s="2">
        <v>32.501041</v>
      </c>
      <c r="D29" s="2">
        <v>0.030768</v>
      </c>
      <c r="E29" s="4" t="e">
        <v>#VALUE!</v>
      </c>
      <c r="F29" s="4" t="s">
        <v>6719</v>
      </c>
    </row>
    <row r="30" ht="14.25" customHeight="1">
      <c r="A30" s="2">
        <v>29.0</v>
      </c>
      <c r="B30" s="2" t="s">
        <v>6720</v>
      </c>
      <c r="C30" s="2">
        <v>13.149433</v>
      </c>
      <c r="D30" s="2">
        <v>0.076049</v>
      </c>
      <c r="E30" s="4" t="e">
        <v>#VALUE!</v>
      </c>
      <c r="F30" s="4" t="s">
        <v>6721</v>
      </c>
    </row>
    <row r="31" ht="14.25" customHeight="1">
      <c r="A31" s="2">
        <v>30.0</v>
      </c>
      <c r="B31" s="2" t="s">
        <v>6722</v>
      </c>
      <c r="C31" s="2">
        <v>100.933094</v>
      </c>
      <c r="D31" s="2">
        <v>0.009908</v>
      </c>
      <c r="E31" s="4" t="e">
        <v>#VALUE!</v>
      </c>
      <c r="F31" s="4" t="s">
        <v>6723</v>
      </c>
    </row>
    <row r="32" ht="14.25" customHeight="1">
      <c r="A32" s="2">
        <v>31.0</v>
      </c>
      <c r="B32" s="2" t="s">
        <v>6724</v>
      </c>
      <c r="C32" s="2">
        <v>1.238402</v>
      </c>
      <c r="D32" s="2">
        <v>0.807492</v>
      </c>
      <c r="E32" s="4" t="e">
        <v>#VALUE!</v>
      </c>
      <c r="F32" s="4" t="s">
        <v>6725</v>
      </c>
    </row>
    <row r="33" ht="14.25" customHeight="1">
      <c r="A33" s="2">
        <v>32.0</v>
      </c>
      <c r="B33" s="2" t="s">
        <v>6726</v>
      </c>
      <c r="C33" s="2">
        <v>7.136143</v>
      </c>
      <c r="D33" s="2">
        <v>0.140132</v>
      </c>
      <c r="E33" s="4" t="e">
        <v>#VALUE!</v>
      </c>
      <c r="F33" s="4" t="s">
        <v>6727</v>
      </c>
    </row>
    <row r="34" ht="14.25" customHeight="1">
      <c r="A34" s="2">
        <v>33.0</v>
      </c>
      <c r="B34" s="2" t="s">
        <v>6728</v>
      </c>
      <c r="C34" s="2">
        <v>0.275069</v>
      </c>
      <c r="D34" s="2">
        <v>3.635458</v>
      </c>
      <c r="E34" s="4" t="e">
        <v>#VALUE!</v>
      </c>
      <c r="F34" s="4" t="s">
        <v>6729</v>
      </c>
    </row>
    <row r="35" ht="14.25" customHeight="1">
      <c r="A35" s="2">
        <v>34.0</v>
      </c>
      <c r="B35" s="2" t="s">
        <v>6730</v>
      </c>
      <c r="C35" s="2">
        <v>201.584675</v>
      </c>
      <c r="D35" s="2">
        <v>0.004961</v>
      </c>
      <c r="E35" s="4" t="e">
        <v>#VALUE!</v>
      </c>
      <c r="F35" s="4" t="s">
        <v>6731</v>
      </c>
    </row>
    <row r="36" ht="14.25" customHeight="1">
      <c r="A36" s="2">
        <v>35.0</v>
      </c>
      <c r="B36" s="2" t="s">
        <v>6732</v>
      </c>
      <c r="C36" s="2">
        <v>42.088953</v>
      </c>
      <c r="D36" s="2">
        <v>0.023759</v>
      </c>
      <c r="E36" s="4" t="e">
        <v>#VALUE!</v>
      </c>
      <c r="F36" s="4" t="s">
        <v>6733</v>
      </c>
    </row>
    <row r="37" ht="14.25" customHeight="1">
      <c r="A37" s="2">
        <v>36.0</v>
      </c>
      <c r="B37" s="2" t="s">
        <v>6734</v>
      </c>
      <c r="C37" s="2">
        <v>2.598505</v>
      </c>
      <c r="D37" s="2">
        <v>0.384837</v>
      </c>
      <c r="E37" s="4" t="e">
        <v>#VALUE!</v>
      </c>
      <c r="F37" s="4" t="s">
        <v>6735</v>
      </c>
    </row>
    <row r="38" ht="14.25" customHeight="1">
      <c r="A38" s="2">
        <v>37.0</v>
      </c>
      <c r="B38" s="2" t="s">
        <v>6736</v>
      </c>
      <c r="C38" s="2">
        <v>2.601759</v>
      </c>
      <c r="D38" s="2">
        <v>0.384355</v>
      </c>
      <c r="E38" s="4" t="e">
        <v>#VALUE!</v>
      </c>
      <c r="F38" s="4" t="s">
        <v>6737</v>
      </c>
    </row>
    <row r="39" ht="14.25" customHeight="1">
      <c r="A39" s="2">
        <v>38.0</v>
      </c>
      <c r="B39" s="2" t="s">
        <v>6738</v>
      </c>
      <c r="C39" s="2">
        <v>3.120271</v>
      </c>
      <c r="D39" s="2">
        <v>0.320485</v>
      </c>
      <c r="E39" s="4" t="e">
        <v>#VALUE!</v>
      </c>
      <c r="F39" s="4" t="s">
        <v>6739</v>
      </c>
    </row>
    <row r="40" ht="14.25" customHeight="1">
      <c r="A40" s="2">
        <v>39.0</v>
      </c>
      <c r="B40" s="2" t="s">
        <v>6740</v>
      </c>
      <c r="C40" s="2">
        <v>56.646249</v>
      </c>
      <c r="D40" s="2">
        <v>0.017653</v>
      </c>
      <c r="E40" s="4" t="e">
        <v>#VALUE!</v>
      </c>
      <c r="F40" s="4" t="s">
        <v>6741</v>
      </c>
    </row>
    <row r="41" ht="14.25" customHeight="1">
      <c r="A41" s="2">
        <v>40.0</v>
      </c>
      <c r="B41" s="2" t="s">
        <v>6742</v>
      </c>
      <c r="C41" s="2">
        <v>2.680383</v>
      </c>
      <c r="D41" s="2">
        <v>0.373081</v>
      </c>
      <c r="E41" s="4" t="e">
        <v>#VALUE!</v>
      </c>
      <c r="F41" s="4" t="s">
        <v>6743</v>
      </c>
    </row>
    <row r="42" ht="14.25" customHeight="1">
      <c r="A42" s="2">
        <v>41.0</v>
      </c>
      <c r="B42" s="2" t="s">
        <v>6744</v>
      </c>
      <c r="C42" s="2">
        <v>0.926707</v>
      </c>
      <c r="D42" s="2">
        <v>1.07909</v>
      </c>
      <c r="E42" s="4" t="e">
        <v>#VALUE!</v>
      </c>
      <c r="F42" s="4" t="s">
        <v>6745</v>
      </c>
    </row>
    <row r="43" ht="14.25" customHeight="1">
      <c r="A43" s="2">
        <v>42.0</v>
      </c>
      <c r="B43" s="2" t="s">
        <v>6746</v>
      </c>
      <c r="C43" s="2">
        <v>12.316485</v>
      </c>
      <c r="D43" s="2">
        <v>0.081192</v>
      </c>
      <c r="E43" s="4" t="e">
        <v>#VALUE!</v>
      </c>
      <c r="F43" s="4" t="s">
        <v>6747</v>
      </c>
    </row>
    <row r="44" ht="14.25" customHeight="1">
      <c r="A44" s="2">
        <v>43.0</v>
      </c>
      <c r="B44" s="2" t="s">
        <v>6748</v>
      </c>
      <c r="C44" s="2">
        <v>1023.356649</v>
      </c>
      <c r="D44" s="2">
        <v>9.77E-4</v>
      </c>
      <c r="E44" s="4" t="e">
        <v>#VALUE!</v>
      </c>
      <c r="F44" s="4" t="s">
        <v>6749</v>
      </c>
    </row>
    <row r="45" ht="14.25" customHeight="1">
      <c r="A45" s="2">
        <v>44.0</v>
      </c>
      <c r="B45" s="2" t="s">
        <v>6750</v>
      </c>
      <c r="C45" s="2">
        <v>217.395545</v>
      </c>
      <c r="D45" s="2">
        <v>0.0046</v>
      </c>
      <c r="E45" s="4" t="e">
        <v>#VALUE!</v>
      </c>
      <c r="F45" s="4" t="s">
        <v>6751</v>
      </c>
    </row>
    <row r="46" ht="14.25" customHeight="1">
      <c r="A46" s="2">
        <v>45.0</v>
      </c>
      <c r="B46" s="2" t="s">
        <v>6752</v>
      </c>
      <c r="C46" s="2">
        <v>6.702</v>
      </c>
      <c r="D46" s="2">
        <v>0.149209</v>
      </c>
      <c r="E46" s="4" t="e">
        <v>#VALUE!</v>
      </c>
      <c r="F46" s="4" t="s">
        <v>6753</v>
      </c>
    </row>
    <row r="47" ht="14.25" customHeight="1">
      <c r="A47" s="2">
        <v>46.0</v>
      </c>
      <c r="B47" s="2" t="s">
        <v>6754</v>
      </c>
      <c r="C47" s="2">
        <v>0.568476</v>
      </c>
      <c r="D47" s="2">
        <v>1.75909</v>
      </c>
      <c r="E47" s="4" t="e">
        <v>#VALUE!</v>
      </c>
      <c r="F47" s="4" t="s">
        <v>6755</v>
      </c>
    </row>
    <row r="48" ht="14.25" customHeight="1">
      <c r="A48" s="2">
        <v>47.0</v>
      </c>
      <c r="B48" s="2" t="s">
        <v>6756</v>
      </c>
      <c r="C48" s="2">
        <v>21.911299</v>
      </c>
      <c r="D48" s="2">
        <v>0.045639</v>
      </c>
      <c r="E48" s="4" t="e">
        <v>#VALUE!</v>
      </c>
      <c r="F48" s="4" t="s">
        <v>6757</v>
      </c>
    </row>
    <row r="49" ht="14.25" customHeight="1">
      <c r="A49" s="2">
        <v>48.0</v>
      </c>
      <c r="B49" s="2" t="s">
        <v>6758</v>
      </c>
      <c r="C49" s="2">
        <v>23.350498</v>
      </c>
      <c r="D49" s="2">
        <v>0.042826</v>
      </c>
      <c r="E49" s="4" t="e">
        <v>#VALUE!</v>
      </c>
      <c r="F49" s="4" t="s">
        <v>6759</v>
      </c>
    </row>
    <row r="50" ht="14.25" customHeight="1">
      <c r="A50" s="2">
        <v>49.0</v>
      </c>
      <c r="B50" s="2" t="s">
        <v>6760</v>
      </c>
      <c r="C50" s="2">
        <v>4.850778</v>
      </c>
      <c r="D50" s="2">
        <v>0.206153</v>
      </c>
      <c r="E50" s="4" t="e">
        <v>#VALUE!</v>
      </c>
      <c r="F50" s="4" t="s">
        <v>6761</v>
      </c>
    </row>
    <row r="51" ht="14.25" customHeight="1">
      <c r="A51" s="2">
        <v>50.0</v>
      </c>
      <c r="B51" s="2" t="s">
        <v>6762</v>
      </c>
      <c r="C51" s="2">
        <v>29.974717</v>
      </c>
      <c r="D51" s="2">
        <v>0.033361</v>
      </c>
      <c r="E51" s="4" t="e">
        <v>#VALUE!</v>
      </c>
      <c r="F51" s="4" t="s">
        <v>6763</v>
      </c>
    </row>
    <row r="52" ht="14.25" customHeight="1">
      <c r="A52" s="2">
        <v>51.0</v>
      </c>
      <c r="B52" s="2" t="s">
        <v>6764</v>
      </c>
      <c r="C52" s="2">
        <v>0.714769</v>
      </c>
      <c r="D52" s="2">
        <v>1.399054</v>
      </c>
      <c r="E52" s="4" t="e">
        <v>#VALUE!</v>
      </c>
      <c r="F52" s="4" t="s">
        <v>6765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25" t="s">
        <v>17</v>
      </c>
      <c r="B1" s="26" t="s">
        <v>6766</v>
      </c>
      <c r="C1" s="25" t="s">
        <v>6767</v>
      </c>
      <c r="D1" s="25" t="s">
        <v>6768</v>
      </c>
      <c r="E1" s="25" t="s">
        <v>6769</v>
      </c>
      <c r="F1" s="27" t="s">
        <v>6770</v>
      </c>
      <c r="G1" s="25" t="s">
        <v>6771</v>
      </c>
      <c r="H1" s="25" t="s">
        <v>19</v>
      </c>
    </row>
    <row r="2" ht="14.25" customHeight="1">
      <c r="A2" s="2">
        <v>1.0</v>
      </c>
      <c r="B2" s="28" t="s">
        <v>6772</v>
      </c>
      <c r="C2" s="8" t="s">
        <v>6773</v>
      </c>
      <c r="D2" s="29">
        <v>1010899.0</v>
      </c>
      <c r="E2" s="7">
        <v>17.7</v>
      </c>
      <c r="F2" s="30">
        <v>78.0</v>
      </c>
      <c r="G2" s="2" t="s">
        <v>6774</v>
      </c>
      <c r="H2" s="2" t="str">
        <f>PlacesCDN!$B2&amp;", "&amp;PlacesCDN!$C2</f>
        <v>Edmonton, Alberta</v>
      </c>
    </row>
    <row r="3" ht="14.25" customHeight="1">
      <c r="A3" s="2">
        <v>2.0</v>
      </c>
      <c r="B3" s="28" t="s">
        <v>6775</v>
      </c>
      <c r="C3" s="8" t="s">
        <v>6773</v>
      </c>
      <c r="D3" s="29">
        <v>1306784.0</v>
      </c>
      <c r="E3" s="7">
        <v>16.5</v>
      </c>
      <c r="F3" s="30">
        <v>55.0</v>
      </c>
      <c r="G3" s="2" t="s">
        <v>6774</v>
      </c>
      <c r="H3" s="2" t="str">
        <f>PlacesCDN!$B3&amp;", "&amp;PlacesCDN!$C3</f>
        <v>Calgary, Alberta</v>
      </c>
    </row>
    <row r="4" ht="14.25" customHeight="1">
      <c r="A4" s="2">
        <v>3.0</v>
      </c>
      <c r="B4" s="28" t="s">
        <v>6776</v>
      </c>
      <c r="C4" s="8" t="s">
        <v>6773</v>
      </c>
      <c r="D4" s="29">
        <v>8305.0</v>
      </c>
      <c r="E4" s="7">
        <v>14.8</v>
      </c>
      <c r="F4" s="30">
        <v>51.0</v>
      </c>
      <c r="G4" s="2" t="s">
        <v>6774</v>
      </c>
      <c r="H4" s="2" t="str">
        <f>PlacesCDN!$B4&amp;", "&amp;PlacesCDN!$C4</f>
        <v>Banff, Alberta</v>
      </c>
    </row>
    <row r="5" ht="14.25" customHeight="1">
      <c r="A5" s="2">
        <v>4.0</v>
      </c>
      <c r="B5" s="28" t="s">
        <v>6777</v>
      </c>
      <c r="C5" s="8" t="s">
        <v>6773</v>
      </c>
      <c r="D5" s="29">
        <v>4738.0</v>
      </c>
      <c r="E5" s="7">
        <v>15.6</v>
      </c>
      <c r="F5" s="30">
        <v>50.0</v>
      </c>
      <c r="G5" s="2" t="s">
        <v>6774</v>
      </c>
      <c r="H5" s="2" t="str">
        <f>PlacesCDN!$B5&amp;", "&amp;PlacesCDN!$C5</f>
        <v>Jasper, Alberta</v>
      </c>
    </row>
    <row r="6" ht="14.25" customHeight="1">
      <c r="A6" s="2">
        <v>5.0</v>
      </c>
      <c r="B6" s="28" t="s">
        <v>6778</v>
      </c>
      <c r="C6" s="8" t="s">
        <v>6773</v>
      </c>
      <c r="D6" s="29">
        <v>98406.0</v>
      </c>
      <c r="E6" s="7">
        <v>18.6</v>
      </c>
      <c r="F6" s="30">
        <v>54.0</v>
      </c>
      <c r="G6" s="2" t="s">
        <v>6774</v>
      </c>
      <c r="H6" s="2" t="str">
        <f>PlacesCDN!$B6&amp;", "&amp;PlacesCDN!$C6</f>
        <v>Lethbridge, Alberta</v>
      </c>
    </row>
    <row r="7" ht="14.25" customHeight="1">
      <c r="A7" s="2">
        <v>6.0</v>
      </c>
      <c r="B7" s="28" t="s">
        <v>6779</v>
      </c>
      <c r="C7" s="8" t="s">
        <v>6773</v>
      </c>
      <c r="D7" s="29">
        <v>100844.0</v>
      </c>
      <c r="E7" s="7">
        <v>16.9</v>
      </c>
      <c r="F7" s="30">
        <v>80.0</v>
      </c>
      <c r="G7" s="2" t="s">
        <v>6774</v>
      </c>
      <c r="H7" s="2" t="str">
        <f>PlacesCDN!$B7&amp;", "&amp;PlacesCDN!$C7</f>
        <v>Red Deer, Alberta</v>
      </c>
    </row>
    <row r="8" ht="14.25" customHeight="1">
      <c r="A8" s="2">
        <v>7.0</v>
      </c>
      <c r="B8" s="28" t="s">
        <v>6780</v>
      </c>
      <c r="C8" s="8" t="s">
        <v>6773</v>
      </c>
      <c r="D8" s="29">
        <v>63271.0</v>
      </c>
      <c r="E8" s="7">
        <v>19.9</v>
      </c>
      <c r="F8" s="30">
        <v>52.0</v>
      </c>
      <c r="G8" s="2" t="s">
        <v>6774</v>
      </c>
      <c r="H8" s="2" t="str">
        <f>PlacesCDN!$B8&amp;", "&amp;PlacesCDN!$C8</f>
        <v>Medicine Hat, Alberta</v>
      </c>
    </row>
    <row r="9" ht="14.25" customHeight="1">
      <c r="A9" s="2">
        <v>8.0</v>
      </c>
      <c r="B9" s="28" t="s">
        <v>6781</v>
      </c>
      <c r="C9" s="8" t="s">
        <v>6773</v>
      </c>
      <c r="D9" s="29">
        <v>67123.0</v>
      </c>
      <c r="E9" s="7">
        <v>17.0</v>
      </c>
      <c r="F9" s="30">
        <v>70.0</v>
      </c>
      <c r="G9" s="2" t="s">
        <v>6774</v>
      </c>
      <c r="H9" s="2" t="str">
        <f>PlacesCDN!$B9&amp;", "&amp;PlacesCDN!$C9</f>
        <v>Fort McMurray, Alberta</v>
      </c>
    </row>
    <row r="10" ht="14.25" customHeight="1">
      <c r="A10" s="2">
        <v>9.0</v>
      </c>
      <c r="B10" s="28" t="s">
        <v>6782</v>
      </c>
      <c r="C10" s="8" t="s">
        <v>6773</v>
      </c>
      <c r="D10" s="29">
        <v>13077.0</v>
      </c>
      <c r="E10" s="7">
        <v>15.5</v>
      </c>
      <c r="F10" s="30">
        <v>61.0</v>
      </c>
      <c r="G10" s="2" t="s">
        <v>6774</v>
      </c>
      <c r="H10" s="2" t="str">
        <f>PlacesCDN!$B10&amp;", "&amp;PlacesCDN!$C10</f>
        <v>Canmore, Alberta</v>
      </c>
    </row>
    <row r="11" ht="14.25" customHeight="1">
      <c r="A11" s="2">
        <v>10.0</v>
      </c>
      <c r="B11" s="28" t="s">
        <v>6783</v>
      </c>
      <c r="C11" s="8" t="s">
        <v>6773</v>
      </c>
      <c r="D11" s="29">
        <v>7909.0</v>
      </c>
      <c r="E11" s="7">
        <v>18.9</v>
      </c>
      <c r="F11" s="30">
        <v>60.0</v>
      </c>
      <c r="G11" s="2" t="s">
        <v>6774</v>
      </c>
      <c r="H11" s="2" t="str">
        <f>PlacesCDN!$B11&amp;", "&amp;PlacesCDN!$C11</f>
        <v>Drumheller, Alberta</v>
      </c>
    </row>
    <row r="12" ht="14.25" customHeight="1">
      <c r="A12" s="2">
        <v>11.0</v>
      </c>
      <c r="B12" s="28" t="s">
        <v>6784</v>
      </c>
      <c r="C12" s="8" t="s">
        <v>6773</v>
      </c>
      <c r="D12" s="29">
        <v>64141.0</v>
      </c>
      <c r="E12" s="7">
        <v>16.2</v>
      </c>
      <c r="F12" s="30">
        <v>64.0</v>
      </c>
      <c r="G12" s="2" t="s">
        <v>6774</v>
      </c>
      <c r="H12" s="2" t="str">
        <f>PlacesCDN!$B12&amp;", "&amp;PlacesCDN!$C12</f>
        <v>Grande Prairie, Alberta</v>
      </c>
    </row>
    <row r="13" ht="14.25" customHeight="1">
      <c r="A13" s="2">
        <v>12.0</v>
      </c>
      <c r="B13" s="28" t="s">
        <v>1113</v>
      </c>
      <c r="C13" s="8" t="s">
        <v>6773</v>
      </c>
      <c r="D13" s="29">
        <v>14924.0</v>
      </c>
      <c r="E13" s="7">
        <v>18.9</v>
      </c>
      <c r="F13" s="30">
        <v>50.0</v>
      </c>
      <c r="G13" s="2" t="s">
        <v>6774</v>
      </c>
      <c r="H13" s="2" t="str">
        <f>PlacesCDN!$B13&amp;", "&amp;PlacesCDN!$C13</f>
        <v>Brooks, Alberta</v>
      </c>
    </row>
    <row r="14" ht="14.25" customHeight="1">
      <c r="A14" s="2">
        <v>13.0</v>
      </c>
      <c r="B14" s="28" t="s">
        <v>6785</v>
      </c>
      <c r="C14" s="8" t="s">
        <v>6786</v>
      </c>
      <c r="D14" s="29">
        <v>91867.0</v>
      </c>
      <c r="E14" s="7">
        <v>16.4</v>
      </c>
      <c r="F14" s="30">
        <v>15.0</v>
      </c>
      <c r="G14" s="2" t="s">
        <v>6787</v>
      </c>
      <c r="H14" s="2" t="str">
        <f>PlacesCDN!$B14&amp;", "&amp;PlacesCDN!$C14</f>
        <v>Victoria, British Columbia</v>
      </c>
    </row>
    <row r="15" ht="14.25" customHeight="1">
      <c r="A15" s="2">
        <v>14.0</v>
      </c>
      <c r="B15" s="28" t="s">
        <v>6788</v>
      </c>
      <c r="C15" s="8" t="s">
        <v>6786</v>
      </c>
      <c r="D15" s="29">
        <v>662248.0</v>
      </c>
      <c r="E15" s="7">
        <v>18.0</v>
      </c>
      <c r="F15" s="30">
        <v>30.0</v>
      </c>
      <c r="G15" s="2" t="s">
        <v>6787</v>
      </c>
      <c r="H15" s="2" t="str">
        <f>PlacesCDN!$B15&amp;", "&amp;PlacesCDN!$C15</f>
        <v>Vancouver, British Columbia</v>
      </c>
    </row>
    <row r="16" ht="14.25" customHeight="1">
      <c r="A16" s="2">
        <v>15.0</v>
      </c>
      <c r="B16" s="28" t="s">
        <v>6789</v>
      </c>
      <c r="C16" s="8" t="s">
        <v>6786</v>
      </c>
      <c r="D16" s="29">
        <v>13982.0</v>
      </c>
      <c r="E16" s="7">
        <v>17.0</v>
      </c>
      <c r="F16" s="30">
        <v>45.0</v>
      </c>
      <c r="G16" s="2" t="s">
        <v>6787</v>
      </c>
      <c r="H16" s="2" t="str">
        <f>PlacesCDN!$B16&amp;", "&amp;PlacesCDN!$C16</f>
        <v>Whistler, British Columbia</v>
      </c>
    </row>
    <row r="17" ht="14.25" customHeight="1">
      <c r="A17" s="2">
        <v>16.0</v>
      </c>
      <c r="B17" s="28" t="s">
        <v>6790</v>
      </c>
      <c r="C17" s="8" t="s">
        <v>6786</v>
      </c>
      <c r="D17" s="29">
        <v>144576.0</v>
      </c>
      <c r="E17" s="7">
        <v>20.2</v>
      </c>
      <c r="F17" s="30">
        <v>31.0</v>
      </c>
      <c r="G17" s="2" t="s">
        <v>6787</v>
      </c>
      <c r="H17" s="2" t="str">
        <f>PlacesCDN!$B17&amp;", "&amp;PlacesCDN!$C17</f>
        <v>Kelowna, British Columbia</v>
      </c>
    </row>
    <row r="18" ht="14.25" customHeight="1">
      <c r="A18" s="2">
        <v>17.0</v>
      </c>
      <c r="B18" s="28" t="s">
        <v>6791</v>
      </c>
      <c r="C18" s="8" t="s">
        <v>6786</v>
      </c>
      <c r="D18" s="29">
        <v>97902.0</v>
      </c>
      <c r="E18" s="7">
        <v>21.5</v>
      </c>
      <c r="F18" s="30">
        <v>23.0</v>
      </c>
      <c r="G18" s="2" t="s">
        <v>6787</v>
      </c>
      <c r="H18" s="2" t="str">
        <f>PlacesCDN!$B18&amp;", "&amp;PlacesCDN!$C18</f>
        <v>Kamloops, British Columbia</v>
      </c>
    </row>
    <row r="19" ht="14.25" customHeight="1">
      <c r="A19" s="2">
        <v>18.0</v>
      </c>
      <c r="B19" s="28" t="s">
        <v>6792</v>
      </c>
      <c r="C19" s="8" t="s">
        <v>6786</v>
      </c>
      <c r="D19" s="29">
        <v>76708.0</v>
      </c>
      <c r="E19" s="7">
        <v>16.5</v>
      </c>
      <c r="F19" s="30">
        <v>56.0</v>
      </c>
      <c r="G19" s="2" t="s">
        <v>6787</v>
      </c>
      <c r="H19" s="2" t="str">
        <f>PlacesCDN!$B19&amp;", "&amp;PlacesCDN!$C19</f>
        <v>Prince George, British Columbia</v>
      </c>
    </row>
    <row r="20" ht="14.25" customHeight="1">
      <c r="A20" s="2">
        <v>19.0</v>
      </c>
      <c r="B20" s="28" t="s">
        <v>6793</v>
      </c>
      <c r="C20" s="8" t="s">
        <v>6786</v>
      </c>
      <c r="D20" s="29">
        <v>99863.0</v>
      </c>
      <c r="E20" s="7">
        <v>17.9</v>
      </c>
      <c r="F20" s="30">
        <v>24.0</v>
      </c>
      <c r="G20" s="2" t="s">
        <v>6787</v>
      </c>
      <c r="H20" s="2" t="str">
        <f>PlacesCDN!$B20&amp;", "&amp;PlacesCDN!$C20</f>
        <v>Nanaimo, British Columbia</v>
      </c>
    </row>
    <row r="21" ht="14.25" customHeight="1">
      <c r="A21" s="2">
        <v>20.0</v>
      </c>
      <c r="B21" s="28" t="s">
        <v>6794</v>
      </c>
      <c r="C21" s="8" t="s">
        <v>6786</v>
      </c>
      <c r="D21" s="29">
        <v>2516.0</v>
      </c>
      <c r="E21" s="7">
        <v>14.9</v>
      </c>
      <c r="F21" s="30">
        <v>114.0</v>
      </c>
      <c r="G21" s="2" t="s">
        <v>6787</v>
      </c>
      <c r="H21" s="2" t="str">
        <f>PlacesCDN!$B21&amp;", "&amp;PlacesCDN!$C21</f>
        <v>Tofino, British Columbia</v>
      </c>
    </row>
    <row r="22" ht="14.25" customHeight="1">
      <c r="A22" s="2">
        <v>21.0</v>
      </c>
      <c r="B22" s="28" t="s">
        <v>6795</v>
      </c>
      <c r="C22" s="8" t="s">
        <v>6786</v>
      </c>
      <c r="D22" s="29">
        <v>209937.0</v>
      </c>
      <c r="E22" s="7">
        <v>18.0</v>
      </c>
      <c r="F22" s="30">
        <v>31.0</v>
      </c>
      <c r="G22" s="2" t="s">
        <v>6787</v>
      </c>
      <c r="H22" s="2" t="str">
        <f>PlacesCDN!$B22&amp;", "&amp;PlacesCDN!$C22</f>
        <v>Richmond, British Columbia</v>
      </c>
    </row>
    <row r="23" ht="14.25" customHeight="1">
      <c r="A23" s="2">
        <v>22.0</v>
      </c>
      <c r="B23" s="28" t="s">
        <v>6796</v>
      </c>
      <c r="C23" s="8" t="s">
        <v>6786</v>
      </c>
      <c r="D23" s="29">
        <v>249125.0</v>
      </c>
      <c r="E23" s="7">
        <v>17.8</v>
      </c>
      <c r="F23" s="30">
        <v>33.0</v>
      </c>
      <c r="G23" s="2" t="s">
        <v>6787</v>
      </c>
      <c r="H23" s="2" t="str">
        <f>PlacesCDN!$B23&amp;", "&amp;PlacesCDN!$C23</f>
        <v>Burnaby, British Columbia</v>
      </c>
    </row>
    <row r="24" ht="14.25" customHeight="1">
      <c r="A24" s="2">
        <v>23.0</v>
      </c>
      <c r="B24" s="28" t="s">
        <v>6797</v>
      </c>
      <c r="C24" s="8" t="s">
        <v>6786</v>
      </c>
      <c r="D24" s="29">
        <v>568322.0</v>
      </c>
      <c r="E24" s="7">
        <v>17.9</v>
      </c>
      <c r="F24" s="30">
        <v>32.0</v>
      </c>
      <c r="G24" s="2" t="s">
        <v>6787</v>
      </c>
      <c r="H24" s="2" t="str">
        <f>PlacesCDN!$B24&amp;", "&amp;PlacesCDN!$C24</f>
        <v>Surrey, British Columbia</v>
      </c>
    </row>
    <row r="25" ht="14.25" customHeight="1">
      <c r="A25" s="2">
        <v>24.0</v>
      </c>
      <c r="B25" s="28" t="s">
        <v>6798</v>
      </c>
      <c r="C25" s="8" t="s">
        <v>6786</v>
      </c>
      <c r="D25" s="29">
        <v>93203.0</v>
      </c>
      <c r="E25" s="7">
        <v>18.2</v>
      </c>
      <c r="F25" s="30">
        <v>45.0</v>
      </c>
      <c r="G25" s="2" t="s">
        <v>6787</v>
      </c>
      <c r="H25" s="2" t="str">
        <f>PlacesCDN!$B25&amp;", "&amp;PlacesCDN!$C25</f>
        <v>Chilliwack, British Columbia</v>
      </c>
    </row>
    <row r="26" ht="14.25" customHeight="1">
      <c r="A26" s="2">
        <v>25.0</v>
      </c>
      <c r="B26" s="28" t="s">
        <v>6799</v>
      </c>
      <c r="C26" s="8" t="s">
        <v>6786</v>
      </c>
      <c r="D26" s="29">
        <v>23819.0</v>
      </c>
      <c r="E26" s="7">
        <v>17.7</v>
      </c>
      <c r="F26" s="30">
        <v>56.0</v>
      </c>
      <c r="G26" s="2" t="s">
        <v>6787</v>
      </c>
      <c r="H26" s="2" t="str">
        <f>PlacesCDN!$B26&amp;", "&amp;PlacesCDN!$C26</f>
        <v>Squamish, British Columbia</v>
      </c>
    </row>
    <row r="27" ht="14.25" customHeight="1">
      <c r="A27" s="2">
        <v>26.0</v>
      </c>
      <c r="B27" s="28" t="s">
        <v>6800</v>
      </c>
      <c r="C27" s="8" t="s">
        <v>6801</v>
      </c>
      <c r="D27" s="29">
        <v>749607.0</v>
      </c>
      <c r="E27" s="7">
        <v>19.7</v>
      </c>
      <c r="F27" s="30">
        <v>66.0</v>
      </c>
      <c r="G27" s="2" t="s">
        <v>6802</v>
      </c>
      <c r="H27" s="2" t="str">
        <f>PlacesCDN!$B27&amp;", "&amp;PlacesCDN!$C27</f>
        <v>Winnipeg, Manitoba</v>
      </c>
    </row>
    <row r="28" ht="14.25" customHeight="1">
      <c r="A28" s="2">
        <v>27.0</v>
      </c>
      <c r="B28" s="28" t="s">
        <v>6803</v>
      </c>
      <c r="C28" s="8" t="s">
        <v>6801</v>
      </c>
      <c r="D28" s="29">
        <v>51313.0</v>
      </c>
      <c r="E28" s="7">
        <v>19.0</v>
      </c>
      <c r="F28" s="30">
        <v>66.0</v>
      </c>
      <c r="G28" s="2" t="s">
        <v>6802</v>
      </c>
      <c r="H28" s="2" t="str">
        <f>PlacesCDN!$B28&amp;", "&amp;PlacesCDN!$C28</f>
        <v>Brandon, Manitoba</v>
      </c>
    </row>
    <row r="29" ht="14.25" customHeight="1">
      <c r="A29" s="2">
        <v>28.0</v>
      </c>
      <c r="B29" s="28" t="s">
        <v>6804</v>
      </c>
      <c r="C29" s="8" t="s">
        <v>6801</v>
      </c>
      <c r="D29" s="7">
        <v>870.0</v>
      </c>
      <c r="E29" s="7">
        <v>12.7</v>
      </c>
      <c r="F29" s="30">
        <v>46.0</v>
      </c>
      <c r="G29" s="2" t="s">
        <v>6802</v>
      </c>
      <c r="H29" s="2" t="str">
        <f>PlacesCDN!$B29&amp;", "&amp;PlacesCDN!$C29</f>
        <v>Churchill, Manitoba</v>
      </c>
    </row>
    <row r="30" ht="14.25" customHeight="1">
      <c r="A30" s="2">
        <v>29.0</v>
      </c>
      <c r="B30" s="28" t="s">
        <v>6805</v>
      </c>
      <c r="C30" s="8" t="s">
        <v>6801</v>
      </c>
      <c r="D30" s="29">
        <v>4940.0</v>
      </c>
      <c r="E30" s="7">
        <v>17.6</v>
      </c>
      <c r="F30" s="30">
        <v>68.0</v>
      </c>
      <c r="G30" s="2" t="s">
        <v>6802</v>
      </c>
      <c r="H30" s="2" t="str">
        <f>PlacesCDN!$B30&amp;", "&amp;PlacesCDN!$C30</f>
        <v>Flin Flon, Manitoba</v>
      </c>
    </row>
    <row r="31" ht="14.25" customHeight="1">
      <c r="A31" s="2">
        <v>30.0</v>
      </c>
      <c r="B31" s="28" t="s">
        <v>92</v>
      </c>
      <c r="C31" s="8" t="s">
        <v>6801</v>
      </c>
      <c r="D31" s="29">
        <v>13035.0</v>
      </c>
      <c r="E31" s="7">
        <v>15.9</v>
      </c>
      <c r="F31" s="30">
        <v>63.0</v>
      </c>
      <c r="G31" s="2" t="s">
        <v>6802</v>
      </c>
      <c r="H31" s="2" t="str">
        <f>PlacesCDN!$B31&amp;", "&amp;PlacesCDN!$C31</f>
        <v>Thompson, Manitoba</v>
      </c>
    </row>
    <row r="32" ht="14.25" customHeight="1">
      <c r="A32" s="2">
        <v>31.0</v>
      </c>
      <c r="B32" s="28" t="s">
        <v>6806</v>
      </c>
      <c r="C32" s="8" t="s">
        <v>6801</v>
      </c>
      <c r="D32" s="29">
        <v>17806.0</v>
      </c>
      <c r="E32" s="7">
        <v>19.2</v>
      </c>
      <c r="F32" s="30">
        <v>75.0</v>
      </c>
      <c r="G32" s="2" t="s">
        <v>6802</v>
      </c>
      <c r="H32" s="2" t="str">
        <f>PlacesCDN!$B32&amp;", "&amp;PlacesCDN!$C32</f>
        <v>Steinbach, Manitoba</v>
      </c>
    </row>
    <row r="33" ht="14.25" customHeight="1">
      <c r="A33" s="2">
        <v>32.0</v>
      </c>
      <c r="B33" s="28" t="s">
        <v>6807</v>
      </c>
      <c r="C33" s="8" t="s">
        <v>6801</v>
      </c>
      <c r="D33" s="29">
        <v>13745.0</v>
      </c>
      <c r="E33" s="7">
        <v>19.6</v>
      </c>
      <c r="F33" s="30">
        <v>72.0</v>
      </c>
      <c r="G33" s="2" t="s">
        <v>6802</v>
      </c>
      <c r="H33" s="2" t="str">
        <f>PlacesCDN!$B33&amp;", "&amp;PlacesCDN!$C33</f>
        <v>Winkler, Manitoba</v>
      </c>
    </row>
    <row r="34" ht="14.25" customHeight="1">
      <c r="A34" s="2">
        <v>33.0</v>
      </c>
      <c r="B34" s="28" t="s">
        <v>6808</v>
      </c>
      <c r="C34" s="8" t="s">
        <v>6801</v>
      </c>
      <c r="D34" s="29">
        <v>1306.0</v>
      </c>
      <c r="E34" s="7">
        <v>19.5</v>
      </c>
      <c r="F34" s="30">
        <v>78.0</v>
      </c>
      <c r="G34" s="2" t="s">
        <v>6802</v>
      </c>
      <c r="H34" s="2" t="str">
        <f>PlacesCDN!$B34&amp;", "&amp;PlacesCDN!$C34</f>
        <v>St. Pierre-Jolys, Manitoba</v>
      </c>
    </row>
    <row r="35" ht="14.25" customHeight="1">
      <c r="A35" s="2">
        <v>34.0</v>
      </c>
      <c r="B35" s="28" t="s">
        <v>6809</v>
      </c>
      <c r="C35" s="8" t="s">
        <v>6810</v>
      </c>
      <c r="D35" s="29">
        <v>63116.0</v>
      </c>
      <c r="E35" s="7">
        <v>19.3</v>
      </c>
      <c r="F35" s="30">
        <v>98.0</v>
      </c>
      <c r="G35" s="2" t="s">
        <v>6811</v>
      </c>
      <c r="H35" s="2" t="str">
        <f>PlacesCDN!$B35&amp;", "&amp;PlacesCDN!$C35</f>
        <v>Fredericton, New Brunswick</v>
      </c>
    </row>
    <row r="36" ht="14.25" customHeight="1">
      <c r="A36" s="2">
        <v>35.0</v>
      </c>
      <c r="B36" s="28" t="s">
        <v>6812</v>
      </c>
      <c r="C36" s="8" t="s">
        <v>6810</v>
      </c>
      <c r="D36" s="29">
        <v>79470.0</v>
      </c>
      <c r="E36" s="7">
        <v>19.1</v>
      </c>
      <c r="F36" s="30">
        <v>103.0</v>
      </c>
      <c r="G36" s="2" t="s">
        <v>6811</v>
      </c>
      <c r="H36" s="2" t="str">
        <f>PlacesCDN!$B36&amp;", "&amp;PlacesCDN!$C36</f>
        <v>Moncton, New Brunswick</v>
      </c>
    </row>
    <row r="37" ht="14.25" customHeight="1">
      <c r="A37" s="2">
        <v>36.0</v>
      </c>
      <c r="B37" s="28" t="s">
        <v>6813</v>
      </c>
      <c r="C37" s="8" t="s">
        <v>6810</v>
      </c>
      <c r="D37" s="29">
        <v>71941.0</v>
      </c>
      <c r="E37" s="7">
        <v>17.3</v>
      </c>
      <c r="F37" s="30">
        <v>113.0</v>
      </c>
      <c r="G37" s="2" t="s">
        <v>6811</v>
      </c>
      <c r="H37" s="2" t="str">
        <f>PlacesCDN!$B37&amp;", "&amp;PlacesCDN!$C37</f>
        <v>Saint John, New Brunswick</v>
      </c>
    </row>
    <row r="38" ht="14.25" customHeight="1">
      <c r="A38" s="2">
        <v>37.0</v>
      </c>
      <c r="B38" s="28" t="s">
        <v>6814</v>
      </c>
      <c r="C38" s="8" t="s">
        <v>6810</v>
      </c>
      <c r="D38" s="29">
        <v>17692.0</v>
      </c>
      <c r="E38" s="7">
        <v>19.0</v>
      </c>
      <c r="F38" s="30">
        <v>95.0</v>
      </c>
      <c r="G38" s="2" t="s">
        <v>6811</v>
      </c>
      <c r="H38" s="2" t="str">
        <f>PlacesCDN!$B38&amp;", "&amp;PlacesCDN!$C38</f>
        <v>Miramichi, New Brunswick</v>
      </c>
    </row>
    <row r="39" ht="14.25" customHeight="1">
      <c r="A39" s="2">
        <v>38.0</v>
      </c>
      <c r="B39" s="28" t="s">
        <v>6815</v>
      </c>
      <c r="C39" s="8" t="s">
        <v>6816</v>
      </c>
      <c r="D39" s="29">
        <v>110525.0</v>
      </c>
      <c r="E39" s="7">
        <v>16.1</v>
      </c>
      <c r="F39" s="30">
        <v>125.0</v>
      </c>
      <c r="G39" s="2" t="s">
        <v>6817</v>
      </c>
      <c r="H39" s="2" t="str">
        <f>PlacesCDN!$B39&amp;", "&amp;PlacesCDN!$C39</f>
        <v>St. John's, Newfoundland and Labrador</v>
      </c>
    </row>
    <row r="40" ht="14.25" customHeight="1">
      <c r="A40" s="2">
        <v>39.0</v>
      </c>
      <c r="B40" s="28" t="s">
        <v>6818</v>
      </c>
      <c r="C40" s="8" t="s">
        <v>6816</v>
      </c>
      <c r="D40" s="29">
        <v>11880.0</v>
      </c>
      <c r="E40" s="7">
        <v>16.5</v>
      </c>
      <c r="F40" s="30">
        <v>100.0</v>
      </c>
      <c r="G40" s="2" t="s">
        <v>6817</v>
      </c>
      <c r="H40" s="2" t="str">
        <f>PlacesCDN!$B40&amp;", "&amp;PlacesCDN!$C40</f>
        <v>Gander, Newfoundland and Labrador</v>
      </c>
    </row>
    <row r="41" ht="14.25" customHeight="1">
      <c r="A41" s="2">
        <v>40.0</v>
      </c>
      <c r="B41" s="28" t="s">
        <v>6819</v>
      </c>
      <c r="C41" s="8" t="s">
        <v>6816</v>
      </c>
      <c r="D41" s="29">
        <v>19333.0</v>
      </c>
      <c r="E41" s="7">
        <v>16.9</v>
      </c>
      <c r="F41" s="30">
        <v>95.0</v>
      </c>
      <c r="G41" s="2" t="s">
        <v>6817</v>
      </c>
      <c r="H41" s="2" t="str">
        <f>PlacesCDN!$B41&amp;", "&amp;PlacesCDN!$C41</f>
        <v>Corner Brook, Newfoundland and Labrador</v>
      </c>
    </row>
    <row r="42" ht="14.25" customHeight="1">
      <c r="A42" s="2">
        <v>41.0</v>
      </c>
      <c r="B42" s="28" t="s">
        <v>6820</v>
      </c>
      <c r="C42" s="8" t="s">
        <v>6821</v>
      </c>
      <c r="D42" s="29">
        <v>20340.0</v>
      </c>
      <c r="E42" s="7">
        <v>17.0</v>
      </c>
      <c r="F42" s="30">
        <v>24.0</v>
      </c>
      <c r="G42" s="2" t="s">
        <v>6822</v>
      </c>
      <c r="H42" s="2" t="str">
        <f>PlacesCDN!$B42&amp;", "&amp;PlacesCDN!$C42</f>
        <v>Yellowknife, Northwest Territories</v>
      </c>
    </row>
    <row r="43" ht="14.25" customHeight="1">
      <c r="A43" s="2">
        <v>42.0</v>
      </c>
      <c r="B43" s="28" t="s">
        <v>6823</v>
      </c>
      <c r="C43" s="8" t="s">
        <v>6821</v>
      </c>
      <c r="D43" s="29">
        <v>3137.0</v>
      </c>
      <c r="E43" s="7">
        <v>14.2</v>
      </c>
      <c r="F43" s="30">
        <v>23.0</v>
      </c>
      <c r="G43" s="2" t="s">
        <v>6822</v>
      </c>
      <c r="H43" s="2" t="str">
        <f>PlacesCDN!$B43&amp;", "&amp;PlacesCDN!$C43</f>
        <v>Inuvik, Northwest Territories</v>
      </c>
    </row>
    <row r="44" ht="14.25" customHeight="1">
      <c r="A44" s="2">
        <v>43.0</v>
      </c>
      <c r="B44" s="28" t="s">
        <v>6824</v>
      </c>
      <c r="C44" s="8" t="s">
        <v>6821</v>
      </c>
      <c r="D44" s="29">
        <v>3169.0</v>
      </c>
      <c r="E44" s="7">
        <v>17.0</v>
      </c>
      <c r="F44" s="30">
        <v>38.0</v>
      </c>
      <c r="G44" s="2" t="s">
        <v>6822</v>
      </c>
      <c r="H44" s="2" t="str">
        <f>PlacesCDN!$B44&amp;", "&amp;PlacesCDN!$C44</f>
        <v>Hay River, Northwest Territories</v>
      </c>
    </row>
    <row r="45" ht="14.25" customHeight="1">
      <c r="A45" s="2">
        <v>44.0</v>
      </c>
      <c r="B45" s="28" t="s">
        <v>6825</v>
      </c>
      <c r="C45" s="8" t="s">
        <v>6821</v>
      </c>
      <c r="D45" s="29">
        <v>2248.0</v>
      </c>
      <c r="E45" s="7">
        <v>17.0</v>
      </c>
      <c r="F45" s="30">
        <v>44.0</v>
      </c>
      <c r="G45" s="2" t="s">
        <v>6822</v>
      </c>
      <c r="H45" s="2" t="str">
        <f>PlacesCDN!$B45&amp;", "&amp;PlacesCDN!$C45</f>
        <v>Fort Smith, Northwest Territories</v>
      </c>
    </row>
    <row r="46" ht="14.25" customHeight="1">
      <c r="A46" s="2">
        <v>45.0</v>
      </c>
      <c r="B46" s="28" t="s">
        <v>6826</v>
      </c>
      <c r="C46" s="8" t="s">
        <v>6821</v>
      </c>
      <c r="D46" s="29">
        <v>1232.0</v>
      </c>
      <c r="E46" s="7">
        <v>17.2</v>
      </c>
      <c r="F46" s="30">
        <v>47.0</v>
      </c>
      <c r="G46" s="2" t="s">
        <v>6822</v>
      </c>
      <c r="H46" s="2" t="str">
        <f>PlacesCDN!$B46&amp;", "&amp;PlacesCDN!$C46</f>
        <v>Fort Simpson, Northwest Territories</v>
      </c>
    </row>
    <row r="47" ht="14.25" customHeight="1">
      <c r="A47" s="2">
        <v>46.0</v>
      </c>
      <c r="B47" s="28" t="s">
        <v>6827</v>
      </c>
      <c r="C47" s="8" t="s">
        <v>6821</v>
      </c>
      <c r="D47" s="7">
        <v>673.0</v>
      </c>
      <c r="E47" s="7">
        <v>15.8</v>
      </c>
      <c r="F47" s="30">
        <v>33.0</v>
      </c>
      <c r="G47" s="2" t="s">
        <v>6822</v>
      </c>
      <c r="H47" s="2" t="str">
        <f>PlacesCDN!$B47&amp;", "&amp;PlacesCDN!$C47</f>
        <v>Norman Wells, Northwest Territories</v>
      </c>
    </row>
    <row r="48" ht="14.25" customHeight="1">
      <c r="A48" s="2">
        <v>47.0</v>
      </c>
      <c r="B48" s="28" t="s">
        <v>6828</v>
      </c>
      <c r="C48" s="8" t="s">
        <v>6829</v>
      </c>
      <c r="D48" s="29">
        <v>439819.0</v>
      </c>
      <c r="E48" s="7">
        <v>18.9</v>
      </c>
      <c r="F48" s="30">
        <v>118.0</v>
      </c>
      <c r="G48" s="2" t="s">
        <v>6830</v>
      </c>
      <c r="H48" s="2" t="str">
        <f>PlacesCDN!$B48&amp;", "&amp;PlacesCDN!$C48</f>
        <v>Halifax, Nova Scotia</v>
      </c>
    </row>
    <row r="49" ht="14.25" customHeight="1">
      <c r="A49" s="2">
        <v>48.0</v>
      </c>
      <c r="B49" s="28" t="s">
        <v>6831</v>
      </c>
      <c r="C49" s="8" t="s">
        <v>6829</v>
      </c>
      <c r="D49" s="29">
        <v>2396.0</v>
      </c>
      <c r="E49" s="7">
        <v>18.5</v>
      </c>
      <c r="F49" s="30">
        <v>120.0</v>
      </c>
      <c r="G49" s="2" t="s">
        <v>6830</v>
      </c>
      <c r="H49" s="2" t="str">
        <f>PlacesCDN!$B49&amp;", "&amp;PlacesCDN!$C49</f>
        <v>Lunenburg, Nova Scotia</v>
      </c>
    </row>
    <row r="50" ht="14.25" customHeight="1">
      <c r="A50" s="2">
        <v>49.0</v>
      </c>
      <c r="B50" s="28" t="s">
        <v>6832</v>
      </c>
      <c r="C50" s="8" t="s">
        <v>6829</v>
      </c>
      <c r="D50" s="29">
        <v>30960.0</v>
      </c>
      <c r="E50" s="7">
        <v>18.4</v>
      </c>
      <c r="F50" s="30">
        <v>120.0</v>
      </c>
      <c r="G50" s="2" t="s">
        <v>6830</v>
      </c>
      <c r="H50" s="2" t="str">
        <f>PlacesCDN!$B50&amp;", "&amp;PlacesCDN!$C50</f>
        <v>Sydney, Nova Scotia</v>
      </c>
    </row>
    <row r="51" ht="14.25" customHeight="1">
      <c r="A51" s="2">
        <v>50.0</v>
      </c>
      <c r="B51" s="28" t="s">
        <v>6833</v>
      </c>
      <c r="C51" s="8" t="s">
        <v>6829</v>
      </c>
      <c r="D51" s="7">
        <v>35.0</v>
      </c>
      <c r="E51" s="7">
        <v>18.1</v>
      </c>
      <c r="F51" s="30">
        <v>119.0</v>
      </c>
      <c r="G51" s="2" t="s">
        <v>6830</v>
      </c>
      <c r="H51" s="2" t="str">
        <f>PlacesCDN!$B51&amp;", "&amp;PlacesCDN!$C51</f>
        <v>Peggy's Cove, Nova Scotia</v>
      </c>
    </row>
    <row r="52" ht="14.25" customHeight="1">
      <c r="A52" s="2">
        <v>51.0</v>
      </c>
      <c r="B52" s="28" t="s">
        <v>6834</v>
      </c>
      <c r="C52" s="8" t="s">
        <v>6829</v>
      </c>
      <c r="D52" s="29">
        <v>12954.0</v>
      </c>
      <c r="E52" s="7">
        <v>18.8</v>
      </c>
      <c r="F52" s="30">
        <v>105.0</v>
      </c>
      <c r="G52" s="2" t="s">
        <v>6830</v>
      </c>
      <c r="H52" s="2" t="str">
        <f>PlacesCDN!$B52&amp;", "&amp;PlacesCDN!$C52</f>
        <v>Truro, Nova Scotia</v>
      </c>
    </row>
    <row r="53" ht="14.25" customHeight="1">
      <c r="A53" s="2">
        <v>52.0</v>
      </c>
      <c r="B53" s="28" t="s">
        <v>6835</v>
      </c>
      <c r="C53" s="8" t="s">
        <v>6836</v>
      </c>
      <c r="D53" s="29">
        <v>7429.0</v>
      </c>
      <c r="E53" s="7">
        <v>8.2</v>
      </c>
      <c r="F53" s="30">
        <v>28.0</v>
      </c>
      <c r="G53" s="2" t="s">
        <v>6837</v>
      </c>
      <c r="H53" s="2" t="str">
        <f>PlacesCDN!$B53&amp;", "&amp;PlacesCDN!$C53</f>
        <v>Iqaluit, Nunavut</v>
      </c>
    </row>
    <row r="54" ht="14.25" customHeight="1">
      <c r="A54" s="2">
        <v>53.0</v>
      </c>
      <c r="B54" s="28" t="s">
        <v>6838</v>
      </c>
      <c r="C54" s="8" t="s">
        <v>6836</v>
      </c>
      <c r="D54" s="29">
        <v>2975.0</v>
      </c>
      <c r="E54" s="7">
        <v>10.5</v>
      </c>
      <c r="F54" s="30">
        <v>37.0</v>
      </c>
      <c r="G54" s="2" t="s">
        <v>6837</v>
      </c>
      <c r="H54" s="2" t="str">
        <f>PlacesCDN!$B54&amp;", "&amp;PlacesCDN!$C54</f>
        <v>Rankin Inlet, Nunavut</v>
      </c>
    </row>
    <row r="55" ht="14.25" customHeight="1">
      <c r="A55" s="2">
        <v>54.0</v>
      </c>
      <c r="B55" s="28" t="s">
        <v>6839</v>
      </c>
      <c r="C55" s="8" t="s">
        <v>6836</v>
      </c>
      <c r="D55" s="29">
        <v>1762.0</v>
      </c>
      <c r="E55" s="7">
        <v>9.0</v>
      </c>
      <c r="F55" s="30">
        <v>20.0</v>
      </c>
      <c r="G55" s="2" t="s">
        <v>6837</v>
      </c>
      <c r="H55" s="2" t="str">
        <f>PlacesCDN!$B55&amp;", "&amp;PlacesCDN!$C55</f>
        <v>Cambridge Bay, Nunavut</v>
      </c>
    </row>
    <row r="56" ht="14.25" customHeight="1">
      <c r="A56" s="2">
        <v>55.0</v>
      </c>
      <c r="B56" s="28" t="s">
        <v>6840</v>
      </c>
      <c r="C56" s="8" t="s">
        <v>6836</v>
      </c>
      <c r="D56" s="29">
        <v>2061.0</v>
      </c>
      <c r="E56" s="7">
        <v>11.4</v>
      </c>
      <c r="F56" s="30">
        <v>36.0</v>
      </c>
      <c r="G56" s="2" t="s">
        <v>6837</v>
      </c>
      <c r="H56" s="2" t="str">
        <f>PlacesCDN!$B56&amp;", "&amp;PlacesCDN!$C56</f>
        <v>Baker Lake, Nunavut</v>
      </c>
    </row>
    <row r="57" ht="14.25" customHeight="1">
      <c r="A57" s="2">
        <v>56.0</v>
      </c>
      <c r="B57" s="28" t="s">
        <v>6841</v>
      </c>
      <c r="C57" s="8" t="s">
        <v>6836</v>
      </c>
      <c r="D57" s="29">
        <v>1396.0</v>
      </c>
      <c r="E57" s="7">
        <v>6.8</v>
      </c>
      <c r="F57" s="30">
        <v>34.0</v>
      </c>
      <c r="G57" s="2" t="s">
        <v>6837</v>
      </c>
      <c r="H57" s="2" t="str">
        <f>PlacesCDN!$B57&amp;", "&amp;PlacesCDN!$C57</f>
        <v>Cape Dorset, Nunavut</v>
      </c>
    </row>
    <row r="58" ht="14.25" customHeight="1">
      <c r="A58" s="2">
        <v>57.0</v>
      </c>
      <c r="B58" s="28" t="s">
        <v>6842</v>
      </c>
      <c r="C58" s="8" t="s">
        <v>6836</v>
      </c>
      <c r="D58" s="29">
        <v>2864.0</v>
      </c>
      <c r="E58" s="7">
        <v>10.9</v>
      </c>
      <c r="F58" s="30">
        <v>36.0</v>
      </c>
      <c r="G58" s="2" t="s">
        <v>6837</v>
      </c>
      <c r="H58" s="2" t="str">
        <f>PlacesCDN!$B58&amp;", "&amp;PlacesCDN!$C58</f>
        <v>Arviat, Nunavut</v>
      </c>
    </row>
    <row r="59" ht="14.25" customHeight="1">
      <c r="A59" s="2">
        <v>58.0</v>
      </c>
      <c r="B59" s="28" t="s">
        <v>6843</v>
      </c>
      <c r="C59" s="8" t="s">
        <v>6836</v>
      </c>
      <c r="D59" s="29">
        <v>1555.0</v>
      </c>
      <c r="E59" s="7">
        <v>5.0</v>
      </c>
      <c r="F59" s="30">
        <v>22.0</v>
      </c>
      <c r="G59" s="2" t="s">
        <v>6837</v>
      </c>
      <c r="H59" s="2" t="str">
        <f>PlacesCDN!$B59&amp;", "&amp;PlacesCDN!$C59</f>
        <v>Pond Inlet, Nunavut</v>
      </c>
    </row>
    <row r="60" ht="14.25" customHeight="1">
      <c r="A60" s="2">
        <v>59.0</v>
      </c>
      <c r="B60" s="28" t="s">
        <v>6844</v>
      </c>
      <c r="C60" s="8" t="s">
        <v>6845</v>
      </c>
      <c r="D60" s="29">
        <v>1017449.0</v>
      </c>
      <c r="E60" s="7">
        <v>21.0</v>
      </c>
      <c r="F60" s="30">
        <v>79.0</v>
      </c>
      <c r="G60" s="2" t="s">
        <v>6846</v>
      </c>
      <c r="H60" s="2" t="str">
        <f>PlacesCDN!$B60&amp;", "&amp;PlacesCDN!$C60</f>
        <v>Ottawa, Ontario</v>
      </c>
    </row>
    <row r="61" ht="14.25" customHeight="1">
      <c r="A61" s="2">
        <v>60.0</v>
      </c>
      <c r="B61" s="28" t="s">
        <v>6847</v>
      </c>
      <c r="C61" s="8" t="s">
        <v>6845</v>
      </c>
      <c r="D61" s="29">
        <v>2794356.0</v>
      </c>
      <c r="E61" s="7">
        <v>22.3</v>
      </c>
      <c r="F61" s="30">
        <v>64.0</v>
      </c>
      <c r="G61" s="2" t="s">
        <v>6846</v>
      </c>
      <c r="H61" s="2" t="str">
        <f>PlacesCDN!$B61&amp;", "&amp;PlacesCDN!$C61</f>
        <v>Toronto, Ontario</v>
      </c>
    </row>
    <row r="62" ht="14.25" customHeight="1">
      <c r="A62" s="2">
        <v>61.0</v>
      </c>
      <c r="B62" s="28" t="s">
        <v>6848</v>
      </c>
      <c r="C62" s="8" t="s">
        <v>6845</v>
      </c>
      <c r="D62" s="29">
        <v>717961.0</v>
      </c>
      <c r="E62" s="7">
        <v>21.9</v>
      </c>
      <c r="F62" s="30">
        <v>64.0</v>
      </c>
      <c r="G62" s="2" t="s">
        <v>6846</v>
      </c>
      <c r="H62" s="2" t="str">
        <f>PlacesCDN!$B62&amp;", "&amp;PlacesCDN!$C62</f>
        <v>Mississauga, Ontario</v>
      </c>
    </row>
    <row r="63" ht="14.25" customHeight="1">
      <c r="A63" s="2">
        <v>62.0</v>
      </c>
      <c r="B63" s="28" t="s">
        <v>6849</v>
      </c>
      <c r="C63" s="8" t="s">
        <v>6845</v>
      </c>
      <c r="D63" s="29">
        <v>656480.0</v>
      </c>
      <c r="E63" s="7">
        <v>21.5</v>
      </c>
      <c r="F63" s="30">
        <v>70.0</v>
      </c>
      <c r="G63" s="2" t="s">
        <v>6846</v>
      </c>
      <c r="H63" s="2" t="str">
        <f>PlacesCDN!$B63&amp;", "&amp;PlacesCDN!$C63</f>
        <v>Brampton, Ontario</v>
      </c>
    </row>
    <row r="64" ht="14.25" customHeight="1">
      <c r="A64" s="2">
        <v>63.0</v>
      </c>
      <c r="B64" s="28" t="s">
        <v>6850</v>
      </c>
      <c r="C64" s="8" t="s">
        <v>6845</v>
      </c>
      <c r="D64" s="29">
        <v>569353.0</v>
      </c>
      <c r="E64" s="7">
        <v>21.9</v>
      </c>
      <c r="F64" s="30">
        <v>71.0</v>
      </c>
      <c r="G64" s="2" t="s">
        <v>6846</v>
      </c>
      <c r="H64" s="2" t="str">
        <f>PlacesCDN!$B64&amp;", "&amp;PlacesCDN!$C64</f>
        <v>Hamilton, Ontario</v>
      </c>
    </row>
    <row r="65" ht="14.25" customHeight="1">
      <c r="A65" s="2">
        <v>64.0</v>
      </c>
      <c r="B65" s="28" t="s">
        <v>6851</v>
      </c>
      <c r="C65" s="8" t="s">
        <v>6845</v>
      </c>
      <c r="D65" s="29">
        <v>94415.0</v>
      </c>
      <c r="E65" s="7">
        <v>22.1</v>
      </c>
      <c r="F65" s="30">
        <v>67.0</v>
      </c>
      <c r="G65" s="2" t="s">
        <v>6846</v>
      </c>
      <c r="H65" s="2" t="str">
        <f>PlacesCDN!$B65&amp;", "&amp;PlacesCDN!$C65</f>
        <v>Niagara Falls, Ontario</v>
      </c>
    </row>
    <row r="66" ht="14.25" customHeight="1">
      <c r="A66" s="2">
        <v>65.0</v>
      </c>
      <c r="B66" s="28" t="s">
        <v>6852</v>
      </c>
      <c r="C66" s="8" t="s">
        <v>6845</v>
      </c>
      <c r="D66" s="29">
        <v>422324.0</v>
      </c>
      <c r="E66" s="7">
        <v>20.8</v>
      </c>
      <c r="F66" s="30">
        <v>78.0</v>
      </c>
      <c r="G66" s="2" t="s">
        <v>6846</v>
      </c>
      <c r="H66" s="2" t="str">
        <f>PlacesCDN!$B66&amp;", "&amp;PlacesCDN!$C66</f>
        <v>London, Ontario</v>
      </c>
    </row>
    <row r="67" ht="14.25" customHeight="1">
      <c r="A67" s="2">
        <v>66.0</v>
      </c>
      <c r="B67" s="28" t="s">
        <v>6853</v>
      </c>
      <c r="C67" s="8" t="s">
        <v>6845</v>
      </c>
      <c r="D67" s="29">
        <v>132485.0</v>
      </c>
      <c r="E67" s="7">
        <v>20.8</v>
      </c>
      <c r="F67" s="30">
        <v>70.0</v>
      </c>
      <c r="G67" s="2" t="s">
        <v>6846</v>
      </c>
      <c r="H67" s="2" t="str">
        <f>PlacesCDN!$B67&amp;", "&amp;PlacesCDN!$C67</f>
        <v>Kingston, Ontario</v>
      </c>
    </row>
    <row r="68" ht="14.25" customHeight="1">
      <c r="A68" s="2">
        <v>67.0</v>
      </c>
      <c r="B68" s="28" t="s">
        <v>6854</v>
      </c>
      <c r="C68" s="8" t="s">
        <v>6845</v>
      </c>
      <c r="D68" s="29">
        <v>229660.0</v>
      </c>
      <c r="E68" s="7">
        <v>23.0</v>
      </c>
      <c r="F68" s="30">
        <v>82.0</v>
      </c>
      <c r="G68" s="2" t="s">
        <v>6846</v>
      </c>
      <c r="H68" s="2" t="str">
        <f>PlacesCDN!$B68&amp;", "&amp;PlacesCDN!$C68</f>
        <v>Windsor, Ontario</v>
      </c>
    </row>
    <row r="69" ht="14.25" customHeight="1">
      <c r="A69" s="2">
        <v>68.0</v>
      </c>
      <c r="B69" s="28" t="s">
        <v>6855</v>
      </c>
      <c r="C69" s="8" t="s">
        <v>6845</v>
      </c>
      <c r="D69" s="29">
        <v>166004.0</v>
      </c>
      <c r="E69" s="7">
        <v>19.3</v>
      </c>
      <c r="F69" s="30">
        <v>77.0</v>
      </c>
      <c r="G69" s="2" t="s">
        <v>6846</v>
      </c>
      <c r="H69" s="2" t="str">
        <f>PlacesCDN!$B69&amp;", "&amp;PlacesCDN!$C69</f>
        <v>Sudbury, Ontario</v>
      </c>
    </row>
    <row r="70" ht="14.25" customHeight="1">
      <c r="A70" s="2">
        <v>69.0</v>
      </c>
      <c r="B70" s="28" t="s">
        <v>6856</v>
      </c>
      <c r="C70" s="8" t="s">
        <v>6845</v>
      </c>
      <c r="D70" s="29">
        <v>108843.0</v>
      </c>
      <c r="E70" s="7">
        <v>17.6</v>
      </c>
      <c r="F70" s="30">
        <v>74.0</v>
      </c>
      <c r="G70" s="2" t="s">
        <v>6846</v>
      </c>
      <c r="H70" s="2" t="str">
        <f>PlacesCDN!$B70&amp;", "&amp;PlacesCDN!$C70</f>
        <v>Thunder Bay, Ontario</v>
      </c>
    </row>
    <row r="71" ht="14.25" customHeight="1">
      <c r="A71" s="2">
        <v>70.0</v>
      </c>
      <c r="B71" s="28" t="s">
        <v>6857</v>
      </c>
      <c r="C71" s="8" t="s">
        <v>6845</v>
      </c>
      <c r="D71" s="29">
        <v>33232.0</v>
      </c>
      <c r="E71" s="7">
        <v>20.6</v>
      </c>
      <c r="F71" s="30">
        <v>86.0</v>
      </c>
      <c r="G71" s="2" t="s">
        <v>6846</v>
      </c>
      <c r="H71" s="2" t="str">
        <f>PlacesCDN!$B71&amp;", "&amp;PlacesCDN!$C71</f>
        <v>Stratford, Ontario</v>
      </c>
    </row>
    <row r="72" ht="14.25" customHeight="1">
      <c r="A72" s="2">
        <v>71.0</v>
      </c>
      <c r="B72" s="28" t="s">
        <v>6858</v>
      </c>
      <c r="C72" s="8" t="s">
        <v>6845</v>
      </c>
      <c r="D72" s="29">
        <v>83651.0</v>
      </c>
      <c r="E72" s="7">
        <v>20.5</v>
      </c>
      <c r="F72" s="30">
        <v>73.0</v>
      </c>
      <c r="G72" s="2" t="s">
        <v>6846</v>
      </c>
      <c r="H72" s="2" t="str">
        <f>PlacesCDN!$B72&amp;", "&amp;PlacesCDN!$C72</f>
        <v>Peterborough, Ontario</v>
      </c>
    </row>
    <row r="73" ht="14.25" customHeight="1">
      <c r="A73" s="2">
        <v>72.0</v>
      </c>
      <c r="B73" s="28" t="s">
        <v>6859</v>
      </c>
      <c r="C73" s="8" t="s">
        <v>6845</v>
      </c>
      <c r="D73" s="29">
        <v>52662.0</v>
      </c>
      <c r="E73" s="7">
        <v>19.0</v>
      </c>
      <c r="F73" s="30">
        <v>83.0</v>
      </c>
      <c r="G73" s="2" t="s">
        <v>6846</v>
      </c>
      <c r="H73" s="2" t="str">
        <f>PlacesCDN!$B73&amp;", "&amp;PlacesCDN!$C73</f>
        <v>North Bay, Ontario</v>
      </c>
    </row>
    <row r="74" ht="14.25" customHeight="1">
      <c r="A74" s="2">
        <v>73.0</v>
      </c>
      <c r="B74" s="28" t="s">
        <v>6860</v>
      </c>
      <c r="C74" s="8" t="s">
        <v>6845</v>
      </c>
      <c r="D74" s="29">
        <v>72051.0</v>
      </c>
      <c r="E74" s="7">
        <v>18.4</v>
      </c>
      <c r="F74" s="30">
        <v>69.0</v>
      </c>
      <c r="G74" s="2" t="s">
        <v>6846</v>
      </c>
      <c r="H74" s="2" t="str">
        <f>PlacesCDN!$B74&amp;", "&amp;PlacesCDN!$C74</f>
        <v>Sault Ste. Marie, Ontario</v>
      </c>
    </row>
    <row r="75" ht="14.25" customHeight="1">
      <c r="A75" s="2">
        <v>74.0</v>
      </c>
      <c r="B75" s="28" t="s">
        <v>6861</v>
      </c>
      <c r="C75" s="8" t="s">
        <v>6862</v>
      </c>
      <c r="D75" s="29">
        <v>38809.0</v>
      </c>
      <c r="E75" s="7">
        <v>18.7</v>
      </c>
      <c r="F75" s="30">
        <v>93.0</v>
      </c>
      <c r="G75" s="2" t="s">
        <v>6863</v>
      </c>
      <c r="H75" s="2" t="str">
        <f>PlacesCDN!$B75&amp;", "&amp;PlacesCDN!$C75</f>
        <v>Charlottetown, Prince Edward Island</v>
      </c>
    </row>
    <row r="76" ht="14.25" customHeight="1">
      <c r="A76" s="2">
        <v>75.0</v>
      </c>
      <c r="B76" s="28" t="s">
        <v>6864</v>
      </c>
      <c r="C76" s="8" t="s">
        <v>6862</v>
      </c>
      <c r="D76" s="29">
        <v>16001.0</v>
      </c>
      <c r="E76" s="7">
        <v>19.3</v>
      </c>
      <c r="F76" s="30">
        <v>81.0</v>
      </c>
      <c r="G76" s="2" t="s">
        <v>6863</v>
      </c>
      <c r="H76" s="2" t="str">
        <f>PlacesCDN!$B76&amp;", "&amp;PlacesCDN!$C76</f>
        <v>Summerside, Prince Edward Island</v>
      </c>
    </row>
    <row r="77" ht="14.25" customHeight="1">
      <c r="A77" s="2">
        <v>76.0</v>
      </c>
      <c r="B77" s="28" t="s">
        <v>6865</v>
      </c>
      <c r="C77" s="8" t="s">
        <v>6862</v>
      </c>
      <c r="D77" s="7">
        <v>368.0</v>
      </c>
      <c r="E77" s="7">
        <v>18.9</v>
      </c>
      <c r="F77" s="30">
        <v>92.0</v>
      </c>
      <c r="G77" s="2" t="s">
        <v>6863</v>
      </c>
      <c r="H77" s="2" t="str">
        <f>PlacesCDN!$B77&amp;", "&amp;PlacesCDN!$C77</f>
        <v>Cavendish, Prince Edward Island</v>
      </c>
    </row>
    <row r="78" ht="14.25" customHeight="1">
      <c r="A78" s="2">
        <v>77.0</v>
      </c>
      <c r="B78" s="28" t="s">
        <v>6866</v>
      </c>
      <c r="C78" s="8" t="s">
        <v>6867</v>
      </c>
      <c r="D78" s="29">
        <v>549459.0</v>
      </c>
      <c r="E78" s="7">
        <v>19.3</v>
      </c>
      <c r="F78" s="30">
        <v>113.0</v>
      </c>
      <c r="G78" s="2" t="s">
        <v>6868</v>
      </c>
      <c r="H78" s="2" t="str">
        <f>PlacesCDN!$B78&amp;", "&amp;PlacesCDN!$C78</f>
        <v>Quebec City, Quebec</v>
      </c>
    </row>
    <row r="79" ht="14.25" customHeight="1">
      <c r="A79" s="2">
        <v>78.0</v>
      </c>
      <c r="B79" s="28" t="s">
        <v>6869</v>
      </c>
      <c r="C79" s="8" t="s">
        <v>6867</v>
      </c>
      <c r="D79" s="29">
        <v>1762949.0</v>
      </c>
      <c r="E79" s="7">
        <v>21.2</v>
      </c>
      <c r="F79" s="30">
        <v>87.0</v>
      </c>
      <c r="G79" s="2" t="s">
        <v>6868</v>
      </c>
      <c r="H79" s="2" t="str">
        <f>PlacesCDN!$B79&amp;", "&amp;PlacesCDN!$C79</f>
        <v>Montreal, Quebec</v>
      </c>
    </row>
    <row r="80" ht="14.25" customHeight="1">
      <c r="A80" s="2">
        <v>79.0</v>
      </c>
      <c r="B80" s="28" t="s">
        <v>6870</v>
      </c>
      <c r="C80" s="8" t="s">
        <v>6867</v>
      </c>
      <c r="D80" s="29">
        <v>140420.0</v>
      </c>
      <c r="E80" s="7">
        <v>19.9</v>
      </c>
      <c r="F80" s="30">
        <v>102.0</v>
      </c>
      <c r="G80" s="2" t="s">
        <v>6868</v>
      </c>
      <c r="H80" s="2" t="str">
        <f>PlacesCDN!$B80&amp;", "&amp;PlacesCDN!$C80</f>
        <v>Trois-Rivières, Quebec</v>
      </c>
    </row>
    <row r="81" ht="14.25" customHeight="1">
      <c r="A81" s="2">
        <v>80.0</v>
      </c>
      <c r="B81" s="28" t="s">
        <v>6871</v>
      </c>
      <c r="C81" s="8" t="s">
        <v>6867</v>
      </c>
      <c r="D81" s="29">
        <v>172950.0</v>
      </c>
      <c r="E81" s="7">
        <v>18.8</v>
      </c>
      <c r="F81" s="30">
        <v>112.0</v>
      </c>
      <c r="G81" s="2" t="s">
        <v>6868</v>
      </c>
      <c r="H81" s="2" t="str">
        <f>PlacesCDN!$B81&amp;", "&amp;PlacesCDN!$C81</f>
        <v>Sherbrooke, Quebec</v>
      </c>
    </row>
    <row r="82" ht="14.25" customHeight="1">
      <c r="A82" s="2">
        <v>81.0</v>
      </c>
      <c r="B82" s="28" t="s">
        <v>6872</v>
      </c>
      <c r="C82" s="8" t="s">
        <v>6867</v>
      </c>
      <c r="D82" s="29">
        <v>15063.0</v>
      </c>
      <c r="E82" s="7">
        <v>17.6</v>
      </c>
      <c r="F82" s="30">
        <v>89.0</v>
      </c>
      <c r="G82" s="2" t="s">
        <v>6868</v>
      </c>
      <c r="H82" s="2" t="str">
        <f>PlacesCDN!$B82&amp;", "&amp;PlacesCDN!$C82</f>
        <v>Gaspé, Quebec</v>
      </c>
    </row>
    <row r="83" ht="14.25" customHeight="1">
      <c r="A83" s="2">
        <v>82.0</v>
      </c>
      <c r="B83" s="28" t="s">
        <v>6873</v>
      </c>
      <c r="C83" s="8" t="s">
        <v>6867</v>
      </c>
      <c r="D83" s="29">
        <v>144723.0</v>
      </c>
      <c r="E83" s="7">
        <v>18.0</v>
      </c>
      <c r="F83" s="30">
        <v>112.0</v>
      </c>
      <c r="G83" s="2" t="s">
        <v>6868</v>
      </c>
      <c r="H83" s="2" t="str">
        <f>PlacesCDN!$B83&amp;", "&amp;PlacesCDN!$C83</f>
        <v>Saguenay, Quebec</v>
      </c>
    </row>
    <row r="84" ht="14.25" customHeight="1">
      <c r="A84" s="2">
        <v>83.0</v>
      </c>
      <c r="B84" s="28" t="s">
        <v>6874</v>
      </c>
      <c r="C84" s="8" t="s">
        <v>6867</v>
      </c>
      <c r="D84" s="29">
        <v>10992.0</v>
      </c>
      <c r="E84" s="7">
        <v>18.4</v>
      </c>
      <c r="F84" s="30">
        <v>109.0</v>
      </c>
      <c r="G84" s="2" t="s">
        <v>6868</v>
      </c>
      <c r="H84" s="2" t="str">
        <f>PlacesCDN!$B84&amp;", "&amp;PlacesCDN!$C84</f>
        <v>Mont-Tremblant, Quebec</v>
      </c>
    </row>
    <row r="85" ht="14.25" customHeight="1">
      <c r="A85" s="2">
        <v>84.0</v>
      </c>
      <c r="B85" s="28" t="s">
        <v>6875</v>
      </c>
      <c r="C85" s="8" t="s">
        <v>6867</v>
      </c>
      <c r="D85" s="29">
        <v>57237.0</v>
      </c>
      <c r="E85" s="7">
        <v>20.7</v>
      </c>
      <c r="F85" s="30">
        <v>93.0</v>
      </c>
      <c r="G85" s="2" t="s">
        <v>6868</v>
      </c>
      <c r="H85" s="2" t="str">
        <f>PlacesCDN!$B85&amp;", "&amp;PlacesCDN!$C85</f>
        <v>Saint-Hyacinthe, Quebec</v>
      </c>
    </row>
    <row r="86" ht="14.25" customHeight="1">
      <c r="A86" s="2">
        <v>85.0</v>
      </c>
      <c r="B86" s="28" t="s">
        <v>6876</v>
      </c>
      <c r="C86" s="8" t="s">
        <v>6867</v>
      </c>
      <c r="D86" s="29">
        <v>49620.0</v>
      </c>
      <c r="E86" s="7">
        <v>19.5</v>
      </c>
      <c r="F86" s="30">
        <v>107.0</v>
      </c>
      <c r="G86" s="2" t="s">
        <v>6868</v>
      </c>
      <c r="H86" s="2" t="str">
        <f>PlacesCDN!$B86&amp;", "&amp;PlacesCDN!$C86</f>
        <v>Shawinigan, Quebec</v>
      </c>
    </row>
    <row r="87" ht="14.25" customHeight="1">
      <c r="A87" s="2">
        <v>86.0</v>
      </c>
      <c r="B87" s="28" t="s">
        <v>6877</v>
      </c>
      <c r="C87" s="8" t="s">
        <v>6878</v>
      </c>
      <c r="D87" s="29">
        <v>226404.0</v>
      </c>
      <c r="E87" s="7">
        <v>18.9</v>
      </c>
      <c r="F87" s="30">
        <v>57.0</v>
      </c>
      <c r="G87" s="2" t="s">
        <v>6879</v>
      </c>
      <c r="H87" s="2" t="str">
        <f>PlacesCDN!$B87&amp;", "&amp;PlacesCDN!$C87</f>
        <v>Regina, Saskatchewan</v>
      </c>
    </row>
    <row r="88" ht="14.25" customHeight="1">
      <c r="A88" s="2">
        <v>87.0</v>
      </c>
      <c r="B88" s="28" t="s">
        <v>6880</v>
      </c>
      <c r="C88" s="8" t="s">
        <v>6878</v>
      </c>
      <c r="D88" s="29">
        <v>266141.0</v>
      </c>
      <c r="E88" s="7">
        <v>18.7</v>
      </c>
      <c r="F88" s="30">
        <v>53.0</v>
      </c>
      <c r="G88" s="2" t="s">
        <v>6879</v>
      </c>
      <c r="H88" s="2" t="str">
        <f>PlacesCDN!$B88&amp;", "&amp;PlacesCDN!$C88</f>
        <v>Saskatoon, Saskatchewan</v>
      </c>
    </row>
    <row r="89" ht="14.25" customHeight="1">
      <c r="A89" s="2">
        <v>88.0</v>
      </c>
      <c r="B89" s="28" t="s">
        <v>6881</v>
      </c>
      <c r="C89" s="8" t="s">
        <v>6878</v>
      </c>
      <c r="D89" s="29">
        <v>33665.0</v>
      </c>
      <c r="E89" s="7">
        <v>19.1</v>
      </c>
      <c r="F89" s="30">
        <v>60.0</v>
      </c>
      <c r="G89" s="2" t="s">
        <v>6879</v>
      </c>
      <c r="H89" s="2" t="str">
        <f>PlacesCDN!$B89&amp;", "&amp;PlacesCDN!$C89</f>
        <v>Moose Jaw, Saskatchewan</v>
      </c>
    </row>
    <row r="90" ht="14.25" customHeight="1">
      <c r="A90" s="2">
        <v>89.0</v>
      </c>
      <c r="B90" s="28" t="s">
        <v>6882</v>
      </c>
      <c r="C90" s="8" t="s">
        <v>6878</v>
      </c>
      <c r="D90" s="29">
        <v>37756.0</v>
      </c>
      <c r="E90" s="7">
        <v>17.8</v>
      </c>
      <c r="F90" s="30">
        <v>62.0</v>
      </c>
      <c r="G90" s="2" t="s">
        <v>6879</v>
      </c>
      <c r="H90" s="2" t="str">
        <f>PlacesCDN!$B90&amp;", "&amp;PlacesCDN!$C90</f>
        <v>Prince Albert, Saskatchewan</v>
      </c>
    </row>
    <row r="91" ht="14.25" customHeight="1">
      <c r="A91" s="2">
        <v>90.0</v>
      </c>
      <c r="B91" s="28" t="s">
        <v>6883</v>
      </c>
      <c r="C91" s="8" t="s">
        <v>6878</v>
      </c>
      <c r="D91" s="29">
        <v>16750.0</v>
      </c>
      <c r="E91" s="7">
        <v>18.4</v>
      </c>
      <c r="F91" s="30">
        <v>55.0</v>
      </c>
      <c r="G91" s="2" t="s">
        <v>6879</v>
      </c>
      <c r="H91" s="2" t="str">
        <f>PlacesCDN!$B91&amp;", "&amp;PlacesCDN!$C91</f>
        <v>Swift Current, Saskatchewan</v>
      </c>
    </row>
    <row r="92" ht="14.25" customHeight="1">
      <c r="A92" s="2">
        <v>91.0</v>
      </c>
      <c r="B92" s="28" t="s">
        <v>6884</v>
      </c>
      <c r="C92" s="8" t="s">
        <v>6878</v>
      </c>
      <c r="D92" s="29">
        <v>16281.0</v>
      </c>
      <c r="E92" s="7">
        <v>17.9</v>
      </c>
      <c r="F92" s="30">
        <v>67.0</v>
      </c>
      <c r="G92" s="2" t="s">
        <v>6879</v>
      </c>
      <c r="H92" s="2" t="str">
        <f>PlacesCDN!$B92&amp;", "&amp;PlacesCDN!$C92</f>
        <v>Yorkton, Saskatchewan</v>
      </c>
    </row>
    <row r="93" ht="14.25" customHeight="1">
      <c r="A93" s="2">
        <v>92.0</v>
      </c>
      <c r="B93" s="28" t="s">
        <v>6885</v>
      </c>
      <c r="C93" s="8" t="s">
        <v>6878</v>
      </c>
      <c r="D93" s="29">
        <v>10851.0</v>
      </c>
      <c r="E93" s="7">
        <v>19.5</v>
      </c>
      <c r="F93" s="30">
        <v>67.0</v>
      </c>
      <c r="G93" s="2" t="s">
        <v>6879</v>
      </c>
      <c r="H93" s="2" t="str">
        <f>PlacesCDN!$B93&amp;", "&amp;PlacesCDN!$C93</f>
        <v>Estevan, Saskatchewan</v>
      </c>
    </row>
    <row r="94" ht="14.25" customHeight="1">
      <c r="A94" s="2">
        <v>93.0</v>
      </c>
      <c r="B94" s="28" t="s">
        <v>6886</v>
      </c>
      <c r="C94" s="8" t="s">
        <v>6878</v>
      </c>
      <c r="D94" s="29">
        <v>10883.0</v>
      </c>
      <c r="E94" s="7">
        <v>19.0</v>
      </c>
      <c r="F94" s="30">
        <v>65.0</v>
      </c>
      <c r="G94" s="2" t="s">
        <v>6879</v>
      </c>
      <c r="H94" s="2" t="str">
        <f>PlacesCDN!$B94&amp;", "&amp;PlacesCDN!$C94</f>
        <v>Weyburn, Saskatchewan</v>
      </c>
    </row>
    <row r="95" ht="14.25" customHeight="1">
      <c r="A95" s="2">
        <v>94.0</v>
      </c>
      <c r="B95" s="28" t="s">
        <v>6887</v>
      </c>
      <c r="C95" s="8" t="s">
        <v>6888</v>
      </c>
      <c r="D95" s="29">
        <v>28201.0</v>
      </c>
      <c r="E95" s="7">
        <v>14.3</v>
      </c>
      <c r="F95" s="30">
        <v>27.0</v>
      </c>
      <c r="G95" s="2" t="s">
        <v>6889</v>
      </c>
      <c r="H95" s="2" t="str">
        <f>PlacesCDN!$B95&amp;", "&amp;PlacesCDN!$C95</f>
        <v>Whitehorse, Yukon</v>
      </c>
    </row>
    <row r="96" ht="14.25" customHeight="1">
      <c r="A96" s="2">
        <v>95.0</v>
      </c>
      <c r="B96" s="28" t="s">
        <v>6890</v>
      </c>
      <c r="C96" s="8" t="s">
        <v>6888</v>
      </c>
      <c r="D96" s="29">
        <v>1577.0</v>
      </c>
      <c r="E96" s="7">
        <v>15.7</v>
      </c>
      <c r="F96" s="30">
        <v>41.0</v>
      </c>
      <c r="G96" s="2" t="s">
        <v>6889</v>
      </c>
      <c r="H96" s="2" t="str">
        <f>PlacesCDN!$B96&amp;", "&amp;PlacesCDN!$C96</f>
        <v>Dawson City, Yukon</v>
      </c>
    </row>
    <row r="97" ht="14.25" customHeight="1">
      <c r="A97" s="2">
        <v>96.0</v>
      </c>
      <c r="B97" s="28" t="s">
        <v>6891</v>
      </c>
      <c r="C97" s="8" t="s">
        <v>6888</v>
      </c>
      <c r="D97" s="7">
        <v>798.0</v>
      </c>
      <c r="E97" s="7">
        <v>14.4</v>
      </c>
      <c r="F97" s="30">
        <v>48.0</v>
      </c>
      <c r="G97" s="2" t="s">
        <v>6889</v>
      </c>
      <c r="H97" s="2" t="str">
        <f>PlacesCDN!$B97&amp;", "&amp;PlacesCDN!$C97</f>
        <v>Watson Lake, Yukon</v>
      </c>
    </row>
    <row r="98" ht="14.25" customHeight="1">
      <c r="A98" s="2">
        <v>97.0</v>
      </c>
      <c r="B98" s="28" t="s">
        <v>6892</v>
      </c>
      <c r="C98" s="8" t="s">
        <v>6888</v>
      </c>
      <c r="D98" s="7">
        <v>688.0</v>
      </c>
      <c r="E98" s="7">
        <v>13.0</v>
      </c>
      <c r="F98" s="30">
        <v>28.0</v>
      </c>
      <c r="G98" s="2" t="s">
        <v>6889</v>
      </c>
      <c r="H98" s="2" t="str">
        <f>PlacesCDN!$B98&amp;", "&amp;PlacesCDN!$C98</f>
        <v>Haines Junction, Yukon</v>
      </c>
    </row>
    <row r="99" ht="14.25" customHeight="1">
      <c r="A99" s="2">
        <v>98.0</v>
      </c>
      <c r="B99" s="31" t="s">
        <v>6893</v>
      </c>
      <c r="C99" s="32" t="s">
        <v>6888</v>
      </c>
      <c r="D99" s="33">
        <v>317.0</v>
      </c>
      <c r="E99" s="33">
        <v>14.0</v>
      </c>
      <c r="F99" s="34">
        <v>23.0</v>
      </c>
      <c r="G99" s="2" t="s">
        <v>6889</v>
      </c>
      <c r="H99" s="2" t="str">
        <f>PlacesCDN!$B99&amp;", "&amp;PlacesCDN!$C99</f>
        <v>Carcross, Yukon</v>
      </c>
    </row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17</v>
      </c>
      <c r="B1" s="1" t="s">
        <v>6766</v>
      </c>
      <c r="C1" s="1" t="s">
        <v>6894</v>
      </c>
      <c r="D1" s="1" t="s">
        <v>6895</v>
      </c>
    </row>
    <row r="2" ht="14.25" customHeight="1">
      <c r="A2" s="2">
        <v>1.0</v>
      </c>
      <c r="B2" s="2" t="s">
        <v>6896</v>
      </c>
      <c r="C2" s="2" t="s">
        <v>6897</v>
      </c>
      <c r="D2" s="2">
        <v>6811955.0</v>
      </c>
    </row>
    <row r="3" ht="14.25" customHeight="1">
      <c r="A3" s="2">
        <v>2.0</v>
      </c>
      <c r="B3" s="2" t="s">
        <v>6898</v>
      </c>
      <c r="C3" s="2" t="s">
        <v>6899</v>
      </c>
      <c r="D3" s="2">
        <v>1.0156316E7</v>
      </c>
    </row>
    <row r="4" ht="14.25" customHeight="1">
      <c r="A4" s="2">
        <v>3.0</v>
      </c>
      <c r="B4" s="2" t="s">
        <v>6900</v>
      </c>
      <c r="C4" s="2" t="s">
        <v>6901</v>
      </c>
      <c r="D4" s="2">
        <v>1.9617963E7</v>
      </c>
    </row>
    <row r="5" ht="14.25" customHeight="1">
      <c r="A5" s="2">
        <v>4.0</v>
      </c>
      <c r="B5" s="2" t="s">
        <v>6902</v>
      </c>
      <c r="C5" s="2" t="s">
        <v>6903</v>
      </c>
      <c r="D5" s="2">
        <v>1.0574409E7</v>
      </c>
    </row>
    <row r="6" ht="14.25" customHeight="1">
      <c r="A6" s="2">
        <v>5.0</v>
      </c>
      <c r="B6" s="2" t="s">
        <v>6904</v>
      </c>
      <c r="C6" s="2" t="s">
        <v>6905</v>
      </c>
      <c r="D6" s="2">
        <v>1.496653E7</v>
      </c>
    </row>
    <row r="7" ht="14.25" customHeight="1">
      <c r="A7" s="2">
        <v>6.0</v>
      </c>
      <c r="B7" s="2" t="s">
        <v>6906</v>
      </c>
      <c r="C7" s="2" t="s">
        <v>6907</v>
      </c>
      <c r="D7" s="2">
        <v>2.0076002E7</v>
      </c>
    </row>
    <row r="8" ht="14.25" customHeight="1">
      <c r="A8" s="2">
        <v>7.0</v>
      </c>
      <c r="B8" s="2" t="s">
        <v>6908</v>
      </c>
      <c r="C8" s="2" t="s">
        <v>6909</v>
      </c>
      <c r="D8" s="2">
        <v>1.9578421E7</v>
      </c>
    </row>
    <row r="9" ht="14.25" customHeight="1">
      <c r="A9" s="2">
        <v>8.0</v>
      </c>
      <c r="B9" s="2" t="s">
        <v>6910</v>
      </c>
      <c r="C9" s="2" t="s">
        <v>6911</v>
      </c>
      <c r="D9" s="2">
        <v>1.0516927E7</v>
      </c>
    </row>
    <row r="10" ht="14.25" customHeight="1">
      <c r="A10" s="2">
        <v>9.0</v>
      </c>
      <c r="B10" s="2" t="s">
        <v>6912</v>
      </c>
      <c r="C10" s="2" t="s">
        <v>6913</v>
      </c>
      <c r="D10" s="2">
        <v>5534079.0</v>
      </c>
    </row>
    <row r="11" ht="14.25" customHeight="1">
      <c r="A11" s="2">
        <v>10.0</v>
      </c>
      <c r="B11" s="2" t="s">
        <v>6914</v>
      </c>
      <c r="C11" s="2" t="s">
        <v>6915</v>
      </c>
      <c r="D11" s="2">
        <v>1.3171256E7</v>
      </c>
    </row>
    <row r="12" ht="14.25" customHeight="1">
      <c r="A12" s="2">
        <v>11.0</v>
      </c>
      <c r="B12" s="2" t="s">
        <v>6916</v>
      </c>
      <c r="C12" s="2" t="s">
        <v>6917</v>
      </c>
      <c r="D12" s="2">
        <v>7563912.0</v>
      </c>
    </row>
    <row r="13" ht="14.25" customHeight="1">
      <c r="A13" s="2">
        <v>12.0</v>
      </c>
      <c r="B13" s="2" t="s">
        <v>6918</v>
      </c>
      <c r="C13" s="2" t="s">
        <v>6919</v>
      </c>
      <c r="D13" s="2">
        <v>1.0390607E7</v>
      </c>
    </row>
    <row r="14" ht="14.25" customHeight="1">
      <c r="A14" s="2">
        <v>13.0</v>
      </c>
      <c r="B14" s="2" t="s">
        <v>6852</v>
      </c>
      <c r="C14" s="2" t="s">
        <v>6920</v>
      </c>
      <c r="D14" s="2">
        <v>9046485.0</v>
      </c>
    </row>
    <row r="15" ht="14.25" customHeight="1">
      <c r="A15" s="2">
        <v>14.0</v>
      </c>
      <c r="B15" s="2" t="s">
        <v>6921</v>
      </c>
      <c r="C15" s="2" t="s">
        <v>6922</v>
      </c>
      <c r="D15" s="2">
        <v>7774200.0</v>
      </c>
    </row>
    <row r="16" ht="14.25" customHeight="1">
      <c r="A16" s="2">
        <v>15.0</v>
      </c>
      <c r="B16" s="2" t="s">
        <v>6923</v>
      </c>
      <c r="C16" s="2" t="s">
        <v>6924</v>
      </c>
      <c r="D16" s="2">
        <v>6497124.0</v>
      </c>
    </row>
    <row r="17" ht="14.25" customHeight="1">
      <c r="A17" s="2">
        <v>16.0</v>
      </c>
      <c r="B17" s="2" t="s">
        <v>6925</v>
      </c>
      <c r="C17" s="2" t="s">
        <v>6926</v>
      </c>
      <c r="D17" s="2">
        <v>2.1580827E7</v>
      </c>
    </row>
    <row r="18" ht="14.25" customHeight="1">
      <c r="A18" s="2">
        <v>17.0</v>
      </c>
      <c r="B18" s="2" t="s">
        <v>6927</v>
      </c>
      <c r="C18" s="2" t="s">
        <v>6928</v>
      </c>
      <c r="D18" s="2">
        <v>1.2409738E7</v>
      </c>
    </row>
    <row r="19" ht="14.25" customHeight="1">
      <c r="A19" s="2">
        <v>18.0</v>
      </c>
      <c r="B19" s="2" t="s">
        <v>6929</v>
      </c>
      <c r="C19" s="2" t="s">
        <v>6930</v>
      </c>
      <c r="D19" s="2">
        <v>2.8513682E7</v>
      </c>
    </row>
    <row r="20" ht="14.25" customHeight="1">
      <c r="A20" s="2">
        <v>19.0</v>
      </c>
      <c r="B20" s="2" t="s">
        <v>6931</v>
      </c>
      <c r="C20" s="2" t="s">
        <v>6932</v>
      </c>
      <c r="D20" s="2">
        <v>1.0900952E7</v>
      </c>
    </row>
    <row r="21" ht="14.25" customHeight="1">
      <c r="A21" s="2">
        <v>20.0</v>
      </c>
      <c r="B21" s="2" t="s">
        <v>6933</v>
      </c>
      <c r="C21" s="2" t="s">
        <v>6934</v>
      </c>
      <c r="D21" s="2">
        <v>6906595.0</v>
      </c>
    </row>
    <row r="22" ht="14.25" customHeight="1">
      <c r="A22" s="2">
        <v>21.0</v>
      </c>
      <c r="B22" s="2" t="s">
        <v>6935</v>
      </c>
      <c r="C22" s="2" t="s">
        <v>6936</v>
      </c>
      <c r="D22" s="2">
        <v>6680371.0</v>
      </c>
    </row>
    <row r="23" ht="14.25" customHeight="1">
      <c r="A23" s="2">
        <v>22.0</v>
      </c>
      <c r="B23" s="2" t="s">
        <v>6937</v>
      </c>
      <c r="C23" s="2" t="s">
        <v>6938</v>
      </c>
      <c r="D23" s="2">
        <v>9963497.0</v>
      </c>
    </row>
    <row r="24" ht="14.25" customHeight="1">
      <c r="A24" s="2">
        <v>23.0</v>
      </c>
      <c r="B24" s="2" t="s">
        <v>6939</v>
      </c>
      <c r="C24" s="2" t="s">
        <v>6939</v>
      </c>
      <c r="D24" s="2">
        <v>5791901.0</v>
      </c>
    </row>
    <row r="25" ht="14.25" customHeight="1">
      <c r="A25" s="2">
        <v>24.0</v>
      </c>
      <c r="B25" s="2" t="s">
        <v>6940</v>
      </c>
      <c r="C25" s="2" t="s">
        <v>6941</v>
      </c>
      <c r="D25" s="2">
        <v>8895947.0</v>
      </c>
    </row>
    <row r="26" ht="14.25" customHeight="1">
      <c r="A26" s="2">
        <v>25.0</v>
      </c>
      <c r="B26" s="2" t="s">
        <v>6942</v>
      </c>
      <c r="C26" s="2" t="s">
        <v>6943</v>
      </c>
      <c r="D26" s="2">
        <v>3.7468302E7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2" t="s">
        <v>17</v>
      </c>
      <c r="B1" s="12" t="s">
        <v>6944</v>
      </c>
    </row>
    <row r="2" ht="14.25" customHeight="1">
      <c r="A2" s="2">
        <v>1.0</v>
      </c>
      <c r="B2" s="35" t="s">
        <v>6945</v>
      </c>
    </row>
    <row r="3" ht="14.25" customHeight="1">
      <c r="A3" s="17">
        <v>2.0</v>
      </c>
      <c r="B3" s="17" t="s">
        <v>6946</v>
      </c>
    </row>
    <row r="4" ht="14.25" customHeight="1">
      <c r="A4" s="17">
        <v>3.0</v>
      </c>
      <c r="B4" s="17" t="s">
        <v>6947</v>
      </c>
    </row>
    <row r="5" ht="14.25" customHeight="1">
      <c r="A5" s="2">
        <v>4.0</v>
      </c>
      <c r="B5" s="17" t="s">
        <v>6948</v>
      </c>
    </row>
    <row r="6" ht="14.25" customHeight="1">
      <c r="A6" s="17">
        <v>5.0</v>
      </c>
      <c r="B6" s="35" t="s">
        <v>6949</v>
      </c>
    </row>
    <row r="7" ht="14.25" customHeight="1">
      <c r="A7" s="17">
        <v>6.0</v>
      </c>
      <c r="B7" s="35" t="s">
        <v>6950</v>
      </c>
    </row>
    <row r="8" ht="14.25" customHeight="1">
      <c r="A8" s="2">
        <v>7.0</v>
      </c>
      <c r="B8" s="35" t="s">
        <v>6951</v>
      </c>
    </row>
    <row r="9" ht="14.25" customHeight="1">
      <c r="A9" s="17">
        <v>8.0</v>
      </c>
      <c r="B9" s="17" t="s">
        <v>6952</v>
      </c>
    </row>
    <row r="10" ht="14.25" customHeight="1">
      <c r="A10" s="17">
        <v>9.0</v>
      </c>
      <c r="B10" s="17" t="s">
        <v>6953</v>
      </c>
    </row>
    <row r="11" ht="14.25" customHeight="1">
      <c r="A11" s="2">
        <v>10.0</v>
      </c>
      <c r="B11" s="17" t="s">
        <v>6954</v>
      </c>
    </row>
    <row r="12" ht="14.25" customHeight="1">
      <c r="A12" s="17">
        <v>11.0</v>
      </c>
      <c r="B12" s="35" t="s">
        <v>6955</v>
      </c>
    </row>
    <row r="13" ht="14.25" customHeight="1">
      <c r="A13" s="17">
        <v>12.0</v>
      </c>
      <c r="B13" s="17" t="s">
        <v>6956</v>
      </c>
    </row>
    <row r="14" ht="14.25" customHeight="1">
      <c r="A14" s="2">
        <v>13.0</v>
      </c>
      <c r="B14" s="35" t="s">
        <v>6957</v>
      </c>
    </row>
    <row r="15" ht="14.25" customHeight="1">
      <c r="A15" s="17">
        <v>14.0</v>
      </c>
      <c r="B15" s="17" t="s">
        <v>6958</v>
      </c>
    </row>
    <row r="16" ht="14.25" customHeight="1">
      <c r="A16" s="17">
        <v>15.0</v>
      </c>
      <c r="B16" s="17" t="s">
        <v>6959</v>
      </c>
    </row>
    <row r="17" ht="14.25" customHeight="1">
      <c r="A17" s="2">
        <v>16.0</v>
      </c>
      <c r="B17" s="17" t="s">
        <v>6960</v>
      </c>
    </row>
    <row r="18" ht="14.25" customHeight="1">
      <c r="A18" s="17">
        <v>17.0</v>
      </c>
      <c r="B18" s="35" t="s">
        <v>6961</v>
      </c>
    </row>
    <row r="19" ht="14.25" customHeight="1">
      <c r="A19" s="17">
        <v>18.0</v>
      </c>
      <c r="B19" s="35" t="s">
        <v>6962</v>
      </c>
    </row>
    <row r="20" ht="14.25" customHeight="1">
      <c r="A20" s="2">
        <v>19.0</v>
      </c>
      <c r="B20" s="17" t="s">
        <v>6963</v>
      </c>
    </row>
    <row r="21" ht="14.25" customHeight="1">
      <c r="A21" s="17">
        <v>20.0</v>
      </c>
      <c r="B21" s="17" t="s">
        <v>6964</v>
      </c>
    </row>
    <row r="22" ht="14.25" customHeight="1">
      <c r="A22" s="17">
        <v>21.0</v>
      </c>
      <c r="B22" s="17" t="s">
        <v>6965</v>
      </c>
    </row>
    <row r="23" ht="14.25" customHeight="1">
      <c r="A23" s="2">
        <v>22.0</v>
      </c>
      <c r="B23" s="17" t="s">
        <v>6966</v>
      </c>
    </row>
    <row r="24" ht="14.25" customHeight="1">
      <c r="A24" s="17">
        <v>23.0</v>
      </c>
      <c r="B24" s="35" t="s">
        <v>6967</v>
      </c>
    </row>
    <row r="25" ht="14.25" customHeight="1">
      <c r="A25" s="17">
        <v>24.0</v>
      </c>
      <c r="B25" s="17" t="s">
        <v>6968</v>
      </c>
    </row>
    <row r="26" ht="14.25" customHeight="1">
      <c r="A26" s="2">
        <v>25.0</v>
      </c>
      <c r="B26" s="17" t="s">
        <v>6969</v>
      </c>
    </row>
    <row r="27" ht="14.25" customHeight="1">
      <c r="A27" s="17">
        <v>26.0</v>
      </c>
      <c r="B27" s="35" t="s">
        <v>6970</v>
      </c>
    </row>
    <row r="28" ht="14.25" customHeight="1">
      <c r="A28" s="17">
        <v>27.0</v>
      </c>
      <c r="B28" s="17" t="s">
        <v>6971</v>
      </c>
    </row>
    <row r="29" ht="14.25" customHeight="1">
      <c r="A29" s="2">
        <v>28.0</v>
      </c>
      <c r="B29" s="35" t="s">
        <v>6972</v>
      </c>
    </row>
    <row r="30" ht="14.25" customHeight="1">
      <c r="A30" s="17">
        <v>29.0</v>
      </c>
      <c r="B30" s="17" t="s">
        <v>6973</v>
      </c>
    </row>
    <row r="31" ht="14.25" customHeight="1">
      <c r="A31" s="17">
        <v>30.0</v>
      </c>
      <c r="B31" s="17" t="s">
        <v>6974</v>
      </c>
    </row>
    <row r="32" ht="14.25" customHeight="1">
      <c r="A32" s="2">
        <v>31.0</v>
      </c>
      <c r="B32" s="17" t="s">
        <v>6975</v>
      </c>
    </row>
    <row r="33" ht="14.25" customHeight="1">
      <c r="A33" s="17">
        <v>32.0</v>
      </c>
      <c r="B33" s="17" t="s">
        <v>6976</v>
      </c>
    </row>
    <row r="34" ht="14.25" customHeight="1">
      <c r="A34" s="17">
        <v>33.0</v>
      </c>
      <c r="B34" s="17" t="s">
        <v>6977</v>
      </c>
    </row>
    <row r="35" ht="14.25" customHeight="1">
      <c r="A35" s="2">
        <v>34.0</v>
      </c>
      <c r="B35" s="17" t="s">
        <v>6978</v>
      </c>
    </row>
    <row r="36" ht="14.25" customHeight="1">
      <c r="A36" s="17">
        <v>35.0</v>
      </c>
      <c r="B36" s="35" t="s">
        <v>6979</v>
      </c>
    </row>
    <row r="37" ht="14.25" customHeight="1">
      <c r="A37" s="17">
        <v>36.0</v>
      </c>
      <c r="B37" s="17" t="s">
        <v>6980</v>
      </c>
    </row>
    <row r="38" ht="14.25" customHeight="1">
      <c r="A38" s="2">
        <v>37.0</v>
      </c>
      <c r="B38" s="17" t="s">
        <v>6981</v>
      </c>
    </row>
    <row r="39" ht="14.25" customHeight="1">
      <c r="A39" s="17">
        <v>38.0</v>
      </c>
      <c r="B39" s="35" t="s">
        <v>6982</v>
      </c>
    </row>
    <row r="40" ht="14.25" customHeight="1">
      <c r="A40" s="17">
        <v>39.0</v>
      </c>
      <c r="B40" s="35" t="s">
        <v>6983</v>
      </c>
    </row>
    <row r="41" ht="14.25" customHeight="1">
      <c r="A41" s="2">
        <v>40.0</v>
      </c>
      <c r="B41" s="17" t="s">
        <v>6984</v>
      </c>
    </row>
    <row r="42" ht="14.25" customHeight="1">
      <c r="A42" s="17">
        <v>41.0</v>
      </c>
      <c r="B42" s="17" t="s">
        <v>6985</v>
      </c>
    </row>
    <row r="43" ht="14.25" customHeight="1">
      <c r="A43" s="17">
        <v>42.0</v>
      </c>
      <c r="B43" s="35" t="s">
        <v>6986</v>
      </c>
    </row>
    <row r="44" ht="14.25" customHeight="1">
      <c r="A44" s="2">
        <v>43.0</v>
      </c>
      <c r="B44" s="35" t="s">
        <v>6987</v>
      </c>
    </row>
    <row r="45" ht="14.25" customHeight="1">
      <c r="A45" s="17">
        <v>44.0</v>
      </c>
      <c r="B45" s="17" t="s">
        <v>6988</v>
      </c>
    </row>
    <row r="46" ht="14.25" customHeight="1">
      <c r="A46" s="17">
        <v>45.0</v>
      </c>
      <c r="B46" s="35" t="s">
        <v>6989</v>
      </c>
    </row>
    <row r="47" ht="14.25" customHeight="1">
      <c r="A47" s="2">
        <v>46.0</v>
      </c>
      <c r="B47" s="35" t="s">
        <v>6990</v>
      </c>
    </row>
    <row r="48" ht="14.25" customHeight="1">
      <c r="A48" s="17">
        <v>47.0</v>
      </c>
      <c r="B48" s="17" t="s">
        <v>6991</v>
      </c>
    </row>
    <row r="49" ht="14.25" customHeight="1">
      <c r="A49" s="17">
        <v>48.0</v>
      </c>
      <c r="B49" s="35" t="s">
        <v>6992</v>
      </c>
    </row>
    <row r="50" ht="14.25" customHeight="1">
      <c r="A50" s="2">
        <v>49.0</v>
      </c>
      <c r="B50" s="17" t="s">
        <v>6993</v>
      </c>
    </row>
    <row r="51" ht="14.25" customHeight="1">
      <c r="A51" s="17">
        <v>50.0</v>
      </c>
      <c r="B51" s="17" t="s">
        <v>6994</v>
      </c>
    </row>
    <row r="52" ht="14.25" customHeight="1">
      <c r="A52" s="17">
        <v>51.0</v>
      </c>
      <c r="B52" s="17" t="s">
        <v>6995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5"/>
    <col customWidth="1" min="3" max="3" width="10.25"/>
    <col customWidth="1" min="4" max="4" width="15.88"/>
    <col customWidth="1" min="5" max="26" width="8.63"/>
  </cols>
  <sheetData>
    <row r="1" ht="14.25" customHeight="1">
      <c r="A1" s="1" t="s">
        <v>17</v>
      </c>
      <c r="B1" s="1" t="s">
        <v>6996</v>
      </c>
      <c r="C1" s="1" t="s">
        <v>6997</v>
      </c>
      <c r="D1" s="1" t="s">
        <v>6998</v>
      </c>
      <c r="E1" s="1" t="s">
        <v>1814</v>
      </c>
      <c r="F1" s="1" t="s">
        <v>1815</v>
      </c>
    </row>
    <row r="2" ht="14.25" customHeight="1">
      <c r="A2" s="2">
        <v>1.0</v>
      </c>
      <c r="B2" s="2" t="s">
        <v>6999</v>
      </c>
      <c r="C2" s="2">
        <v>10.0</v>
      </c>
      <c r="D2" s="2">
        <v>54.35</v>
      </c>
      <c r="E2" s="2">
        <v>50.0</v>
      </c>
      <c r="F2" s="2">
        <v>60.0</v>
      </c>
    </row>
    <row r="3" ht="14.25" customHeight="1">
      <c r="A3" s="2">
        <v>2.0</v>
      </c>
      <c r="B3" s="2" t="s">
        <v>7000</v>
      </c>
      <c r="C3" s="2">
        <v>3.0</v>
      </c>
      <c r="D3" s="2">
        <v>29.79</v>
      </c>
      <c r="E3" s="2">
        <v>25.0</v>
      </c>
      <c r="F3" s="2">
        <v>35.0</v>
      </c>
    </row>
    <row r="4" ht="14.25" customHeight="1">
      <c r="A4" s="2">
        <v>3.0</v>
      </c>
      <c r="B4" s="2" t="s">
        <v>7001</v>
      </c>
      <c r="C4" s="2">
        <v>20.0</v>
      </c>
      <c r="D4" s="2">
        <v>37.365</v>
      </c>
      <c r="E4" s="2">
        <v>30.0</v>
      </c>
      <c r="F4" s="2">
        <v>40.0</v>
      </c>
    </row>
    <row r="5" ht="14.25" customHeight="1">
      <c r="A5" s="2">
        <v>4.0</v>
      </c>
      <c r="B5" s="2" t="s">
        <v>7002</v>
      </c>
      <c r="C5" s="2">
        <v>5.0</v>
      </c>
      <c r="D5" s="2">
        <v>24.165</v>
      </c>
      <c r="E5" s="2">
        <v>20.0</v>
      </c>
      <c r="F5" s="2">
        <v>30.0</v>
      </c>
    </row>
    <row r="6" ht="14.25" customHeight="1">
      <c r="A6" s="2">
        <v>5.0</v>
      </c>
      <c r="B6" s="2" t="s">
        <v>7003</v>
      </c>
      <c r="C6" s="2">
        <v>10.0</v>
      </c>
      <c r="D6" s="2">
        <v>93.75</v>
      </c>
      <c r="E6" s="2">
        <v>85.0</v>
      </c>
      <c r="F6" s="2">
        <v>110.0</v>
      </c>
    </row>
    <row r="7" ht="14.25" customHeight="1">
      <c r="A7" s="2">
        <v>6.0</v>
      </c>
      <c r="B7" s="2" t="s">
        <v>7004</v>
      </c>
      <c r="C7" s="2">
        <v>3.0</v>
      </c>
      <c r="D7" s="2">
        <v>26.07</v>
      </c>
      <c r="E7" s="2">
        <v>20.0</v>
      </c>
      <c r="F7" s="2">
        <v>30.0</v>
      </c>
    </row>
    <row r="8" ht="14.25" customHeight="1">
      <c r="A8" s="2">
        <v>7.0</v>
      </c>
      <c r="B8" s="2" t="s">
        <v>7005</v>
      </c>
      <c r="C8" s="2">
        <v>3.0</v>
      </c>
      <c r="D8" s="2">
        <v>1.86</v>
      </c>
      <c r="E8" s="2">
        <v>1.0</v>
      </c>
      <c r="F8" s="2">
        <v>8.0</v>
      </c>
    </row>
    <row r="9" ht="14.25" customHeight="1">
      <c r="A9" s="2">
        <v>8.0</v>
      </c>
      <c r="B9" s="2" t="s">
        <v>7006</v>
      </c>
      <c r="C9" s="2">
        <v>1.0</v>
      </c>
      <c r="D9" s="2">
        <v>17.5</v>
      </c>
      <c r="E9" s="2">
        <v>10.0</v>
      </c>
      <c r="F9" s="2">
        <v>25.0</v>
      </c>
    </row>
    <row r="10" ht="14.25" customHeight="1">
      <c r="A10" s="2">
        <v>9.0</v>
      </c>
      <c r="B10" s="2" t="s">
        <v>7007</v>
      </c>
      <c r="C10" s="2">
        <v>3.0</v>
      </c>
      <c r="D10" s="2">
        <v>11.17</v>
      </c>
      <c r="E10" s="2">
        <v>7.0</v>
      </c>
      <c r="F10" s="2">
        <v>22.0</v>
      </c>
    </row>
    <row r="11" ht="14.25" customHeight="1">
      <c r="A11" s="2">
        <v>10.0</v>
      </c>
      <c r="B11" s="2" t="s">
        <v>7008</v>
      </c>
      <c r="C11" s="2">
        <v>3.0</v>
      </c>
      <c r="D11" s="2">
        <v>14.9</v>
      </c>
      <c r="E11" s="2">
        <v>8.0</v>
      </c>
      <c r="F11" s="2">
        <v>29.0</v>
      </c>
    </row>
    <row r="12" ht="14.25" customHeight="1">
      <c r="A12" s="2">
        <v>11.0</v>
      </c>
      <c r="B12" s="2" t="s">
        <v>7009</v>
      </c>
      <c r="C12" s="2">
        <v>1.0</v>
      </c>
      <c r="D12" s="2">
        <v>16.0</v>
      </c>
      <c r="E12" s="2">
        <v>10.0</v>
      </c>
      <c r="F12" s="2">
        <v>25.0</v>
      </c>
    </row>
    <row r="13" ht="14.25" customHeight="1">
      <c r="A13" s="2">
        <v>12.0</v>
      </c>
      <c r="B13" s="2" t="s">
        <v>7010</v>
      </c>
      <c r="C13" s="2">
        <v>20.0</v>
      </c>
      <c r="D13" s="2">
        <v>16.1</v>
      </c>
      <c r="E13" s="2">
        <v>10.0</v>
      </c>
      <c r="F13" s="2">
        <v>25.0</v>
      </c>
    </row>
    <row r="14" ht="14.25" customHeight="1">
      <c r="A14" s="2">
        <v>13.0</v>
      </c>
      <c r="B14" s="2" t="s">
        <v>7011</v>
      </c>
      <c r="C14" s="2">
        <v>10.0</v>
      </c>
      <c r="D14" s="2">
        <v>22.42</v>
      </c>
      <c r="E14" s="2">
        <v>15.0</v>
      </c>
      <c r="F14" s="2">
        <v>35.0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25"/>
    <col customWidth="1" min="3" max="26" width="8.63"/>
  </cols>
  <sheetData>
    <row r="1" ht="14.25" customHeight="1">
      <c r="A1" s="1" t="s">
        <v>17</v>
      </c>
      <c r="B1" s="1" t="s">
        <v>6515</v>
      </c>
    </row>
    <row r="2" ht="14.25" customHeight="1">
      <c r="A2" s="2">
        <v>104.0</v>
      </c>
      <c r="B2" s="2" t="s">
        <v>7012</v>
      </c>
    </row>
    <row r="3" ht="14.25" customHeight="1">
      <c r="A3" s="2">
        <v>87.0</v>
      </c>
      <c r="B3" s="2" t="s">
        <v>7013</v>
      </c>
    </row>
    <row r="4" ht="14.25" customHeight="1">
      <c r="A4" s="2">
        <v>132.0</v>
      </c>
      <c r="B4" s="2" t="s">
        <v>7014</v>
      </c>
    </row>
    <row r="5" ht="14.25" customHeight="1">
      <c r="A5" s="2">
        <v>10.0</v>
      </c>
      <c r="B5" s="2" t="s">
        <v>7015</v>
      </c>
    </row>
    <row r="6" ht="14.25" customHeight="1">
      <c r="A6" s="2">
        <v>71.0</v>
      </c>
      <c r="B6" s="2" t="s">
        <v>7016</v>
      </c>
    </row>
    <row r="7" ht="14.25" customHeight="1">
      <c r="A7" s="2">
        <v>159.0</v>
      </c>
      <c r="B7" s="2" t="s">
        <v>6289</v>
      </c>
    </row>
    <row r="8" ht="14.25" customHeight="1">
      <c r="A8" s="2">
        <v>105.0</v>
      </c>
      <c r="B8" s="2" t="s">
        <v>7017</v>
      </c>
    </row>
    <row r="9" ht="14.25" customHeight="1">
      <c r="A9" s="2">
        <v>81.0</v>
      </c>
      <c r="B9" s="2" t="s">
        <v>7018</v>
      </c>
    </row>
    <row r="10" ht="14.25" customHeight="1">
      <c r="A10" s="2">
        <v>142.0</v>
      </c>
      <c r="B10" s="2" t="s">
        <v>7019</v>
      </c>
    </row>
    <row r="11" ht="14.25" customHeight="1">
      <c r="A11" s="2">
        <v>86.0</v>
      </c>
      <c r="B11" s="2" t="s">
        <v>7020</v>
      </c>
    </row>
    <row r="12" ht="14.25" customHeight="1">
      <c r="A12" s="2">
        <v>74.0</v>
      </c>
      <c r="B12" s="2" t="s">
        <v>7021</v>
      </c>
    </row>
    <row r="13" ht="14.25" customHeight="1">
      <c r="A13" s="2">
        <v>33.0</v>
      </c>
      <c r="B13" s="2" t="s">
        <v>7022</v>
      </c>
    </row>
    <row r="14" ht="14.25" customHeight="1">
      <c r="A14" s="2">
        <v>94.0</v>
      </c>
      <c r="B14" s="2" t="s">
        <v>7023</v>
      </c>
    </row>
    <row r="15" ht="14.25" customHeight="1">
      <c r="A15" s="2">
        <v>31.0</v>
      </c>
      <c r="B15" s="2" t="s">
        <v>7024</v>
      </c>
    </row>
    <row r="16" ht="14.25" customHeight="1">
      <c r="A16" s="2">
        <v>106.0</v>
      </c>
      <c r="B16" s="2" t="s">
        <v>7025</v>
      </c>
    </row>
    <row r="17" ht="14.25" customHeight="1">
      <c r="A17" s="2">
        <v>28.0</v>
      </c>
      <c r="B17" s="2" t="s">
        <v>7026</v>
      </c>
    </row>
    <row r="18" ht="14.25" customHeight="1">
      <c r="A18" s="2">
        <v>20.0</v>
      </c>
      <c r="B18" s="2" t="s">
        <v>7027</v>
      </c>
    </row>
    <row r="19" ht="14.25" customHeight="1">
      <c r="A19" s="2">
        <v>50.0</v>
      </c>
      <c r="B19" s="2" t="s">
        <v>7028</v>
      </c>
    </row>
    <row r="20" ht="14.25" customHeight="1">
      <c r="A20" s="2">
        <v>51.0</v>
      </c>
      <c r="B20" s="2" t="s">
        <v>7029</v>
      </c>
    </row>
    <row r="21" ht="14.25" customHeight="1">
      <c r="A21" s="2">
        <v>98.0</v>
      </c>
      <c r="B21" s="2" t="s">
        <v>7030</v>
      </c>
    </row>
    <row r="22" ht="14.25" customHeight="1">
      <c r="A22" s="2">
        <v>57.0</v>
      </c>
      <c r="B22" s="2" t="s">
        <v>7031</v>
      </c>
    </row>
    <row r="23" ht="14.25" customHeight="1">
      <c r="A23" s="2">
        <v>11.0</v>
      </c>
      <c r="B23" s="2" t="s">
        <v>7032</v>
      </c>
    </row>
    <row r="24" ht="14.25" customHeight="1">
      <c r="A24" s="2">
        <v>78.0</v>
      </c>
      <c r="B24" s="2" t="s">
        <v>7033</v>
      </c>
    </row>
    <row r="25" ht="14.25" customHeight="1">
      <c r="A25" s="2">
        <v>12.0</v>
      </c>
      <c r="B25" s="2" t="s">
        <v>7034</v>
      </c>
    </row>
    <row r="26" ht="14.25" customHeight="1">
      <c r="A26" s="2">
        <v>154.0</v>
      </c>
      <c r="B26" s="2" t="s">
        <v>7035</v>
      </c>
    </row>
    <row r="27" ht="14.25" customHeight="1">
      <c r="A27" s="2">
        <v>164.0</v>
      </c>
      <c r="B27" s="2" t="s">
        <v>7036</v>
      </c>
    </row>
    <row r="28" ht="14.25" customHeight="1">
      <c r="A28" s="2">
        <v>107.0</v>
      </c>
      <c r="B28" s="2" t="s">
        <v>7037</v>
      </c>
    </row>
    <row r="29" ht="14.25" customHeight="1">
      <c r="A29" s="2">
        <v>77.0</v>
      </c>
      <c r="B29" s="2" t="s">
        <v>7038</v>
      </c>
    </row>
    <row r="30" ht="14.25" customHeight="1">
      <c r="A30" s="2">
        <v>41.0</v>
      </c>
      <c r="B30" s="2" t="s">
        <v>7039</v>
      </c>
    </row>
    <row r="31" ht="14.25" customHeight="1">
      <c r="A31" s="2">
        <v>23.0</v>
      </c>
      <c r="B31" s="2" t="s">
        <v>7040</v>
      </c>
    </row>
    <row r="32" ht="14.25" customHeight="1">
      <c r="A32" s="2">
        <v>39.0</v>
      </c>
      <c r="B32" s="2" t="s">
        <v>7041</v>
      </c>
    </row>
    <row r="33" ht="14.25" customHeight="1">
      <c r="A33" s="2">
        <v>9.0</v>
      </c>
      <c r="B33" s="2" t="s">
        <v>7042</v>
      </c>
    </row>
    <row r="34" ht="14.25" customHeight="1">
      <c r="A34" s="2">
        <v>133.0</v>
      </c>
      <c r="B34" s="2" t="s">
        <v>7043</v>
      </c>
    </row>
    <row r="35" ht="14.25" customHeight="1">
      <c r="A35" s="2">
        <v>95.0</v>
      </c>
      <c r="B35" s="2" t="s">
        <v>7044</v>
      </c>
    </row>
    <row r="36" ht="14.25" customHeight="1">
      <c r="A36" s="2">
        <v>108.0</v>
      </c>
      <c r="B36" s="2" t="s">
        <v>7045</v>
      </c>
    </row>
    <row r="37" ht="14.25" customHeight="1">
      <c r="A37" s="2">
        <v>37.0</v>
      </c>
      <c r="B37" s="2" t="s">
        <v>7046</v>
      </c>
    </row>
    <row r="38" ht="14.25" customHeight="1">
      <c r="A38" s="2">
        <v>70.0</v>
      </c>
      <c r="B38" s="2" t="s">
        <v>7047</v>
      </c>
    </row>
    <row r="39" ht="14.25" customHeight="1">
      <c r="A39" s="2">
        <v>109.0</v>
      </c>
      <c r="B39" s="2" t="s">
        <v>7048</v>
      </c>
    </row>
    <row r="40" ht="14.25" customHeight="1">
      <c r="A40" s="2">
        <v>160.0</v>
      </c>
      <c r="B40" s="2" t="s">
        <v>7049</v>
      </c>
    </row>
    <row r="41" ht="14.25" customHeight="1">
      <c r="A41" s="2">
        <v>76.0</v>
      </c>
      <c r="B41" s="2" t="s">
        <v>7050</v>
      </c>
    </row>
    <row r="42" ht="14.25" customHeight="1">
      <c r="A42" s="2">
        <v>4.0</v>
      </c>
      <c r="B42" s="2" t="s">
        <v>7051</v>
      </c>
    </row>
    <row r="43" ht="14.25" customHeight="1">
      <c r="A43" s="2">
        <v>82.0</v>
      </c>
      <c r="B43" s="2" t="s">
        <v>7052</v>
      </c>
    </row>
    <row r="44" ht="14.25" customHeight="1">
      <c r="A44" s="2">
        <v>103.0</v>
      </c>
      <c r="B44" s="2" t="s">
        <v>7053</v>
      </c>
    </row>
    <row r="45" ht="14.25" customHeight="1">
      <c r="A45" s="2">
        <v>66.0</v>
      </c>
      <c r="B45" s="2" t="s">
        <v>7054</v>
      </c>
    </row>
    <row r="46" ht="14.25" customHeight="1">
      <c r="A46" s="2">
        <v>102.0</v>
      </c>
      <c r="B46" s="2" t="s">
        <v>7055</v>
      </c>
    </row>
    <row r="47" ht="14.25" customHeight="1">
      <c r="A47" s="2">
        <v>27.0</v>
      </c>
      <c r="B47" s="2" t="s">
        <v>7056</v>
      </c>
    </row>
    <row r="48" ht="14.25" customHeight="1">
      <c r="A48" s="2">
        <v>45.0</v>
      </c>
      <c r="B48" s="2" t="s">
        <v>7057</v>
      </c>
    </row>
    <row r="49" ht="14.25" customHeight="1">
      <c r="A49" s="2">
        <v>58.0</v>
      </c>
      <c r="B49" s="2" t="s">
        <v>7058</v>
      </c>
    </row>
    <row r="50" ht="14.25" customHeight="1">
      <c r="A50" s="2">
        <v>55.0</v>
      </c>
      <c r="B50" s="2" t="s">
        <v>7059</v>
      </c>
    </row>
    <row r="51" ht="14.25" customHeight="1">
      <c r="A51" s="2">
        <v>73.0</v>
      </c>
      <c r="B51" s="2" t="s">
        <v>7060</v>
      </c>
    </row>
    <row r="52" ht="14.25" customHeight="1">
      <c r="A52" s="2">
        <v>146.0</v>
      </c>
      <c r="B52" s="2" t="s">
        <v>7061</v>
      </c>
    </row>
    <row r="53" ht="14.25" customHeight="1">
      <c r="A53" s="2">
        <v>99.0</v>
      </c>
      <c r="B53" s="2" t="s">
        <v>7062</v>
      </c>
    </row>
    <row r="54" ht="14.25" customHeight="1">
      <c r="A54" s="2">
        <v>83.0</v>
      </c>
      <c r="B54" s="2" t="s">
        <v>7063</v>
      </c>
    </row>
    <row r="55" ht="14.25" customHeight="1">
      <c r="A55" s="2">
        <v>7.0</v>
      </c>
      <c r="B55" s="2" t="s">
        <v>7064</v>
      </c>
    </row>
    <row r="56" ht="14.25" customHeight="1">
      <c r="A56" s="2">
        <v>25.0</v>
      </c>
      <c r="B56" s="2" t="s">
        <v>7065</v>
      </c>
    </row>
    <row r="57" ht="14.25" customHeight="1">
      <c r="A57" s="2">
        <v>38.0</v>
      </c>
      <c r="B57" s="2" t="s">
        <v>7066</v>
      </c>
    </row>
    <row r="58" ht="14.25" customHeight="1">
      <c r="A58" s="2">
        <v>18.0</v>
      </c>
      <c r="B58" s="2" t="s">
        <v>7067</v>
      </c>
    </row>
    <row r="59" ht="14.25" customHeight="1">
      <c r="A59" s="2">
        <v>15.0</v>
      </c>
      <c r="B59" s="2" t="s">
        <v>7068</v>
      </c>
    </row>
    <row r="60" ht="14.25" customHeight="1">
      <c r="A60" s="2">
        <v>32.0</v>
      </c>
      <c r="B60" s="2" t="s">
        <v>7069</v>
      </c>
    </row>
    <row r="61" ht="14.25" customHeight="1">
      <c r="A61" s="2">
        <v>166.0</v>
      </c>
      <c r="B61" s="2" t="s">
        <v>7070</v>
      </c>
    </row>
    <row r="62" ht="14.25" customHeight="1">
      <c r="A62" s="2">
        <v>69.0</v>
      </c>
      <c r="B62" s="2" t="s">
        <v>7071</v>
      </c>
    </row>
    <row r="63" ht="14.25" customHeight="1">
      <c r="A63" s="2">
        <v>19.0</v>
      </c>
      <c r="B63" s="2" t="s">
        <v>7072</v>
      </c>
    </row>
    <row r="64" ht="14.25" customHeight="1">
      <c r="A64" s="2">
        <v>140.0</v>
      </c>
      <c r="B64" s="2" t="s">
        <v>7073</v>
      </c>
    </row>
    <row r="65" ht="14.25" customHeight="1">
      <c r="A65" s="2">
        <v>110.0</v>
      </c>
      <c r="B65" s="2" t="s">
        <v>7074</v>
      </c>
    </row>
    <row r="66" ht="14.25" customHeight="1">
      <c r="A66" s="2">
        <v>90.0</v>
      </c>
      <c r="B66" s="2" t="s">
        <v>7075</v>
      </c>
    </row>
    <row r="67" ht="14.25" customHeight="1">
      <c r="A67" s="2">
        <v>5.0</v>
      </c>
      <c r="B67" s="2" t="s">
        <v>7076</v>
      </c>
    </row>
    <row r="68" ht="14.25" customHeight="1">
      <c r="A68" s="2">
        <v>161.0</v>
      </c>
      <c r="B68" s="2" t="s">
        <v>7077</v>
      </c>
    </row>
    <row r="69" ht="14.25" customHeight="1">
      <c r="A69" s="2">
        <v>44.0</v>
      </c>
      <c r="B69" s="2" t="s">
        <v>7078</v>
      </c>
    </row>
    <row r="70" ht="14.25" customHeight="1">
      <c r="A70" s="2">
        <v>137.0</v>
      </c>
      <c r="B70" s="2" t="s">
        <v>7079</v>
      </c>
    </row>
    <row r="71" ht="14.25" customHeight="1">
      <c r="A71" s="2">
        <v>65.0</v>
      </c>
      <c r="B71" s="2" t="s">
        <v>7080</v>
      </c>
    </row>
    <row r="72" ht="14.25" customHeight="1">
      <c r="A72" s="2">
        <v>72.0</v>
      </c>
      <c r="B72" s="2" t="s">
        <v>7081</v>
      </c>
    </row>
    <row r="73" ht="14.25" customHeight="1">
      <c r="A73" s="2">
        <v>56.0</v>
      </c>
      <c r="B73" s="2" t="s">
        <v>7082</v>
      </c>
    </row>
    <row r="74" ht="14.25" customHeight="1">
      <c r="A74" s="2">
        <v>62.0</v>
      </c>
      <c r="B74" s="2" t="s">
        <v>7082</v>
      </c>
    </row>
    <row r="75" ht="14.25" customHeight="1">
      <c r="A75" s="2">
        <v>157.0</v>
      </c>
      <c r="B75" s="2" t="s">
        <v>7083</v>
      </c>
    </row>
    <row r="76" ht="14.25" customHeight="1">
      <c r="A76" s="2">
        <v>43.0</v>
      </c>
      <c r="B76" s="2" t="s">
        <v>7084</v>
      </c>
    </row>
    <row r="77" ht="14.25" customHeight="1">
      <c r="A77" s="2">
        <v>84.0</v>
      </c>
      <c r="B77" s="2" t="s">
        <v>7085</v>
      </c>
    </row>
    <row r="78" ht="14.25" customHeight="1">
      <c r="A78" s="2">
        <v>100.0</v>
      </c>
      <c r="B78" s="2" t="s">
        <v>7086</v>
      </c>
    </row>
    <row r="79" ht="14.25" customHeight="1">
      <c r="A79" s="2">
        <v>30.0</v>
      </c>
      <c r="B79" s="2" t="s">
        <v>7087</v>
      </c>
    </row>
    <row r="80" ht="14.25" customHeight="1">
      <c r="A80" s="2">
        <v>46.0</v>
      </c>
      <c r="B80" s="2" t="s">
        <v>7088</v>
      </c>
    </row>
    <row r="81" ht="14.25" customHeight="1">
      <c r="A81" s="2">
        <v>156.0</v>
      </c>
      <c r="B81" s="2" t="s">
        <v>7089</v>
      </c>
    </row>
    <row r="82" ht="14.25" customHeight="1">
      <c r="A82" s="2">
        <v>59.0</v>
      </c>
      <c r="B82" s="2" t="s">
        <v>7090</v>
      </c>
    </row>
    <row r="83" ht="14.25" customHeight="1">
      <c r="A83" s="2">
        <v>63.0</v>
      </c>
      <c r="B83" s="2" t="s">
        <v>7091</v>
      </c>
    </row>
    <row r="84" ht="14.25" customHeight="1">
      <c r="A84" s="2">
        <v>21.0</v>
      </c>
      <c r="B84" s="2" t="s">
        <v>7092</v>
      </c>
    </row>
    <row r="85" ht="14.25" customHeight="1">
      <c r="A85" s="2">
        <v>125.0</v>
      </c>
      <c r="B85" s="2" t="s">
        <v>7093</v>
      </c>
    </row>
    <row r="86" ht="14.25" customHeight="1">
      <c r="A86" s="2">
        <v>42.0</v>
      </c>
      <c r="B86" s="2" t="s">
        <v>7094</v>
      </c>
    </row>
    <row r="87" ht="14.25" customHeight="1">
      <c r="A87" s="2">
        <v>68.0</v>
      </c>
      <c r="B87" s="2" t="s">
        <v>7094</v>
      </c>
    </row>
    <row r="88" ht="14.25" customHeight="1">
      <c r="A88" s="2">
        <v>144.0</v>
      </c>
      <c r="B88" s="2" t="s">
        <v>7095</v>
      </c>
    </row>
    <row r="89" ht="14.25" customHeight="1">
      <c r="A89" s="2">
        <v>52.0</v>
      </c>
      <c r="B89" s="2" t="s">
        <v>7096</v>
      </c>
    </row>
    <row r="90" ht="14.25" customHeight="1">
      <c r="A90" s="2">
        <v>88.0</v>
      </c>
      <c r="B90" s="2" t="s">
        <v>7097</v>
      </c>
    </row>
    <row r="91" ht="14.25" customHeight="1">
      <c r="A91" s="2">
        <v>93.0</v>
      </c>
      <c r="B91" s="2" t="s">
        <v>7098</v>
      </c>
    </row>
    <row r="92" ht="14.25" customHeight="1">
      <c r="A92" s="2">
        <v>36.0</v>
      </c>
      <c r="B92" s="2" t="s">
        <v>7099</v>
      </c>
    </row>
    <row r="93" ht="14.25" customHeight="1">
      <c r="A93" s="2">
        <v>53.0</v>
      </c>
      <c r="B93" s="2" t="s">
        <v>7100</v>
      </c>
    </row>
    <row r="94" ht="14.25" customHeight="1">
      <c r="A94" s="2">
        <v>158.0</v>
      </c>
      <c r="B94" s="2" t="s">
        <v>7101</v>
      </c>
    </row>
    <row r="95" ht="14.25" customHeight="1">
      <c r="A95" s="2">
        <v>24.0</v>
      </c>
      <c r="B95" s="2" t="s">
        <v>7102</v>
      </c>
    </row>
    <row r="96" ht="14.25" customHeight="1">
      <c r="A96" s="2">
        <v>8.0</v>
      </c>
      <c r="B96" s="2" t="s">
        <v>7103</v>
      </c>
    </row>
    <row r="97" ht="14.25" customHeight="1">
      <c r="A97" s="2">
        <v>22.0</v>
      </c>
      <c r="B97" s="2" t="s">
        <v>7104</v>
      </c>
    </row>
    <row r="98" ht="14.25" customHeight="1">
      <c r="A98" s="2">
        <v>149.0</v>
      </c>
      <c r="B98" s="2" t="s">
        <v>7105</v>
      </c>
    </row>
    <row r="99" ht="14.25" customHeight="1">
      <c r="A99" s="2">
        <v>29.0</v>
      </c>
      <c r="B99" s="2" t="s">
        <v>7106</v>
      </c>
    </row>
    <row r="100" ht="14.25" customHeight="1">
      <c r="A100" s="2">
        <v>16.0</v>
      </c>
      <c r="B100" s="2" t="s">
        <v>7107</v>
      </c>
    </row>
    <row r="101" ht="14.25" customHeight="1">
      <c r="A101" s="2">
        <v>14.0</v>
      </c>
      <c r="B101" s="2" t="s">
        <v>7108</v>
      </c>
    </row>
    <row r="102" ht="14.25" customHeight="1">
      <c r="A102" s="2">
        <v>101.0</v>
      </c>
      <c r="B102" s="2" t="s">
        <v>7109</v>
      </c>
    </row>
    <row r="103" ht="14.25" customHeight="1">
      <c r="A103" s="2">
        <v>111.0</v>
      </c>
      <c r="B103" s="2" t="s">
        <v>7110</v>
      </c>
    </row>
    <row r="104" ht="14.25" customHeight="1">
      <c r="A104" s="2">
        <v>60.0</v>
      </c>
      <c r="B104" s="2" t="s">
        <v>7111</v>
      </c>
    </row>
    <row r="105" ht="14.25" customHeight="1">
      <c r="A105" s="2">
        <v>168.0</v>
      </c>
      <c r="B105" s="2" t="s">
        <v>7112</v>
      </c>
    </row>
    <row r="106" ht="14.25" customHeight="1">
      <c r="A106" s="2">
        <v>47.0</v>
      </c>
      <c r="B106" s="2" t="s">
        <v>7113</v>
      </c>
    </row>
    <row r="107" ht="14.25" customHeight="1">
      <c r="A107" s="2">
        <v>85.0</v>
      </c>
      <c r="B107" s="2" t="s">
        <v>7114</v>
      </c>
    </row>
    <row r="108" ht="14.25" customHeight="1">
      <c r="A108" s="2">
        <v>17.0</v>
      </c>
      <c r="B108" s="2" t="s">
        <v>7115</v>
      </c>
    </row>
    <row r="109" ht="14.25" customHeight="1">
      <c r="A109" s="2">
        <v>75.0</v>
      </c>
      <c r="B109" s="2" t="s">
        <v>7116</v>
      </c>
    </row>
    <row r="110" ht="14.25" customHeight="1">
      <c r="A110" s="2">
        <v>26.0</v>
      </c>
      <c r="B110" s="2" t="s">
        <v>7117</v>
      </c>
    </row>
    <row r="111" ht="14.25" customHeight="1">
      <c r="A111" s="2">
        <v>6.0</v>
      </c>
      <c r="B111" s="2" t="s">
        <v>7118</v>
      </c>
    </row>
    <row r="112" ht="14.25" customHeight="1">
      <c r="A112" s="2">
        <v>162.0</v>
      </c>
      <c r="B112" s="2" t="s">
        <v>7119</v>
      </c>
    </row>
    <row r="113" ht="14.25" customHeight="1">
      <c r="A113" s="2">
        <v>1.0</v>
      </c>
      <c r="B113" s="2" t="s">
        <v>7120</v>
      </c>
    </row>
    <row r="114" ht="14.25" customHeight="1">
      <c r="A114" s="2">
        <v>35.0</v>
      </c>
      <c r="B114" s="2" t="s">
        <v>7121</v>
      </c>
    </row>
    <row r="115" ht="14.25" customHeight="1">
      <c r="A115" s="2">
        <v>97.0</v>
      </c>
      <c r="B115" s="2" t="s">
        <v>7122</v>
      </c>
    </row>
    <row r="116" ht="14.25" customHeight="1">
      <c r="A116" s="2">
        <v>80.0</v>
      </c>
      <c r="B116" s="2" t="s">
        <v>7123</v>
      </c>
    </row>
    <row r="117" ht="14.25" customHeight="1">
      <c r="A117" s="2">
        <v>2.0</v>
      </c>
      <c r="B117" s="2" t="s">
        <v>7124</v>
      </c>
    </row>
    <row r="118" ht="14.25" customHeight="1">
      <c r="A118" s="2">
        <v>13.0</v>
      </c>
      <c r="B118" s="2" t="s">
        <v>7125</v>
      </c>
    </row>
    <row r="119" ht="14.25" customHeight="1">
      <c r="A119" s="2">
        <v>34.0</v>
      </c>
      <c r="B119" s="2" t="s">
        <v>7126</v>
      </c>
    </row>
    <row r="120" ht="14.25" customHeight="1">
      <c r="A120" s="2">
        <v>54.0</v>
      </c>
      <c r="B120" s="2" t="s">
        <v>7127</v>
      </c>
    </row>
    <row r="121" ht="14.25" customHeight="1">
      <c r="A121" s="2">
        <v>61.0</v>
      </c>
      <c r="B121" s="2" t="s">
        <v>7128</v>
      </c>
    </row>
    <row r="122" ht="14.25" customHeight="1">
      <c r="A122" s="2">
        <v>176.0</v>
      </c>
      <c r="B122" s="2" t="s">
        <v>7129</v>
      </c>
    </row>
    <row r="123" ht="14.25" customHeight="1">
      <c r="A123" s="2">
        <v>124.0</v>
      </c>
      <c r="B123" s="2" t="s">
        <v>7130</v>
      </c>
    </row>
    <row r="124" ht="14.25" customHeight="1">
      <c r="A124" s="2">
        <v>177.0</v>
      </c>
      <c r="B124" s="2" t="s">
        <v>7131</v>
      </c>
    </row>
    <row r="125" ht="14.25" customHeight="1">
      <c r="A125" s="2">
        <v>151.0</v>
      </c>
      <c r="B125" s="2" t="s">
        <v>7132</v>
      </c>
    </row>
    <row r="126" ht="14.25" customHeight="1">
      <c r="A126" s="2">
        <v>121.0</v>
      </c>
      <c r="B126" s="2" t="s">
        <v>7133</v>
      </c>
    </row>
    <row r="127" ht="14.25" customHeight="1">
      <c r="A127" s="2">
        <v>145.0</v>
      </c>
      <c r="B127" s="2" t="s">
        <v>7134</v>
      </c>
    </row>
    <row r="128" ht="14.25" customHeight="1">
      <c r="A128" s="2">
        <v>122.0</v>
      </c>
      <c r="B128" s="2" t="s">
        <v>7135</v>
      </c>
    </row>
    <row r="129" ht="14.25" customHeight="1">
      <c r="A129" s="2">
        <v>175.0</v>
      </c>
      <c r="B129" s="2" t="s">
        <v>7136</v>
      </c>
    </row>
    <row r="130" ht="14.25" customHeight="1">
      <c r="A130" s="2">
        <v>127.0</v>
      </c>
      <c r="B130" s="2" t="s">
        <v>7137</v>
      </c>
    </row>
    <row r="131" ht="14.25" customHeight="1">
      <c r="A131" s="2">
        <v>178.0</v>
      </c>
      <c r="B131" s="2" t="s">
        <v>7138</v>
      </c>
    </row>
    <row r="132" ht="14.25" customHeight="1">
      <c r="A132" s="2">
        <v>143.0</v>
      </c>
      <c r="B132" s="2" t="s">
        <v>7139</v>
      </c>
    </row>
    <row r="133" ht="14.25" customHeight="1">
      <c r="A133" s="2">
        <v>134.0</v>
      </c>
      <c r="B133" s="2" t="s">
        <v>7140</v>
      </c>
    </row>
    <row r="134" ht="14.25" customHeight="1">
      <c r="A134" s="2">
        <v>115.0</v>
      </c>
      <c r="B134" s="2" t="s">
        <v>7141</v>
      </c>
    </row>
    <row r="135" ht="14.25" customHeight="1">
      <c r="A135" s="2">
        <v>148.0</v>
      </c>
      <c r="B135" s="2" t="s">
        <v>7142</v>
      </c>
    </row>
    <row r="136" ht="14.25" customHeight="1">
      <c r="A136" s="2">
        <v>139.0</v>
      </c>
      <c r="B136" s="2" t="s">
        <v>7143</v>
      </c>
    </row>
    <row r="137" ht="14.25" customHeight="1">
      <c r="A137" s="2">
        <v>130.0</v>
      </c>
      <c r="B137" s="2" t="s">
        <v>7144</v>
      </c>
    </row>
    <row r="138" ht="14.25" customHeight="1">
      <c r="A138" s="2">
        <v>117.0</v>
      </c>
      <c r="B138" s="2" t="s">
        <v>7145</v>
      </c>
    </row>
    <row r="139" ht="14.25" customHeight="1">
      <c r="A139" s="2">
        <v>179.0</v>
      </c>
      <c r="B139" s="2" t="s">
        <v>7146</v>
      </c>
    </row>
    <row r="140" ht="14.25" customHeight="1">
      <c r="A140" s="2">
        <v>174.0</v>
      </c>
      <c r="B140" s="2" t="s">
        <v>7147</v>
      </c>
    </row>
    <row r="141" ht="14.25" customHeight="1">
      <c r="A141" s="2">
        <v>116.0</v>
      </c>
      <c r="B141" s="2" t="s">
        <v>7148</v>
      </c>
    </row>
    <row r="142" ht="14.25" customHeight="1">
      <c r="A142" s="2">
        <v>163.0</v>
      </c>
      <c r="B142" s="2" t="s">
        <v>7149</v>
      </c>
    </row>
    <row r="143" ht="14.25" customHeight="1">
      <c r="A143" s="2">
        <v>150.0</v>
      </c>
      <c r="B143" s="2" t="s">
        <v>7150</v>
      </c>
    </row>
    <row r="144" ht="14.25" customHeight="1">
      <c r="A144" s="2">
        <v>172.0</v>
      </c>
      <c r="B144" s="2" t="s">
        <v>7151</v>
      </c>
    </row>
    <row r="145" ht="14.25" customHeight="1">
      <c r="A145" s="2">
        <v>129.0</v>
      </c>
      <c r="B145" s="2" t="s">
        <v>7152</v>
      </c>
    </row>
    <row r="146" ht="14.25" customHeight="1">
      <c r="A146" s="2">
        <v>123.0</v>
      </c>
      <c r="B146" s="2" t="s">
        <v>7153</v>
      </c>
    </row>
    <row r="147" ht="14.25" customHeight="1">
      <c r="A147" s="2">
        <v>173.0</v>
      </c>
      <c r="B147" s="2" t="s">
        <v>7154</v>
      </c>
    </row>
    <row r="148" ht="14.25" customHeight="1">
      <c r="A148" s="2">
        <v>118.0</v>
      </c>
      <c r="B148" s="2" t="s">
        <v>7155</v>
      </c>
    </row>
    <row r="149" ht="14.25" customHeight="1">
      <c r="A149" s="2">
        <v>141.0</v>
      </c>
      <c r="B149" s="2" t="s">
        <v>7156</v>
      </c>
    </row>
    <row r="150" ht="14.25" customHeight="1">
      <c r="A150" s="2">
        <v>120.0</v>
      </c>
      <c r="B150" s="2" t="s">
        <v>7157</v>
      </c>
    </row>
    <row r="151" ht="14.25" customHeight="1">
      <c r="A151" s="2">
        <v>171.0</v>
      </c>
      <c r="B151" s="2" t="s">
        <v>7158</v>
      </c>
    </row>
    <row r="152" ht="14.25" customHeight="1">
      <c r="A152" s="2">
        <v>180.0</v>
      </c>
      <c r="B152" s="2" t="s">
        <v>7159</v>
      </c>
    </row>
    <row r="153" ht="14.25" customHeight="1">
      <c r="A153" s="2">
        <v>119.0</v>
      </c>
      <c r="B153" s="2" t="s">
        <v>7160</v>
      </c>
    </row>
    <row r="154" ht="14.25" customHeight="1">
      <c r="A154" s="2">
        <v>128.0</v>
      </c>
      <c r="B154" s="2" t="s">
        <v>7161</v>
      </c>
    </row>
    <row r="155" ht="14.25" customHeight="1">
      <c r="A155" s="2">
        <v>147.0</v>
      </c>
      <c r="B155" s="2" t="s">
        <v>7162</v>
      </c>
    </row>
    <row r="156" ht="14.25" customHeight="1">
      <c r="A156" s="2">
        <v>165.0</v>
      </c>
      <c r="B156" s="2" t="s">
        <v>7163</v>
      </c>
    </row>
    <row r="157" ht="14.25" customHeight="1">
      <c r="A157" s="2">
        <v>64.0</v>
      </c>
      <c r="B157" s="2" t="s">
        <v>7164</v>
      </c>
    </row>
    <row r="158" ht="14.25" customHeight="1">
      <c r="A158" s="2">
        <v>67.0</v>
      </c>
      <c r="B158" s="2" t="s">
        <v>7165</v>
      </c>
    </row>
    <row r="159" ht="14.25" customHeight="1">
      <c r="A159" s="2">
        <v>138.0</v>
      </c>
      <c r="B159" s="2" t="s">
        <v>7166</v>
      </c>
    </row>
    <row r="160" ht="14.25" customHeight="1">
      <c r="A160" s="2">
        <v>49.0</v>
      </c>
      <c r="B160" s="2" t="s">
        <v>7167</v>
      </c>
    </row>
    <row r="161" ht="14.25" customHeight="1">
      <c r="A161" s="2">
        <v>167.0</v>
      </c>
      <c r="B161" s="2" t="s">
        <v>7168</v>
      </c>
    </row>
    <row r="162" ht="14.25" customHeight="1">
      <c r="A162" s="2">
        <v>96.0</v>
      </c>
      <c r="B162" s="2" t="s">
        <v>7169</v>
      </c>
    </row>
    <row r="163" ht="14.25" customHeight="1">
      <c r="A163" s="2">
        <v>131.0</v>
      </c>
      <c r="B163" s="2" t="s">
        <v>7170</v>
      </c>
    </row>
    <row r="164" ht="14.25" customHeight="1">
      <c r="A164" s="2">
        <v>155.0</v>
      </c>
      <c r="B164" s="2" t="s">
        <v>7171</v>
      </c>
    </row>
    <row r="165" ht="14.25" customHeight="1">
      <c r="A165" s="2">
        <v>48.0</v>
      </c>
      <c r="B165" s="2" t="s">
        <v>7172</v>
      </c>
    </row>
    <row r="166" ht="14.25" customHeight="1">
      <c r="A166" s="2">
        <v>3.0</v>
      </c>
      <c r="B166" s="2" t="s">
        <v>7173</v>
      </c>
    </row>
    <row r="167" ht="14.25" customHeight="1">
      <c r="A167" s="2">
        <v>112.0</v>
      </c>
      <c r="B167" s="2" t="s">
        <v>7174</v>
      </c>
    </row>
    <row r="168" ht="14.25" customHeight="1">
      <c r="A168" s="2">
        <v>89.0</v>
      </c>
      <c r="B168" s="2" t="s">
        <v>7175</v>
      </c>
    </row>
    <row r="169" ht="14.25" customHeight="1">
      <c r="A169" s="2">
        <v>79.0</v>
      </c>
      <c r="B169" s="2" t="s">
        <v>7176</v>
      </c>
    </row>
    <row r="170" ht="14.25" customHeight="1">
      <c r="A170" s="2">
        <v>40.0</v>
      </c>
      <c r="B170" s="2" t="s">
        <v>7177</v>
      </c>
    </row>
    <row r="171" ht="14.25" customHeight="1">
      <c r="A171" s="2">
        <v>126.0</v>
      </c>
      <c r="B171" s="2" t="s">
        <v>7178</v>
      </c>
    </row>
    <row r="172" ht="14.25" customHeight="1">
      <c r="B172" s="36"/>
    </row>
    <row r="173" ht="14.25" customHeight="1">
      <c r="B173" s="36"/>
    </row>
    <row r="174" ht="14.25" customHeight="1">
      <c r="B174" s="36"/>
    </row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